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840" windowWidth="19575" windowHeight="8100"/>
  </bookViews>
  <sheets>
    <sheet name="TB" sheetId="1" r:id="rId1"/>
    <sheet name="Bill Wise" sheetId="2" r:id="rId2"/>
    <sheet name="Only Creditors" sheetId="3" r:id="rId3"/>
    <sheet name="Advances" sheetId="4" r:id="rId4"/>
    <sheet name="Intercompany" sheetId="5" r:id="rId5"/>
  </sheets>
  <definedNames>
    <definedName name="_xlnm._FilterDatabase" localSheetId="3" hidden="1">Advances!$A$4:$Q$59</definedName>
    <definedName name="_xlnm._FilterDatabase" localSheetId="1" hidden="1">'Bill Wise'!$A$4:$I$1316</definedName>
    <definedName name="_xlnm._FilterDatabase" localSheetId="4" hidden="1">Intercompany!$A$4:$O$25</definedName>
    <definedName name="_xlnm._FilterDatabase" localSheetId="2" hidden="1">'Only Creditors'!$A$4:$Q$190</definedName>
    <definedName name="_xlnm._FilterDatabase" localSheetId="0" hidden="1">TB!$A$10:$C$268</definedName>
  </definedNames>
  <calcPr calcId="144525"/>
</workbook>
</file>

<file path=xl/calcChain.xml><?xml version="1.0" encoding="utf-8"?>
<calcChain xmlns="http://schemas.openxmlformats.org/spreadsheetml/2006/main">
  <c r="B268" i="1" l="1"/>
  <c r="C268" i="1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O188" i="3"/>
  <c r="N188" i="3"/>
  <c r="M188" i="3"/>
  <c r="L188" i="3"/>
  <c r="K188" i="3"/>
  <c r="J188" i="3"/>
  <c r="I188" i="3"/>
  <c r="H188" i="3"/>
  <c r="O187" i="3"/>
  <c r="N187" i="3"/>
  <c r="M187" i="3"/>
  <c r="L187" i="3"/>
  <c r="K187" i="3"/>
  <c r="J187" i="3"/>
  <c r="I187" i="3"/>
  <c r="H187" i="3"/>
  <c r="O186" i="3"/>
  <c r="N186" i="3"/>
  <c r="M186" i="3"/>
  <c r="L186" i="3"/>
  <c r="K186" i="3"/>
  <c r="J186" i="3"/>
  <c r="I186" i="3"/>
  <c r="H186" i="3"/>
  <c r="O185" i="3"/>
  <c r="N185" i="3"/>
  <c r="M185" i="3"/>
  <c r="L185" i="3"/>
  <c r="K185" i="3"/>
  <c r="J185" i="3"/>
  <c r="I185" i="3"/>
  <c r="H185" i="3"/>
  <c r="O184" i="3"/>
  <c r="N184" i="3"/>
  <c r="M184" i="3"/>
  <c r="L184" i="3"/>
  <c r="K184" i="3"/>
  <c r="J184" i="3"/>
  <c r="I184" i="3"/>
  <c r="H184" i="3"/>
  <c r="O183" i="3"/>
  <c r="N183" i="3"/>
  <c r="M183" i="3"/>
  <c r="L183" i="3"/>
  <c r="K183" i="3"/>
  <c r="J183" i="3"/>
  <c r="I183" i="3"/>
  <c r="H183" i="3"/>
  <c r="O182" i="3"/>
  <c r="N182" i="3"/>
  <c r="M182" i="3"/>
  <c r="L182" i="3"/>
  <c r="K182" i="3"/>
  <c r="J182" i="3"/>
  <c r="I182" i="3"/>
  <c r="H182" i="3"/>
  <c r="O181" i="3"/>
  <c r="N181" i="3"/>
  <c r="M181" i="3"/>
  <c r="L181" i="3"/>
  <c r="K181" i="3"/>
  <c r="J181" i="3"/>
  <c r="I181" i="3"/>
  <c r="H181" i="3"/>
  <c r="O180" i="3"/>
  <c r="N180" i="3"/>
  <c r="M180" i="3"/>
  <c r="L180" i="3"/>
  <c r="K180" i="3"/>
  <c r="J180" i="3"/>
  <c r="I180" i="3"/>
  <c r="H180" i="3"/>
  <c r="O179" i="3"/>
  <c r="N179" i="3"/>
  <c r="M179" i="3"/>
  <c r="L179" i="3"/>
  <c r="K179" i="3"/>
  <c r="J179" i="3"/>
  <c r="I179" i="3"/>
  <c r="H179" i="3"/>
  <c r="O178" i="3"/>
  <c r="N178" i="3"/>
  <c r="M178" i="3"/>
  <c r="L178" i="3"/>
  <c r="K178" i="3"/>
  <c r="J178" i="3"/>
  <c r="I178" i="3"/>
  <c r="H178" i="3"/>
  <c r="O177" i="3"/>
  <c r="N177" i="3"/>
  <c r="M177" i="3"/>
  <c r="L177" i="3"/>
  <c r="K177" i="3"/>
  <c r="J177" i="3"/>
  <c r="I177" i="3"/>
  <c r="H177" i="3"/>
  <c r="O176" i="3"/>
  <c r="N176" i="3"/>
  <c r="M176" i="3"/>
  <c r="L176" i="3"/>
  <c r="K176" i="3"/>
  <c r="J176" i="3"/>
  <c r="I176" i="3"/>
  <c r="H176" i="3"/>
  <c r="O175" i="3"/>
  <c r="N175" i="3"/>
  <c r="M175" i="3"/>
  <c r="L175" i="3"/>
  <c r="K175" i="3"/>
  <c r="J175" i="3"/>
  <c r="I175" i="3"/>
  <c r="H175" i="3"/>
  <c r="O174" i="3"/>
  <c r="N174" i="3"/>
  <c r="M174" i="3"/>
  <c r="L174" i="3"/>
  <c r="K174" i="3"/>
  <c r="J174" i="3"/>
  <c r="I174" i="3"/>
  <c r="H174" i="3"/>
  <c r="O173" i="3"/>
  <c r="N173" i="3"/>
  <c r="M173" i="3"/>
  <c r="L173" i="3"/>
  <c r="K173" i="3"/>
  <c r="J173" i="3"/>
  <c r="I173" i="3"/>
  <c r="H173" i="3"/>
  <c r="O172" i="3"/>
  <c r="N172" i="3"/>
  <c r="M172" i="3"/>
  <c r="L172" i="3"/>
  <c r="K172" i="3"/>
  <c r="J172" i="3"/>
  <c r="I172" i="3"/>
  <c r="H172" i="3"/>
  <c r="O171" i="3"/>
  <c r="N171" i="3"/>
  <c r="M171" i="3"/>
  <c r="L171" i="3"/>
  <c r="K171" i="3"/>
  <c r="J171" i="3"/>
  <c r="I171" i="3"/>
  <c r="H171" i="3"/>
  <c r="O170" i="3"/>
  <c r="N170" i="3"/>
  <c r="M170" i="3"/>
  <c r="L170" i="3"/>
  <c r="K170" i="3"/>
  <c r="J170" i="3"/>
  <c r="I170" i="3"/>
  <c r="H170" i="3"/>
  <c r="O169" i="3"/>
  <c r="N169" i="3"/>
  <c r="M169" i="3"/>
  <c r="L169" i="3"/>
  <c r="K169" i="3"/>
  <c r="J169" i="3"/>
  <c r="I169" i="3"/>
  <c r="H169" i="3"/>
  <c r="O168" i="3"/>
  <c r="N168" i="3"/>
  <c r="M168" i="3"/>
  <c r="L168" i="3"/>
  <c r="K168" i="3"/>
  <c r="J168" i="3"/>
  <c r="I168" i="3"/>
  <c r="H168" i="3"/>
  <c r="O167" i="3"/>
  <c r="N167" i="3"/>
  <c r="M167" i="3"/>
  <c r="L167" i="3"/>
  <c r="K167" i="3"/>
  <c r="J167" i="3"/>
  <c r="I167" i="3"/>
  <c r="H167" i="3"/>
  <c r="O166" i="3"/>
  <c r="N166" i="3"/>
  <c r="M166" i="3"/>
  <c r="L166" i="3"/>
  <c r="K166" i="3"/>
  <c r="J166" i="3"/>
  <c r="I166" i="3"/>
  <c r="H166" i="3"/>
  <c r="O165" i="3"/>
  <c r="N165" i="3"/>
  <c r="M165" i="3"/>
  <c r="L165" i="3"/>
  <c r="K165" i="3"/>
  <c r="J165" i="3"/>
  <c r="I165" i="3"/>
  <c r="H165" i="3"/>
  <c r="O164" i="3"/>
  <c r="N164" i="3"/>
  <c r="M164" i="3"/>
  <c r="L164" i="3"/>
  <c r="K164" i="3"/>
  <c r="J164" i="3"/>
  <c r="I164" i="3"/>
  <c r="H164" i="3"/>
  <c r="O163" i="3"/>
  <c r="N163" i="3"/>
  <c r="M163" i="3"/>
  <c r="L163" i="3"/>
  <c r="K163" i="3"/>
  <c r="J163" i="3"/>
  <c r="I163" i="3"/>
  <c r="H163" i="3"/>
  <c r="O162" i="3"/>
  <c r="N162" i="3"/>
  <c r="M162" i="3"/>
  <c r="L162" i="3"/>
  <c r="K162" i="3"/>
  <c r="J162" i="3"/>
  <c r="I162" i="3"/>
  <c r="H162" i="3"/>
  <c r="O161" i="3"/>
  <c r="N161" i="3"/>
  <c r="M161" i="3"/>
  <c r="L161" i="3"/>
  <c r="K161" i="3"/>
  <c r="J161" i="3"/>
  <c r="I161" i="3"/>
  <c r="H161" i="3"/>
  <c r="O160" i="3"/>
  <c r="N160" i="3"/>
  <c r="M160" i="3"/>
  <c r="L160" i="3"/>
  <c r="K160" i="3"/>
  <c r="J160" i="3"/>
  <c r="I160" i="3"/>
  <c r="H160" i="3"/>
  <c r="O159" i="3"/>
  <c r="N159" i="3"/>
  <c r="M159" i="3"/>
  <c r="L159" i="3"/>
  <c r="K159" i="3"/>
  <c r="J159" i="3"/>
  <c r="I159" i="3"/>
  <c r="H159" i="3"/>
  <c r="O158" i="3"/>
  <c r="N158" i="3"/>
  <c r="M158" i="3"/>
  <c r="L158" i="3"/>
  <c r="K158" i="3"/>
  <c r="J158" i="3"/>
  <c r="I158" i="3"/>
  <c r="H158" i="3"/>
  <c r="O157" i="3"/>
  <c r="N157" i="3"/>
  <c r="M157" i="3"/>
  <c r="L157" i="3"/>
  <c r="K157" i="3"/>
  <c r="J157" i="3"/>
  <c r="I157" i="3"/>
  <c r="H157" i="3"/>
  <c r="O156" i="3"/>
  <c r="N156" i="3"/>
  <c r="M156" i="3"/>
  <c r="L156" i="3"/>
  <c r="K156" i="3"/>
  <c r="J156" i="3"/>
  <c r="I156" i="3"/>
  <c r="H156" i="3"/>
  <c r="O155" i="3"/>
  <c r="N155" i="3"/>
  <c r="M155" i="3"/>
  <c r="L155" i="3"/>
  <c r="K155" i="3"/>
  <c r="J155" i="3"/>
  <c r="I155" i="3"/>
  <c r="H155" i="3"/>
  <c r="O154" i="3"/>
  <c r="N154" i="3"/>
  <c r="M154" i="3"/>
  <c r="L154" i="3"/>
  <c r="K154" i="3"/>
  <c r="J154" i="3"/>
  <c r="I154" i="3"/>
  <c r="H154" i="3"/>
  <c r="O153" i="3"/>
  <c r="N153" i="3"/>
  <c r="M153" i="3"/>
  <c r="L153" i="3"/>
  <c r="K153" i="3"/>
  <c r="J153" i="3"/>
  <c r="I153" i="3"/>
  <c r="H153" i="3"/>
  <c r="O152" i="3"/>
  <c r="N152" i="3"/>
  <c r="M152" i="3"/>
  <c r="L152" i="3"/>
  <c r="K152" i="3"/>
  <c r="J152" i="3"/>
  <c r="I152" i="3"/>
  <c r="H152" i="3"/>
  <c r="O151" i="3"/>
  <c r="N151" i="3"/>
  <c r="M151" i="3"/>
  <c r="L151" i="3"/>
  <c r="K151" i="3"/>
  <c r="J151" i="3"/>
  <c r="I151" i="3"/>
  <c r="H151" i="3"/>
  <c r="O150" i="3"/>
  <c r="N150" i="3"/>
  <c r="M150" i="3"/>
  <c r="L150" i="3"/>
  <c r="K150" i="3"/>
  <c r="J150" i="3"/>
  <c r="I150" i="3"/>
  <c r="H150" i="3"/>
  <c r="O149" i="3"/>
  <c r="N149" i="3"/>
  <c r="M149" i="3"/>
  <c r="L149" i="3"/>
  <c r="K149" i="3"/>
  <c r="J149" i="3"/>
  <c r="I149" i="3"/>
  <c r="H149" i="3"/>
  <c r="O148" i="3"/>
  <c r="N148" i="3"/>
  <c r="M148" i="3"/>
  <c r="L148" i="3"/>
  <c r="K148" i="3"/>
  <c r="J148" i="3"/>
  <c r="I148" i="3"/>
  <c r="H148" i="3"/>
  <c r="O147" i="3"/>
  <c r="N147" i="3"/>
  <c r="M147" i="3"/>
  <c r="L147" i="3"/>
  <c r="K147" i="3"/>
  <c r="J147" i="3"/>
  <c r="I147" i="3"/>
  <c r="H147" i="3"/>
  <c r="O146" i="3"/>
  <c r="N146" i="3"/>
  <c r="M146" i="3"/>
  <c r="L146" i="3"/>
  <c r="K146" i="3"/>
  <c r="J146" i="3"/>
  <c r="I146" i="3"/>
  <c r="H146" i="3"/>
  <c r="O145" i="3"/>
  <c r="N145" i="3"/>
  <c r="M145" i="3"/>
  <c r="L145" i="3"/>
  <c r="K145" i="3"/>
  <c r="J145" i="3"/>
  <c r="I145" i="3"/>
  <c r="H145" i="3"/>
  <c r="O144" i="3"/>
  <c r="N144" i="3"/>
  <c r="M144" i="3"/>
  <c r="L144" i="3"/>
  <c r="K144" i="3"/>
  <c r="J144" i="3"/>
  <c r="I144" i="3"/>
  <c r="H144" i="3"/>
  <c r="O143" i="3"/>
  <c r="N143" i="3"/>
  <c r="M143" i="3"/>
  <c r="L143" i="3"/>
  <c r="K143" i="3"/>
  <c r="J143" i="3"/>
  <c r="I143" i="3"/>
  <c r="H143" i="3"/>
  <c r="O142" i="3"/>
  <c r="N142" i="3"/>
  <c r="M142" i="3"/>
  <c r="L142" i="3"/>
  <c r="K142" i="3"/>
  <c r="J142" i="3"/>
  <c r="I142" i="3"/>
  <c r="H142" i="3"/>
  <c r="O141" i="3"/>
  <c r="N141" i="3"/>
  <c r="M141" i="3"/>
  <c r="L141" i="3"/>
  <c r="K141" i="3"/>
  <c r="J141" i="3"/>
  <c r="I141" i="3"/>
  <c r="H141" i="3"/>
  <c r="O140" i="3"/>
  <c r="N140" i="3"/>
  <c r="M140" i="3"/>
  <c r="L140" i="3"/>
  <c r="K140" i="3"/>
  <c r="J140" i="3"/>
  <c r="I140" i="3"/>
  <c r="H140" i="3"/>
  <c r="O139" i="3"/>
  <c r="N139" i="3"/>
  <c r="M139" i="3"/>
  <c r="L139" i="3"/>
  <c r="K139" i="3"/>
  <c r="J139" i="3"/>
  <c r="I139" i="3"/>
  <c r="H139" i="3"/>
  <c r="O138" i="3"/>
  <c r="N138" i="3"/>
  <c r="M138" i="3"/>
  <c r="L138" i="3"/>
  <c r="K138" i="3"/>
  <c r="J138" i="3"/>
  <c r="I138" i="3"/>
  <c r="H138" i="3"/>
  <c r="O137" i="3"/>
  <c r="N137" i="3"/>
  <c r="M137" i="3"/>
  <c r="L137" i="3"/>
  <c r="K137" i="3"/>
  <c r="J137" i="3"/>
  <c r="I137" i="3"/>
  <c r="H137" i="3"/>
  <c r="O136" i="3"/>
  <c r="N136" i="3"/>
  <c r="M136" i="3"/>
  <c r="L136" i="3"/>
  <c r="K136" i="3"/>
  <c r="J136" i="3"/>
  <c r="I136" i="3"/>
  <c r="H136" i="3"/>
  <c r="O135" i="3"/>
  <c r="N135" i="3"/>
  <c r="M135" i="3"/>
  <c r="L135" i="3"/>
  <c r="K135" i="3"/>
  <c r="J135" i="3"/>
  <c r="I135" i="3"/>
  <c r="H135" i="3"/>
  <c r="O134" i="3"/>
  <c r="N134" i="3"/>
  <c r="M134" i="3"/>
  <c r="L134" i="3"/>
  <c r="K134" i="3"/>
  <c r="J134" i="3"/>
  <c r="I134" i="3"/>
  <c r="H134" i="3"/>
  <c r="O133" i="3"/>
  <c r="N133" i="3"/>
  <c r="M133" i="3"/>
  <c r="L133" i="3"/>
  <c r="K133" i="3"/>
  <c r="J133" i="3"/>
  <c r="I133" i="3"/>
  <c r="H133" i="3"/>
  <c r="O132" i="3"/>
  <c r="N132" i="3"/>
  <c r="M132" i="3"/>
  <c r="L132" i="3"/>
  <c r="K132" i="3"/>
  <c r="J132" i="3"/>
  <c r="I132" i="3"/>
  <c r="H132" i="3"/>
  <c r="O131" i="3"/>
  <c r="N131" i="3"/>
  <c r="M131" i="3"/>
  <c r="L131" i="3"/>
  <c r="K131" i="3"/>
  <c r="J131" i="3"/>
  <c r="I131" i="3"/>
  <c r="H131" i="3"/>
  <c r="O130" i="3"/>
  <c r="N130" i="3"/>
  <c r="M130" i="3"/>
  <c r="L130" i="3"/>
  <c r="K130" i="3"/>
  <c r="J130" i="3"/>
  <c r="I130" i="3"/>
  <c r="H130" i="3"/>
  <c r="O129" i="3"/>
  <c r="N129" i="3"/>
  <c r="M129" i="3"/>
  <c r="L129" i="3"/>
  <c r="K129" i="3"/>
  <c r="J129" i="3"/>
  <c r="I129" i="3"/>
  <c r="H129" i="3"/>
  <c r="O128" i="3"/>
  <c r="N128" i="3"/>
  <c r="M128" i="3"/>
  <c r="L128" i="3"/>
  <c r="K128" i="3"/>
  <c r="J128" i="3"/>
  <c r="I128" i="3"/>
  <c r="H128" i="3"/>
  <c r="O127" i="3"/>
  <c r="N127" i="3"/>
  <c r="M127" i="3"/>
  <c r="L127" i="3"/>
  <c r="K127" i="3"/>
  <c r="J127" i="3"/>
  <c r="I127" i="3"/>
  <c r="H127" i="3"/>
  <c r="O126" i="3"/>
  <c r="N126" i="3"/>
  <c r="M126" i="3"/>
  <c r="L126" i="3"/>
  <c r="K126" i="3"/>
  <c r="J126" i="3"/>
  <c r="I126" i="3"/>
  <c r="H126" i="3"/>
  <c r="O125" i="3"/>
  <c r="N125" i="3"/>
  <c r="M125" i="3"/>
  <c r="L125" i="3"/>
  <c r="K125" i="3"/>
  <c r="J125" i="3"/>
  <c r="I125" i="3"/>
  <c r="H125" i="3"/>
  <c r="O124" i="3"/>
  <c r="N124" i="3"/>
  <c r="M124" i="3"/>
  <c r="L124" i="3"/>
  <c r="K124" i="3"/>
  <c r="J124" i="3"/>
  <c r="I124" i="3"/>
  <c r="H124" i="3"/>
  <c r="O123" i="3"/>
  <c r="N123" i="3"/>
  <c r="M123" i="3"/>
  <c r="L123" i="3"/>
  <c r="K123" i="3"/>
  <c r="J123" i="3"/>
  <c r="I123" i="3"/>
  <c r="H123" i="3"/>
  <c r="O122" i="3"/>
  <c r="N122" i="3"/>
  <c r="M122" i="3"/>
  <c r="L122" i="3"/>
  <c r="K122" i="3"/>
  <c r="J122" i="3"/>
  <c r="I122" i="3"/>
  <c r="H122" i="3"/>
  <c r="O121" i="3"/>
  <c r="N121" i="3"/>
  <c r="M121" i="3"/>
  <c r="L121" i="3"/>
  <c r="K121" i="3"/>
  <c r="J121" i="3"/>
  <c r="I121" i="3"/>
  <c r="H121" i="3"/>
  <c r="O120" i="3"/>
  <c r="N120" i="3"/>
  <c r="M120" i="3"/>
  <c r="L120" i="3"/>
  <c r="K120" i="3"/>
  <c r="J120" i="3"/>
  <c r="I120" i="3"/>
  <c r="H120" i="3"/>
  <c r="O119" i="3"/>
  <c r="N119" i="3"/>
  <c r="M119" i="3"/>
  <c r="L119" i="3"/>
  <c r="K119" i="3"/>
  <c r="J119" i="3"/>
  <c r="I119" i="3"/>
  <c r="H119" i="3"/>
  <c r="O118" i="3"/>
  <c r="N118" i="3"/>
  <c r="M118" i="3"/>
  <c r="L118" i="3"/>
  <c r="K118" i="3"/>
  <c r="J118" i="3"/>
  <c r="I118" i="3"/>
  <c r="H118" i="3"/>
  <c r="O117" i="3"/>
  <c r="N117" i="3"/>
  <c r="M117" i="3"/>
  <c r="L117" i="3"/>
  <c r="K117" i="3"/>
  <c r="J117" i="3"/>
  <c r="I117" i="3"/>
  <c r="H117" i="3"/>
  <c r="O116" i="3"/>
  <c r="N116" i="3"/>
  <c r="M116" i="3"/>
  <c r="L116" i="3"/>
  <c r="K116" i="3"/>
  <c r="J116" i="3"/>
  <c r="I116" i="3"/>
  <c r="H116" i="3"/>
  <c r="O115" i="3"/>
  <c r="N115" i="3"/>
  <c r="M115" i="3"/>
  <c r="L115" i="3"/>
  <c r="K115" i="3"/>
  <c r="J115" i="3"/>
  <c r="I115" i="3"/>
  <c r="H115" i="3"/>
  <c r="O114" i="3"/>
  <c r="N114" i="3"/>
  <c r="M114" i="3"/>
  <c r="L114" i="3"/>
  <c r="K114" i="3"/>
  <c r="J114" i="3"/>
  <c r="I114" i="3"/>
  <c r="H114" i="3"/>
  <c r="O113" i="3"/>
  <c r="N113" i="3"/>
  <c r="M113" i="3"/>
  <c r="L113" i="3"/>
  <c r="K113" i="3"/>
  <c r="J113" i="3"/>
  <c r="I113" i="3"/>
  <c r="H113" i="3"/>
  <c r="O112" i="3"/>
  <c r="N112" i="3"/>
  <c r="M112" i="3"/>
  <c r="L112" i="3"/>
  <c r="K112" i="3"/>
  <c r="J112" i="3"/>
  <c r="I112" i="3"/>
  <c r="H112" i="3"/>
  <c r="O111" i="3"/>
  <c r="N111" i="3"/>
  <c r="M111" i="3"/>
  <c r="L111" i="3"/>
  <c r="K111" i="3"/>
  <c r="J111" i="3"/>
  <c r="I111" i="3"/>
  <c r="H111" i="3"/>
  <c r="O110" i="3"/>
  <c r="N110" i="3"/>
  <c r="M110" i="3"/>
  <c r="L110" i="3"/>
  <c r="K110" i="3"/>
  <c r="J110" i="3"/>
  <c r="I110" i="3"/>
  <c r="H110" i="3"/>
  <c r="O109" i="3"/>
  <c r="N109" i="3"/>
  <c r="M109" i="3"/>
  <c r="L109" i="3"/>
  <c r="K109" i="3"/>
  <c r="J109" i="3"/>
  <c r="I109" i="3"/>
  <c r="H109" i="3"/>
  <c r="O108" i="3"/>
  <c r="N108" i="3"/>
  <c r="M108" i="3"/>
  <c r="L108" i="3"/>
  <c r="K108" i="3"/>
  <c r="J108" i="3"/>
  <c r="I108" i="3"/>
  <c r="H108" i="3"/>
  <c r="O107" i="3"/>
  <c r="N107" i="3"/>
  <c r="M107" i="3"/>
  <c r="L107" i="3"/>
  <c r="K107" i="3"/>
  <c r="J107" i="3"/>
  <c r="I107" i="3"/>
  <c r="H107" i="3"/>
  <c r="O106" i="3"/>
  <c r="N106" i="3"/>
  <c r="M106" i="3"/>
  <c r="L106" i="3"/>
  <c r="K106" i="3"/>
  <c r="J106" i="3"/>
  <c r="I106" i="3"/>
  <c r="H106" i="3"/>
  <c r="O105" i="3"/>
  <c r="N105" i="3"/>
  <c r="M105" i="3"/>
  <c r="L105" i="3"/>
  <c r="K105" i="3"/>
  <c r="J105" i="3"/>
  <c r="I105" i="3"/>
  <c r="H105" i="3"/>
  <c r="O104" i="3"/>
  <c r="N104" i="3"/>
  <c r="M104" i="3"/>
  <c r="L104" i="3"/>
  <c r="K104" i="3"/>
  <c r="J104" i="3"/>
  <c r="I104" i="3"/>
  <c r="H104" i="3"/>
  <c r="O103" i="3"/>
  <c r="N103" i="3"/>
  <c r="M103" i="3"/>
  <c r="L103" i="3"/>
  <c r="K103" i="3"/>
  <c r="J103" i="3"/>
  <c r="I103" i="3"/>
  <c r="H103" i="3"/>
  <c r="O102" i="3"/>
  <c r="N102" i="3"/>
  <c r="M102" i="3"/>
  <c r="L102" i="3"/>
  <c r="K102" i="3"/>
  <c r="J102" i="3"/>
  <c r="I102" i="3"/>
  <c r="H102" i="3"/>
  <c r="O101" i="3"/>
  <c r="N101" i="3"/>
  <c r="M101" i="3"/>
  <c r="L101" i="3"/>
  <c r="K101" i="3"/>
  <c r="J101" i="3"/>
  <c r="I101" i="3"/>
  <c r="H101" i="3"/>
  <c r="O100" i="3"/>
  <c r="N100" i="3"/>
  <c r="M100" i="3"/>
  <c r="L100" i="3"/>
  <c r="K100" i="3"/>
  <c r="J100" i="3"/>
  <c r="I100" i="3"/>
  <c r="H100" i="3"/>
  <c r="O99" i="3"/>
  <c r="N99" i="3"/>
  <c r="M99" i="3"/>
  <c r="L99" i="3"/>
  <c r="K99" i="3"/>
  <c r="J99" i="3"/>
  <c r="I99" i="3"/>
  <c r="H99" i="3"/>
  <c r="O98" i="3"/>
  <c r="N98" i="3"/>
  <c r="M98" i="3"/>
  <c r="L98" i="3"/>
  <c r="K98" i="3"/>
  <c r="J98" i="3"/>
  <c r="I98" i="3"/>
  <c r="H98" i="3"/>
  <c r="O97" i="3"/>
  <c r="N97" i="3"/>
  <c r="M97" i="3"/>
  <c r="L97" i="3"/>
  <c r="K97" i="3"/>
  <c r="J97" i="3"/>
  <c r="I97" i="3"/>
  <c r="H97" i="3"/>
  <c r="O96" i="3"/>
  <c r="N96" i="3"/>
  <c r="M96" i="3"/>
  <c r="L96" i="3"/>
  <c r="K96" i="3"/>
  <c r="J96" i="3"/>
  <c r="I96" i="3"/>
  <c r="H96" i="3"/>
  <c r="O95" i="3"/>
  <c r="N95" i="3"/>
  <c r="M95" i="3"/>
  <c r="L95" i="3"/>
  <c r="K95" i="3"/>
  <c r="J95" i="3"/>
  <c r="I95" i="3"/>
  <c r="H95" i="3"/>
  <c r="O94" i="3"/>
  <c r="N94" i="3"/>
  <c r="M94" i="3"/>
  <c r="L94" i="3"/>
  <c r="K94" i="3"/>
  <c r="J94" i="3"/>
  <c r="I94" i="3"/>
  <c r="H94" i="3"/>
  <c r="O93" i="3"/>
  <c r="N93" i="3"/>
  <c r="M93" i="3"/>
  <c r="L93" i="3"/>
  <c r="K93" i="3"/>
  <c r="J93" i="3"/>
  <c r="I93" i="3"/>
  <c r="H93" i="3"/>
  <c r="O92" i="3"/>
  <c r="N92" i="3"/>
  <c r="M92" i="3"/>
  <c r="L92" i="3"/>
  <c r="K92" i="3"/>
  <c r="J92" i="3"/>
  <c r="I92" i="3"/>
  <c r="H92" i="3"/>
  <c r="O91" i="3"/>
  <c r="N91" i="3"/>
  <c r="M91" i="3"/>
  <c r="L91" i="3"/>
  <c r="K91" i="3"/>
  <c r="J91" i="3"/>
  <c r="I91" i="3"/>
  <c r="H91" i="3"/>
  <c r="O90" i="3"/>
  <c r="N90" i="3"/>
  <c r="M90" i="3"/>
  <c r="L90" i="3"/>
  <c r="K90" i="3"/>
  <c r="J90" i="3"/>
  <c r="I90" i="3"/>
  <c r="H90" i="3"/>
  <c r="O89" i="3"/>
  <c r="N89" i="3"/>
  <c r="M89" i="3"/>
  <c r="L89" i="3"/>
  <c r="K89" i="3"/>
  <c r="J89" i="3"/>
  <c r="I89" i="3"/>
  <c r="H89" i="3"/>
  <c r="O88" i="3"/>
  <c r="N88" i="3"/>
  <c r="M88" i="3"/>
  <c r="L88" i="3"/>
  <c r="K88" i="3"/>
  <c r="J88" i="3"/>
  <c r="I88" i="3"/>
  <c r="H88" i="3"/>
  <c r="O87" i="3"/>
  <c r="N87" i="3"/>
  <c r="M87" i="3"/>
  <c r="L87" i="3"/>
  <c r="K87" i="3"/>
  <c r="J87" i="3"/>
  <c r="I87" i="3"/>
  <c r="H87" i="3"/>
  <c r="O86" i="3"/>
  <c r="N86" i="3"/>
  <c r="M86" i="3"/>
  <c r="L86" i="3"/>
  <c r="K86" i="3"/>
  <c r="J86" i="3"/>
  <c r="I86" i="3"/>
  <c r="H86" i="3"/>
  <c r="O85" i="3"/>
  <c r="N85" i="3"/>
  <c r="M85" i="3"/>
  <c r="L85" i="3"/>
  <c r="K85" i="3"/>
  <c r="J85" i="3"/>
  <c r="I85" i="3"/>
  <c r="H85" i="3"/>
  <c r="O84" i="3"/>
  <c r="N84" i="3"/>
  <c r="M84" i="3"/>
  <c r="L84" i="3"/>
  <c r="K84" i="3"/>
  <c r="J84" i="3"/>
  <c r="I84" i="3"/>
  <c r="H84" i="3"/>
  <c r="O83" i="3"/>
  <c r="N83" i="3"/>
  <c r="M83" i="3"/>
  <c r="L83" i="3"/>
  <c r="K83" i="3"/>
  <c r="J83" i="3"/>
  <c r="I83" i="3"/>
  <c r="H83" i="3"/>
  <c r="O82" i="3"/>
  <c r="N82" i="3"/>
  <c r="M82" i="3"/>
  <c r="L82" i="3"/>
  <c r="K82" i="3"/>
  <c r="J82" i="3"/>
  <c r="I82" i="3"/>
  <c r="H82" i="3"/>
  <c r="O81" i="3"/>
  <c r="N81" i="3"/>
  <c r="M81" i="3"/>
  <c r="L81" i="3"/>
  <c r="K81" i="3"/>
  <c r="J81" i="3"/>
  <c r="I81" i="3"/>
  <c r="H81" i="3"/>
  <c r="O80" i="3"/>
  <c r="N80" i="3"/>
  <c r="M80" i="3"/>
  <c r="L80" i="3"/>
  <c r="K80" i="3"/>
  <c r="J80" i="3"/>
  <c r="I80" i="3"/>
  <c r="H80" i="3"/>
  <c r="O79" i="3"/>
  <c r="N79" i="3"/>
  <c r="M79" i="3"/>
  <c r="L79" i="3"/>
  <c r="K79" i="3"/>
  <c r="J79" i="3"/>
  <c r="I79" i="3"/>
  <c r="H79" i="3"/>
  <c r="O78" i="3"/>
  <c r="N78" i="3"/>
  <c r="M78" i="3"/>
  <c r="L78" i="3"/>
  <c r="K78" i="3"/>
  <c r="J78" i="3"/>
  <c r="I78" i="3"/>
  <c r="H78" i="3"/>
  <c r="O77" i="3"/>
  <c r="N77" i="3"/>
  <c r="M77" i="3"/>
  <c r="L77" i="3"/>
  <c r="K77" i="3"/>
  <c r="J77" i="3"/>
  <c r="I77" i="3"/>
  <c r="H77" i="3"/>
  <c r="O76" i="3"/>
  <c r="N76" i="3"/>
  <c r="M76" i="3"/>
  <c r="L76" i="3"/>
  <c r="K76" i="3"/>
  <c r="J76" i="3"/>
  <c r="I76" i="3"/>
  <c r="H76" i="3"/>
  <c r="O75" i="3"/>
  <c r="N75" i="3"/>
  <c r="M75" i="3"/>
  <c r="L75" i="3"/>
  <c r="K75" i="3"/>
  <c r="J75" i="3"/>
  <c r="I75" i="3"/>
  <c r="H75" i="3"/>
  <c r="O74" i="3"/>
  <c r="N74" i="3"/>
  <c r="M74" i="3"/>
  <c r="L74" i="3"/>
  <c r="K74" i="3"/>
  <c r="J74" i="3"/>
  <c r="I74" i="3"/>
  <c r="H74" i="3"/>
  <c r="O73" i="3"/>
  <c r="N73" i="3"/>
  <c r="M73" i="3"/>
  <c r="L73" i="3"/>
  <c r="K73" i="3"/>
  <c r="J73" i="3"/>
  <c r="I73" i="3"/>
  <c r="H73" i="3"/>
  <c r="O72" i="3"/>
  <c r="N72" i="3"/>
  <c r="M72" i="3"/>
  <c r="L72" i="3"/>
  <c r="K72" i="3"/>
  <c r="J72" i="3"/>
  <c r="I72" i="3"/>
  <c r="H72" i="3"/>
  <c r="O71" i="3"/>
  <c r="N71" i="3"/>
  <c r="M71" i="3"/>
  <c r="L71" i="3"/>
  <c r="K71" i="3"/>
  <c r="J71" i="3"/>
  <c r="I71" i="3"/>
  <c r="H71" i="3"/>
  <c r="O70" i="3"/>
  <c r="N70" i="3"/>
  <c r="M70" i="3"/>
  <c r="L70" i="3"/>
  <c r="K70" i="3"/>
  <c r="J70" i="3"/>
  <c r="I70" i="3"/>
  <c r="H70" i="3"/>
  <c r="O69" i="3"/>
  <c r="N69" i="3"/>
  <c r="M69" i="3"/>
  <c r="L69" i="3"/>
  <c r="K69" i="3"/>
  <c r="J69" i="3"/>
  <c r="I69" i="3"/>
  <c r="H69" i="3"/>
  <c r="O68" i="3"/>
  <c r="N68" i="3"/>
  <c r="M68" i="3"/>
  <c r="L68" i="3"/>
  <c r="K68" i="3"/>
  <c r="J68" i="3"/>
  <c r="I68" i="3"/>
  <c r="H68" i="3"/>
  <c r="O67" i="3"/>
  <c r="N67" i="3"/>
  <c r="M67" i="3"/>
  <c r="L67" i="3"/>
  <c r="K67" i="3"/>
  <c r="J67" i="3"/>
  <c r="I67" i="3"/>
  <c r="H67" i="3"/>
  <c r="O66" i="3"/>
  <c r="N66" i="3"/>
  <c r="M66" i="3"/>
  <c r="L66" i="3"/>
  <c r="K66" i="3"/>
  <c r="J66" i="3"/>
  <c r="I66" i="3"/>
  <c r="H66" i="3"/>
  <c r="O65" i="3"/>
  <c r="N65" i="3"/>
  <c r="M65" i="3"/>
  <c r="L65" i="3"/>
  <c r="K65" i="3"/>
  <c r="J65" i="3"/>
  <c r="I65" i="3"/>
  <c r="H65" i="3"/>
  <c r="O64" i="3"/>
  <c r="N64" i="3"/>
  <c r="M64" i="3"/>
  <c r="L64" i="3"/>
  <c r="K64" i="3"/>
  <c r="J64" i="3"/>
  <c r="I64" i="3"/>
  <c r="H64" i="3"/>
  <c r="O63" i="3"/>
  <c r="N63" i="3"/>
  <c r="M63" i="3"/>
  <c r="L63" i="3"/>
  <c r="K63" i="3"/>
  <c r="J63" i="3"/>
  <c r="I63" i="3"/>
  <c r="H63" i="3"/>
  <c r="O62" i="3"/>
  <c r="N62" i="3"/>
  <c r="M62" i="3"/>
  <c r="L62" i="3"/>
  <c r="K62" i="3"/>
  <c r="J62" i="3"/>
  <c r="I62" i="3"/>
  <c r="H62" i="3"/>
  <c r="O61" i="3"/>
  <c r="N61" i="3"/>
  <c r="M61" i="3"/>
  <c r="L61" i="3"/>
  <c r="K61" i="3"/>
  <c r="J61" i="3"/>
  <c r="I61" i="3"/>
  <c r="H61" i="3"/>
  <c r="O60" i="3"/>
  <c r="N60" i="3"/>
  <c r="M60" i="3"/>
  <c r="L60" i="3"/>
  <c r="K60" i="3"/>
  <c r="J60" i="3"/>
  <c r="I60" i="3"/>
  <c r="H60" i="3"/>
  <c r="O59" i="3"/>
  <c r="N59" i="3"/>
  <c r="M59" i="3"/>
  <c r="L59" i="3"/>
  <c r="K59" i="3"/>
  <c r="J59" i="3"/>
  <c r="I59" i="3"/>
  <c r="H59" i="3"/>
  <c r="O58" i="3"/>
  <c r="N58" i="3"/>
  <c r="M58" i="3"/>
  <c r="L58" i="3"/>
  <c r="K58" i="3"/>
  <c r="J58" i="3"/>
  <c r="I58" i="3"/>
  <c r="H58" i="3"/>
  <c r="O57" i="3"/>
  <c r="N57" i="3"/>
  <c r="M57" i="3"/>
  <c r="L57" i="3"/>
  <c r="K57" i="3"/>
  <c r="J57" i="3"/>
  <c r="I57" i="3"/>
  <c r="H57" i="3"/>
  <c r="O56" i="3"/>
  <c r="N56" i="3"/>
  <c r="M56" i="3"/>
  <c r="L56" i="3"/>
  <c r="K56" i="3"/>
  <c r="J56" i="3"/>
  <c r="I56" i="3"/>
  <c r="H56" i="3"/>
  <c r="O55" i="3"/>
  <c r="N55" i="3"/>
  <c r="M55" i="3"/>
  <c r="L55" i="3"/>
  <c r="K55" i="3"/>
  <c r="J55" i="3"/>
  <c r="I55" i="3"/>
  <c r="H55" i="3"/>
  <c r="O54" i="3"/>
  <c r="N54" i="3"/>
  <c r="M54" i="3"/>
  <c r="L54" i="3"/>
  <c r="K54" i="3"/>
  <c r="J54" i="3"/>
  <c r="I54" i="3"/>
  <c r="H54" i="3"/>
  <c r="O53" i="3"/>
  <c r="N53" i="3"/>
  <c r="M53" i="3"/>
  <c r="L53" i="3"/>
  <c r="K53" i="3"/>
  <c r="J53" i="3"/>
  <c r="I53" i="3"/>
  <c r="H53" i="3"/>
  <c r="O52" i="3"/>
  <c r="N52" i="3"/>
  <c r="M52" i="3"/>
  <c r="L52" i="3"/>
  <c r="K52" i="3"/>
  <c r="J52" i="3"/>
  <c r="I52" i="3"/>
  <c r="H52" i="3"/>
  <c r="O51" i="3"/>
  <c r="N51" i="3"/>
  <c r="M51" i="3"/>
  <c r="L51" i="3"/>
  <c r="K51" i="3"/>
  <c r="J51" i="3"/>
  <c r="I51" i="3"/>
  <c r="H51" i="3"/>
  <c r="O50" i="3"/>
  <c r="N50" i="3"/>
  <c r="M50" i="3"/>
  <c r="L50" i="3"/>
  <c r="K50" i="3"/>
  <c r="J50" i="3"/>
  <c r="I50" i="3"/>
  <c r="H50" i="3"/>
  <c r="O49" i="3"/>
  <c r="N49" i="3"/>
  <c r="M49" i="3"/>
  <c r="L49" i="3"/>
  <c r="K49" i="3"/>
  <c r="J49" i="3"/>
  <c r="I49" i="3"/>
  <c r="H49" i="3"/>
  <c r="O48" i="3"/>
  <c r="N48" i="3"/>
  <c r="M48" i="3"/>
  <c r="L48" i="3"/>
  <c r="K48" i="3"/>
  <c r="J48" i="3"/>
  <c r="I48" i="3"/>
  <c r="H48" i="3"/>
  <c r="O47" i="3"/>
  <c r="N47" i="3"/>
  <c r="M47" i="3"/>
  <c r="L47" i="3"/>
  <c r="K47" i="3"/>
  <c r="J47" i="3"/>
  <c r="I47" i="3"/>
  <c r="H47" i="3"/>
  <c r="O46" i="3"/>
  <c r="N46" i="3"/>
  <c r="M46" i="3"/>
  <c r="L46" i="3"/>
  <c r="K46" i="3"/>
  <c r="J46" i="3"/>
  <c r="I46" i="3"/>
  <c r="H46" i="3"/>
  <c r="O45" i="3"/>
  <c r="N45" i="3"/>
  <c r="M45" i="3"/>
  <c r="L45" i="3"/>
  <c r="K45" i="3"/>
  <c r="J45" i="3"/>
  <c r="I45" i="3"/>
  <c r="H45" i="3"/>
  <c r="O44" i="3"/>
  <c r="N44" i="3"/>
  <c r="M44" i="3"/>
  <c r="L44" i="3"/>
  <c r="K44" i="3"/>
  <c r="J44" i="3"/>
  <c r="I44" i="3"/>
  <c r="H44" i="3"/>
  <c r="O43" i="3"/>
  <c r="N43" i="3"/>
  <c r="M43" i="3"/>
  <c r="L43" i="3"/>
  <c r="K43" i="3"/>
  <c r="J43" i="3"/>
  <c r="I43" i="3"/>
  <c r="H43" i="3"/>
  <c r="O42" i="3"/>
  <c r="N42" i="3"/>
  <c r="M42" i="3"/>
  <c r="L42" i="3"/>
  <c r="K42" i="3"/>
  <c r="J42" i="3"/>
  <c r="I42" i="3"/>
  <c r="H42" i="3"/>
  <c r="O41" i="3"/>
  <c r="N41" i="3"/>
  <c r="M41" i="3"/>
  <c r="L41" i="3"/>
  <c r="K41" i="3"/>
  <c r="J41" i="3"/>
  <c r="I41" i="3"/>
  <c r="H41" i="3"/>
  <c r="O40" i="3"/>
  <c r="N40" i="3"/>
  <c r="M40" i="3"/>
  <c r="L40" i="3"/>
  <c r="K40" i="3"/>
  <c r="J40" i="3"/>
  <c r="I40" i="3"/>
  <c r="H40" i="3"/>
  <c r="O39" i="3"/>
  <c r="N39" i="3"/>
  <c r="M39" i="3"/>
  <c r="L39" i="3"/>
  <c r="K39" i="3"/>
  <c r="J39" i="3"/>
  <c r="I39" i="3"/>
  <c r="H39" i="3"/>
  <c r="O38" i="3"/>
  <c r="N38" i="3"/>
  <c r="M38" i="3"/>
  <c r="L38" i="3"/>
  <c r="K38" i="3"/>
  <c r="J38" i="3"/>
  <c r="I38" i="3"/>
  <c r="H38" i="3"/>
  <c r="O37" i="3"/>
  <c r="N37" i="3"/>
  <c r="M37" i="3"/>
  <c r="L37" i="3"/>
  <c r="K37" i="3"/>
  <c r="J37" i="3"/>
  <c r="I37" i="3"/>
  <c r="H37" i="3"/>
  <c r="O36" i="3"/>
  <c r="N36" i="3"/>
  <c r="M36" i="3"/>
  <c r="L36" i="3"/>
  <c r="K36" i="3"/>
  <c r="J36" i="3"/>
  <c r="I36" i="3"/>
  <c r="H36" i="3"/>
  <c r="O35" i="3"/>
  <c r="N35" i="3"/>
  <c r="M35" i="3"/>
  <c r="L35" i="3"/>
  <c r="K35" i="3"/>
  <c r="J35" i="3"/>
  <c r="I35" i="3"/>
  <c r="H35" i="3"/>
  <c r="O34" i="3"/>
  <c r="N34" i="3"/>
  <c r="M34" i="3"/>
  <c r="L34" i="3"/>
  <c r="K34" i="3"/>
  <c r="J34" i="3"/>
  <c r="I34" i="3"/>
  <c r="H34" i="3"/>
  <c r="O33" i="3"/>
  <c r="N33" i="3"/>
  <c r="M33" i="3"/>
  <c r="L33" i="3"/>
  <c r="K33" i="3"/>
  <c r="J33" i="3"/>
  <c r="I33" i="3"/>
  <c r="H33" i="3"/>
  <c r="O32" i="3"/>
  <c r="N32" i="3"/>
  <c r="M32" i="3"/>
  <c r="L32" i="3"/>
  <c r="K32" i="3"/>
  <c r="J32" i="3"/>
  <c r="I32" i="3"/>
  <c r="H32" i="3"/>
  <c r="O31" i="3"/>
  <c r="N31" i="3"/>
  <c r="M31" i="3"/>
  <c r="L31" i="3"/>
  <c r="K31" i="3"/>
  <c r="J31" i="3"/>
  <c r="I31" i="3"/>
  <c r="H31" i="3"/>
  <c r="O30" i="3"/>
  <c r="N30" i="3"/>
  <c r="M30" i="3"/>
  <c r="L30" i="3"/>
  <c r="K30" i="3"/>
  <c r="J30" i="3"/>
  <c r="I30" i="3"/>
  <c r="H30" i="3"/>
  <c r="O29" i="3"/>
  <c r="N29" i="3"/>
  <c r="M29" i="3"/>
  <c r="L29" i="3"/>
  <c r="K29" i="3"/>
  <c r="J29" i="3"/>
  <c r="I29" i="3"/>
  <c r="H29" i="3"/>
  <c r="O28" i="3"/>
  <c r="N28" i="3"/>
  <c r="M28" i="3"/>
  <c r="L28" i="3"/>
  <c r="K28" i="3"/>
  <c r="J28" i="3"/>
  <c r="I28" i="3"/>
  <c r="H28" i="3"/>
  <c r="O27" i="3"/>
  <c r="N27" i="3"/>
  <c r="M27" i="3"/>
  <c r="L27" i="3"/>
  <c r="K27" i="3"/>
  <c r="J27" i="3"/>
  <c r="I27" i="3"/>
  <c r="H27" i="3"/>
  <c r="O26" i="3"/>
  <c r="N26" i="3"/>
  <c r="M26" i="3"/>
  <c r="L26" i="3"/>
  <c r="K26" i="3"/>
  <c r="J26" i="3"/>
  <c r="I26" i="3"/>
  <c r="H26" i="3"/>
  <c r="O25" i="3"/>
  <c r="N25" i="3"/>
  <c r="M25" i="3"/>
  <c r="L25" i="3"/>
  <c r="K25" i="3"/>
  <c r="J25" i="3"/>
  <c r="I25" i="3"/>
  <c r="H25" i="3"/>
  <c r="O24" i="3"/>
  <c r="N24" i="3"/>
  <c r="M24" i="3"/>
  <c r="L24" i="3"/>
  <c r="K24" i="3"/>
  <c r="J24" i="3"/>
  <c r="I24" i="3"/>
  <c r="H24" i="3"/>
  <c r="O23" i="3"/>
  <c r="N23" i="3"/>
  <c r="M23" i="3"/>
  <c r="L23" i="3"/>
  <c r="K23" i="3"/>
  <c r="J23" i="3"/>
  <c r="I23" i="3"/>
  <c r="H23" i="3"/>
  <c r="O22" i="3"/>
  <c r="N22" i="3"/>
  <c r="M22" i="3"/>
  <c r="L22" i="3"/>
  <c r="K22" i="3"/>
  <c r="J22" i="3"/>
  <c r="I22" i="3"/>
  <c r="H22" i="3"/>
  <c r="O21" i="3"/>
  <c r="N21" i="3"/>
  <c r="M21" i="3"/>
  <c r="L21" i="3"/>
  <c r="K21" i="3"/>
  <c r="J21" i="3"/>
  <c r="I21" i="3"/>
  <c r="H21" i="3"/>
  <c r="O20" i="3"/>
  <c r="N20" i="3"/>
  <c r="M20" i="3"/>
  <c r="L20" i="3"/>
  <c r="K20" i="3"/>
  <c r="J20" i="3"/>
  <c r="I20" i="3"/>
  <c r="H20" i="3"/>
  <c r="O19" i="3"/>
  <c r="N19" i="3"/>
  <c r="M19" i="3"/>
  <c r="L19" i="3"/>
  <c r="K19" i="3"/>
  <c r="J19" i="3"/>
  <c r="I19" i="3"/>
  <c r="H19" i="3"/>
  <c r="O18" i="3"/>
  <c r="N18" i="3"/>
  <c r="M18" i="3"/>
  <c r="L18" i="3"/>
  <c r="K18" i="3"/>
  <c r="J18" i="3"/>
  <c r="I18" i="3"/>
  <c r="H18" i="3"/>
  <c r="O17" i="3"/>
  <c r="N17" i="3"/>
  <c r="M17" i="3"/>
  <c r="L17" i="3"/>
  <c r="K17" i="3"/>
  <c r="J17" i="3"/>
  <c r="I17" i="3"/>
  <c r="H17" i="3"/>
  <c r="O16" i="3"/>
  <c r="N16" i="3"/>
  <c r="M16" i="3"/>
  <c r="L16" i="3"/>
  <c r="K16" i="3"/>
  <c r="J16" i="3"/>
  <c r="I16" i="3"/>
  <c r="H16" i="3"/>
  <c r="O15" i="3"/>
  <c r="N15" i="3"/>
  <c r="M15" i="3"/>
  <c r="L15" i="3"/>
  <c r="K15" i="3"/>
  <c r="J15" i="3"/>
  <c r="I15" i="3"/>
  <c r="H15" i="3"/>
  <c r="O14" i="3"/>
  <c r="N14" i="3"/>
  <c r="M14" i="3"/>
  <c r="L14" i="3"/>
  <c r="K14" i="3"/>
  <c r="J14" i="3"/>
  <c r="I14" i="3"/>
  <c r="H14" i="3"/>
  <c r="O13" i="3"/>
  <c r="N13" i="3"/>
  <c r="M13" i="3"/>
  <c r="L13" i="3"/>
  <c r="K13" i="3"/>
  <c r="J13" i="3"/>
  <c r="I13" i="3"/>
  <c r="H13" i="3"/>
  <c r="O12" i="3"/>
  <c r="N12" i="3"/>
  <c r="M12" i="3"/>
  <c r="L12" i="3"/>
  <c r="K12" i="3"/>
  <c r="J12" i="3"/>
  <c r="I12" i="3"/>
  <c r="H12" i="3"/>
  <c r="O11" i="3"/>
  <c r="N11" i="3"/>
  <c r="M11" i="3"/>
  <c r="L11" i="3"/>
  <c r="K11" i="3"/>
  <c r="J11" i="3"/>
  <c r="I11" i="3"/>
  <c r="H11" i="3"/>
  <c r="O10" i="3"/>
  <c r="N10" i="3"/>
  <c r="M10" i="3"/>
  <c r="L10" i="3"/>
  <c r="K10" i="3"/>
  <c r="J10" i="3"/>
  <c r="I10" i="3"/>
  <c r="H10" i="3"/>
  <c r="O9" i="3"/>
  <c r="N9" i="3"/>
  <c r="M9" i="3"/>
  <c r="L9" i="3"/>
  <c r="K9" i="3"/>
  <c r="J9" i="3"/>
  <c r="I9" i="3"/>
  <c r="H9" i="3"/>
  <c r="O8" i="3"/>
  <c r="N8" i="3"/>
  <c r="M8" i="3"/>
  <c r="L8" i="3"/>
  <c r="K8" i="3"/>
  <c r="J8" i="3"/>
  <c r="I8" i="3"/>
  <c r="H8" i="3"/>
  <c r="O7" i="3"/>
  <c r="N7" i="3"/>
  <c r="M7" i="3"/>
  <c r="L7" i="3"/>
  <c r="K7" i="3"/>
  <c r="J7" i="3"/>
  <c r="I7" i="3"/>
  <c r="H7" i="3"/>
  <c r="O6" i="3"/>
  <c r="O190" i="3" s="1"/>
  <c r="N6" i="3"/>
  <c r="N190" i="3" s="1"/>
  <c r="M6" i="3"/>
  <c r="M190" i="3" s="1"/>
  <c r="L6" i="3"/>
  <c r="L190" i="3" s="1"/>
  <c r="K6" i="3"/>
  <c r="K190" i="3" s="1"/>
  <c r="J6" i="3"/>
  <c r="J190" i="3" s="1"/>
  <c r="I6" i="3"/>
  <c r="I190" i="3" s="1"/>
  <c r="H6" i="3"/>
  <c r="M22" i="5"/>
  <c r="L22" i="5"/>
  <c r="K22" i="5"/>
  <c r="J22" i="5"/>
  <c r="I22" i="5"/>
  <c r="H22" i="5"/>
  <c r="G22" i="5"/>
  <c r="F22" i="5"/>
  <c r="M21" i="5"/>
  <c r="L21" i="5"/>
  <c r="K21" i="5"/>
  <c r="J21" i="5"/>
  <c r="I21" i="5"/>
  <c r="H21" i="5"/>
  <c r="G21" i="5"/>
  <c r="F21" i="5"/>
  <c r="N21" i="5" s="1"/>
  <c r="M20" i="5"/>
  <c r="L20" i="5"/>
  <c r="K20" i="5"/>
  <c r="J20" i="5"/>
  <c r="I20" i="5"/>
  <c r="H20" i="5"/>
  <c r="G20" i="5"/>
  <c r="F20" i="5"/>
  <c r="N20" i="5" s="1"/>
  <c r="M19" i="5"/>
  <c r="L19" i="5"/>
  <c r="K19" i="5"/>
  <c r="J19" i="5"/>
  <c r="I19" i="5"/>
  <c r="H19" i="5"/>
  <c r="G19" i="5"/>
  <c r="F19" i="5"/>
  <c r="N19" i="5" s="1"/>
  <c r="M18" i="5"/>
  <c r="L18" i="5"/>
  <c r="K18" i="5"/>
  <c r="J18" i="5"/>
  <c r="I18" i="5"/>
  <c r="H18" i="5"/>
  <c r="G18" i="5"/>
  <c r="F18" i="5"/>
  <c r="M17" i="5"/>
  <c r="L17" i="5"/>
  <c r="K17" i="5"/>
  <c r="J17" i="5"/>
  <c r="I17" i="5"/>
  <c r="H17" i="5"/>
  <c r="G17" i="5"/>
  <c r="F17" i="5"/>
  <c r="N17" i="5" s="1"/>
  <c r="M16" i="5"/>
  <c r="L16" i="5"/>
  <c r="K16" i="5"/>
  <c r="J16" i="5"/>
  <c r="I16" i="5"/>
  <c r="H16" i="5"/>
  <c r="G16" i="5"/>
  <c r="F16" i="5"/>
  <c r="N16" i="5" s="1"/>
  <c r="M15" i="5"/>
  <c r="L15" i="5"/>
  <c r="K15" i="5"/>
  <c r="J15" i="5"/>
  <c r="I15" i="5"/>
  <c r="H15" i="5"/>
  <c r="G15" i="5"/>
  <c r="F15" i="5"/>
  <c r="M14" i="5"/>
  <c r="L14" i="5"/>
  <c r="K14" i="5"/>
  <c r="J14" i="5"/>
  <c r="I14" i="5"/>
  <c r="H14" i="5"/>
  <c r="G14" i="5"/>
  <c r="F14" i="5"/>
  <c r="N14" i="5" s="1"/>
  <c r="M13" i="5"/>
  <c r="L13" i="5"/>
  <c r="K13" i="5"/>
  <c r="J13" i="5"/>
  <c r="I13" i="5"/>
  <c r="H13" i="5"/>
  <c r="G13" i="5"/>
  <c r="F13" i="5"/>
  <c r="M12" i="5"/>
  <c r="L12" i="5"/>
  <c r="K12" i="5"/>
  <c r="J12" i="5"/>
  <c r="I12" i="5"/>
  <c r="H12" i="5"/>
  <c r="G12" i="5"/>
  <c r="F12" i="5"/>
  <c r="M11" i="5"/>
  <c r="L11" i="5"/>
  <c r="K11" i="5"/>
  <c r="J11" i="5"/>
  <c r="I11" i="5"/>
  <c r="H11" i="5"/>
  <c r="G11" i="5"/>
  <c r="F11" i="5"/>
  <c r="M10" i="5"/>
  <c r="L10" i="5"/>
  <c r="K10" i="5"/>
  <c r="J10" i="5"/>
  <c r="I10" i="5"/>
  <c r="H10" i="5"/>
  <c r="G10" i="5"/>
  <c r="F10" i="5"/>
  <c r="N10" i="5" s="1"/>
  <c r="M9" i="5"/>
  <c r="L9" i="5"/>
  <c r="K9" i="5"/>
  <c r="J9" i="5"/>
  <c r="I9" i="5"/>
  <c r="H9" i="5"/>
  <c r="G9" i="5"/>
  <c r="F9" i="5"/>
  <c r="M8" i="5"/>
  <c r="L8" i="5"/>
  <c r="K8" i="5"/>
  <c r="J8" i="5"/>
  <c r="I8" i="5"/>
  <c r="H8" i="5"/>
  <c r="G8" i="5"/>
  <c r="F8" i="5"/>
  <c r="M7" i="5"/>
  <c r="L7" i="5"/>
  <c r="K7" i="5"/>
  <c r="J7" i="5"/>
  <c r="I7" i="5"/>
  <c r="H7" i="5"/>
  <c r="G7" i="5"/>
  <c r="F7" i="5"/>
  <c r="M6" i="5"/>
  <c r="M3" i="5" s="1"/>
  <c r="L6" i="5"/>
  <c r="L3" i="5" s="1"/>
  <c r="K6" i="5"/>
  <c r="K3" i="5" s="1"/>
  <c r="J6" i="5"/>
  <c r="J3" i="5" s="1"/>
  <c r="I6" i="5"/>
  <c r="I3" i="5" s="1"/>
  <c r="H6" i="5"/>
  <c r="H3" i="5" s="1"/>
  <c r="G6" i="5"/>
  <c r="G3" i="5" s="1"/>
  <c r="F6" i="5"/>
  <c r="F25" i="5" s="1"/>
  <c r="O59" i="4"/>
  <c r="N59" i="4"/>
  <c r="M59" i="4"/>
  <c r="L59" i="4"/>
  <c r="K59" i="4"/>
  <c r="J59" i="4"/>
  <c r="I59" i="4"/>
  <c r="H59" i="4"/>
  <c r="O58" i="4"/>
  <c r="N58" i="4"/>
  <c r="M58" i="4"/>
  <c r="L58" i="4"/>
  <c r="K58" i="4"/>
  <c r="J58" i="4"/>
  <c r="I58" i="4"/>
  <c r="H58" i="4"/>
  <c r="O57" i="4"/>
  <c r="N57" i="4"/>
  <c r="M57" i="4"/>
  <c r="L57" i="4"/>
  <c r="K57" i="4"/>
  <c r="J57" i="4"/>
  <c r="I57" i="4"/>
  <c r="H57" i="4"/>
  <c r="P57" i="4" s="1"/>
  <c r="O56" i="4"/>
  <c r="N56" i="4"/>
  <c r="M56" i="4"/>
  <c r="L56" i="4"/>
  <c r="K56" i="4"/>
  <c r="J56" i="4"/>
  <c r="I56" i="4"/>
  <c r="H56" i="4"/>
  <c r="O55" i="4"/>
  <c r="N55" i="4"/>
  <c r="M55" i="4"/>
  <c r="L55" i="4"/>
  <c r="K55" i="4"/>
  <c r="J55" i="4"/>
  <c r="I55" i="4"/>
  <c r="H55" i="4"/>
  <c r="O54" i="4"/>
  <c r="N54" i="4"/>
  <c r="M54" i="4"/>
  <c r="L54" i="4"/>
  <c r="K54" i="4"/>
  <c r="J54" i="4"/>
  <c r="I54" i="4"/>
  <c r="H54" i="4"/>
  <c r="O53" i="4"/>
  <c r="N53" i="4"/>
  <c r="M53" i="4"/>
  <c r="L53" i="4"/>
  <c r="K53" i="4"/>
  <c r="J53" i="4"/>
  <c r="I53" i="4"/>
  <c r="H53" i="4"/>
  <c r="O52" i="4"/>
  <c r="N52" i="4"/>
  <c r="M52" i="4"/>
  <c r="L52" i="4"/>
  <c r="K52" i="4"/>
  <c r="J52" i="4"/>
  <c r="I52" i="4"/>
  <c r="H52" i="4"/>
  <c r="O51" i="4"/>
  <c r="N51" i="4"/>
  <c r="M51" i="4"/>
  <c r="L51" i="4"/>
  <c r="K51" i="4"/>
  <c r="J51" i="4"/>
  <c r="I51" i="4"/>
  <c r="H51" i="4"/>
  <c r="O50" i="4"/>
  <c r="N50" i="4"/>
  <c r="M50" i="4"/>
  <c r="L50" i="4"/>
  <c r="K50" i="4"/>
  <c r="J50" i="4"/>
  <c r="I50" i="4"/>
  <c r="H50" i="4"/>
  <c r="O49" i="4"/>
  <c r="N49" i="4"/>
  <c r="M49" i="4"/>
  <c r="L49" i="4"/>
  <c r="K49" i="4"/>
  <c r="J49" i="4"/>
  <c r="I49" i="4"/>
  <c r="H49" i="4"/>
  <c r="O48" i="4"/>
  <c r="N48" i="4"/>
  <c r="M48" i="4"/>
  <c r="L48" i="4"/>
  <c r="K48" i="4"/>
  <c r="J48" i="4"/>
  <c r="I48" i="4"/>
  <c r="H48" i="4"/>
  <c r="O47" i="4"/>
  <c r="N47" i="4"/>
  <c r="M47" i="4"/>
  <c r="L47" i="4"/>
  <c r="K47" i="4"/>
  <c r="J47" i="4"/>
  <c r="I47" i="4"/>
  <c r="H47" i="4"/>
  <c r="O46" i="4"/>
  <c r="N46" i="4"/>
  <c r="M46" i="4"/>
  <c r="L46" i="4"/>
  <c r="K46" i="4"/>
  <c r="J46" i="4"/>
  <c r="I46" i="4"/>
  <c r="H46" i="4"/>
  <c r="O45" i="4"/>
  <c r="N45" i="4"/>
  <c r="M45" i="4"/>
  <c r="L45" i="4"/>
  <c r="K45" i="4"/>
  <c r="J45" i="4"/>
  <c r="I45" i="4"/>
  <c r="H45" i="4"/>
  <c r="O44" i="4"/>
  <c r="N44" i="4"/>
  <c r="M44" i="4"/>
  <c r="L44" i="4"/>
  <c r="K44" i="4"/>
  <c r="J44" i="4"/>
  <c r="I44" i="4"/>
  <c r="H44" i="4"/>
  <c r="O43" i="4"/>
  <c r="N43" i="4"/>
  <c r="M43" i="4"/>
  <c r="L43" i="4"/>
  <c r="K43" i="4"/>
  <c r="J43" i="4"/>
  <c r="I43" i="4"/>
  <c r="H43" i="4"/>
  <c r="O42" i="4"/>
  <c r="N42" i="4"/>
  <c r="M42" i="4"/>
  <c r="L42" i="4"/>
  <c r="K42" i="4"/>
  <c r="J42" i="4"/>
  <c r="I42" i="4"/>
  <c r="H42" i="4"/>
  <c r="O41" i="4"/>
  <c r="N41" i="4"/>
  <c r="M41" i="4"/>
  <c r="L41" i="4"/>
  <c r="K41" i="4"/>
  <c r="J41" i="4"/>
  <c r="I41" i="4"/>
  <c r="H41" i="4"/>
  <c r="O40" i="4"/>
  <c r="N40" i="4"/>
  <c r="M40" i="4"/>
  <c r="L40" i="4"/>
  <c r="K40" i="4"/>
  <c r="J40" i="4"/>
  <c r="I40" i="4"/>
  <c r="H40" i="4"/>
  <c r="O39" i="4"/>
  <c r="N39" i="4"/>
  <c r="M39" i="4"/>
  <c r="L39" i="4"/>
  <c r="K39" i="4"/>
  <c r="J39" i="4"/>
  <c r="I39" i="4"/>
  <c r="H39" i="4"/>
  <c r="O38" i="4"/>
  <c r="N38" i="4"/>
  <c r="M38" i="4"/>
  <c r="L38" i="4"/>
  <c r="K38" i="4"/>
  <c r="J38" i="4"/>
  <c r="I38" i="4"/>
  <c r="H38" i="4"/>
  <c r="O37" i="4"/>
  <c r="N37" i="4"/>
  <c r="M37" i="4"/>
  <c r="L37" i="4"/>
  <c r="K37" i="4"/>
  <c r="J37" i="4"/>
  <c r="I37" i="4"/>
  <c r="H37" i="4"/>
  <c r="O36" i="4"/>
  <c r="N36" i="4"/>
  <c r="M36" i="4"/>
  <c r="L36" i="4"/>
  <c r="K36" i="4"/>
  <c r="J36" i="4"/>
  <c r="I36" i="4"/>
  <c r="H36" i="4"/>
  <c r="O35" i="4"/>
  <c r="N35" i="4"/>
  <c r="M35" i="4"/>
  <c r="L35" i="4"/>
  <c r="K35" i="4"/>
  <c r="J35" i="4"/>
  <c r="I35" i="4"/>
  <c r="H35" i="4"/>
  <c r="O34" i="4"/>
  <c r="N34" i="4"/>
  <c r="M34" i="4"/>
  <c r="L34" i="4"/>
  <c r="K34" i="4"/>
  <c r="J34" i="4"/>
  <c r="I34" i="4"/>
  <c r="H34" i="4"/>
  <c r="O33" i="4"/>
  <c r="N33" i="4"/>
  <c r="M33" i="4"/>
  <c r="L33" i="4"/>
  <c r="K33" i="4"/>
  <c r="J33" i="4"/>
  <c r="I33" i="4"/>
  <c r="H33" i="4"/>
  <c r="O32" i="4"/>
  <c r="N32" i="4"/>
  <c r="M32" i="4"/>
  <c r="L32" i="4"/>
  <c r="K32" i="4"/>
  <c r="J32" i="4"/>
  <c r="I32" i="4"/>
  <c r="H32" i="4"/>
  <c r="O31" i="4"/>
  <c r="N31" i="4"/>
  <c r="M31" i="4"/>
  <c r="L31" i="4"/>
  <c r="K31" i="4"/>
  <c r="J31" i="4"/>
  <c r="I31" i="4"/>
  <c r="H31" i="4"/>
  <c r="O30" i="4"/>
  <c r="N30" i="4"/>
  <c r="M30" i="4"/>
  <c r="L30" i="4"/>
  <c r="K30" i="4"/>
  <c r="J30" i="4"/>
  <c r="I30" i="4"/>
  <c r="H30" i="4"/>
  <c r="O29" i="4"/>
  <c r="N29" i="4"/>
  <c r="M29" i="4"/>
  <c r="L29" i="4"/>
  <c r="K29" i="4"/>
  <c r="J29" i="4"/>
  <c r="I29" i="4"/>
  <c r="H29" i="4"/>
  <c r="O28" i="4"/>
  <c r="N28" i="4"/>
  <c r="M28" i="4"/>
  <c r="L28" i="4"/>
  <c r="K28" i="4"/>
  <c r="J28" i="4"/>
  <c r="I28" i="4"/>
  <c r="H28" i="4"/>
  <c r="O27" i="4"/>
  <c r="N27" i="4"/>
  <c r="M27" i="4"/>
  <c r="L27" i="4"/>
  <c r="K27" i="4"/>
  <c r="J27" i="4"/>
  <c r="I27" i="4"/>
  <c r="H27" i="4"/>
  <c r="O26" i="4"/>
  <c r="N26" i="4"/>
  <c r="M26" i="4"/>
  <c r="L26" i="4"/>
  <c r="K26" i="4"/>
  <c r="J26" i="4"/>
  <c r="I26" i="4"/>
  <c r="H26" i="4"/>
  <c r="O25" i="4"/>
  <c r="N25" i="4"/>
  <c r="M25" i="4"/>
  <c r="L25" i="4"/>
  <c r="K25" i="4"/>
  <c r="J25" i="4"/>
  <c r="I25" i="4"/>
  <c r="H25" i="4"/>
  <c r="O24" i="4"/>
  <c r="N24" i="4"/>
  <c r="M24" i="4"/>
  <c r="L24" i="4"/>
  <c r="K24" i="4"/>
  <c r="J24" i="4"/>
  <c r="I24" i="4"/>
  <c r="H24" i="4"/>
  <c r="O23" i="4"/>
  <c r="N23" i="4"/>
  <c r="M23" i="4"/>
  <c r="L23" i="4"/>
  <c r="K23" i="4"/>
  <c r="J23" i="4"/>
  <c r="I23" i="4"/>
  <c r="H23" i="4"/>
  <c r="O22" i="4"/>
  <c r="N22" i="4"/>
  <c r="M22" i="4"/>
  <c r="L22" i="4"/>
  <c r="K22" i="4"/>
  <c r="J22" i="4"/>
  <c r="I22" i="4"/>
  <c r="H22" i="4"/>
  <c r="O21" i="4"/>
  <c r="N21" i="4"/>
  <c r="M21" i="4"/>
  <c r="L21" i="4"/>
  <c r="K21" i="4"/>
  <c r="J21" i="4"/>
  <c r="I21" i="4"/>
  <c r="H21" i="4"/>
  <c r="O20" i="4"/>
  <c r="N20" i="4"/>
  <c r="M20" i="4"/>
  <c r="L20" i="4"/>
  <c r="K20" i="4"/>
  <c r="J20" i="4"/>
  <c r="I20" i="4"/>
  <c r="H20" i="4"/>
  <c r="O19" i="4"/>
  <c r="N19" i="4"/>
  <c r="M19" i="4"/>
  <c r="L19" i="4"/>
  <c r="K19" i="4"/>
  <c r="J19" i="4"/>
  <c r="I19" i="4"/>
  <c r="H19" i="4"/>
  <c r="O18" i="4"/>
  <c r="N18" i="4"/>
  <c r="M18" i="4"/>
  <c r="L18" i="4"/>
  <c r="K18" i="4"/>
  <c r="J18" i="4"/>
  <c r="I18" i="4"/>
  <c r="H18" i="4"/>
  <c r="O17" i="4"/>
  <c r="N17" i="4"/>
  <c r="M17" i="4"/>
  <c r="L17" i="4"/>
  <c r="K17" i="4"/>
  <c r="J17" i="4"/>
  <c r="I17" i="4"/>
  <c r="H17" i="4"/>
  <c r="O16" i="4"/>
  <c r="N16" i="4"/>
  <c r="M16" i="4"/>
  <c r="L16" i="4"/>
  <c r="K16" i="4"/>
  <c r="J16" i="4"/>
  <c r="I16" i="4"/>
  <c r="H16" i="4"/>
  <c r="O15" i="4"/>
  <c r="N15" i="4"/>
  <c r="M15" i="4"/>
  <c r="L15" i="4"/>
  <c r="K15" i="4"/>
  <c r="J15" i="4"/>
  <c r="I15" i="4"/>
  <c r="H15" i="4"/>
  <c r="O14" i="4"/>
  <c r="N14" i="4"/>
  <c r="M14" i="4"/>
  <c r="L14" i="4"/>
  <c r="K14" i="4"/>
  <c r="J14" i="4"/>
  <c r="I14" i="4"/>
  <c r="H14" i="4"/>
  <c r="O13" i="4"/>
  <c r="N13" i="4"/>
  <c r="M13" i="4"/>
  <c r="L13" i="4"/>
  <c r="K13" i="4"/>
  <c r="J13" i="4"/>
  <c r="I13" i="4"/>
  <c r="H13" i="4"/>
  <c r="O12" i="4"/>
  <c r="N12" i="4"/>
  <c r="M12" i="4"/>
  <c r="L12" i="4"/>
  <c r="K12" i="4"/>
  <c r="J12" i="4"/>
  <c r="I12" i="4"/>
  <c r="H12" i="4"/>
  <c r="O11" i="4"/>
  <c r="N11" i="4"/>
  <c r="M11" i="4"/>
  <c r="L11" i="4"/>
  <c r="K11" i="4"/>
  <c r="J11" i="4"/>
  <c r="I11" i="4"/>
  <c r="H11" i="4"/>
  <c r="O10" i="4"/>
  <c r="N10" i="4"/>
  <c r="M10" i="4"/>
  <c r="L10" i="4"/>
  <c r="K10" i="4"/>
  <c r="J10" i="4"/>
  <c r="I10" i="4"/>
  <c r="H10" i="4"/>
  <c r="O9" i="4"/>
  <c r="N9" i="4"/>
  <c r="M9" i="4"/>
  <c r="L9" i="4"/>
  <c r="K9" i="4"/>
  <c r="J9" i="4"/>
  <c r="I9" i="4"/>
  <c r="H9" i="4"/>
  <c r="O8" i="4"/>
  <c r="N8" i="4"/>
  <c r="M8" i="4"/>
  <c r="L8" i="4"/>
  <c r="K8" i="4"/>
  <c r="J8" i="4"/>
  <c r="I8" i="4"/>
  <c r="H8" i="4"/>
  <c r="O7" i="4"/>
  <c r="N7" i="4"/>
  <c r="M7" i="4"/>
  <c r="L7" i="4"/>
  <c r="K7" i="4"/>
  <c r="J7" i="4"/>
  <c r="I7" i="4"/>
  <c r="H7" i="4"/>
  <c r="O6" i="4"/>
  <c r="N6" i="4"/>
  <c r="M6" i="4"/>
  <c r="L6" i="4"/>
  <c r="K6" i="4"/>
  <c r="J6" i="4"/>
  <c r="I6" i="4"/>
  <c r="H6" i="4"/>
  <c r="O5" i="4"/>
  <c r="N5" i="4"/>
  <c r="M5" i="4"/>
  <c r="L5" i="4"/>
  <c r="K5" i="4"/>
  <c r="J5" i="4"/>
  <c r="I5" i="4"/>
  <c r="H5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61" i="4" s="1"/>
  <c r="N22" i="5"/>
  <c r="N18" i="5"/>
  <c r="N12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P52" i="4" l="1"/>
  <c r="P51" i="4"/>
  <c r="P53" i="4"/>
  <c r="P55" i="4"/>
  <c r="P56" i="4"/>
  <c r="P58" i="4"/>
  <c r="Q58" i="4" s="1"/>
  <c r="P59" i="4"/>
  <c r="Q59" i="4" s="1"/>
  <c r="N8" i="5"/>
  <c r="O8" i="5" s="1"/>
  <c r="N9" i="5"/>
  <c r="O9" i="5" s="1"/>
  <c r="N11" i="5"/>
  <c r="O11" i="5" s="1"/>
  <c r="N13" i="5"/>
  <c r="N15" i="5"/>
  <c r="P50" i="4"/>
  <c r="P54" i="4"/>
  <c r="O12" i="5"/>
  <c r="O16" i="5"/>
  <c r="O20" i="5"/>
  <c r="G190" i="3"/>
  <c r="H190" i="3"/>
  <c r="L3" i="4"/>
  <c r="L61" i="4"/>
  <c r="I3" i="4"/>
  <c r="I61" i="4"/>
  <c r="H3" i="4"/>
  <c r="H61" i="4"/>
  <c r="M3" i="4"/>
  <c r="M61" i="4"/>
  <c r="J3" i="4"/>
  <c r="J61" i="4"/>
  <c r="N3" i="4"/>
  <c r="N61" i="4"/>
  <c r="K3" i="4"/>
  <c r="K61" i="4"/>
  <c r="O3" i="4"/>
  <c r="O61" i="4"/>
  <c r="P28" i="4"/>
  <c r="Q28" i="4" s="1"/>
  <c r="P29" i="4"/>
  <c r="Q29" i="4" s="1"/>
  <c r="P30" i="4"/>
  <c r="Q30" i="4" s="1"/>
  <c r="P32" i="4"/>
  <c r="Q32" i="4" s="1"/>
  <c r="P33" i="4"/>
  <c r="Q33" i="4" s="1"/>
  <c r="P34" i="4"/>
  <c r="Q34" i="4" s="1"/>
  <c r="P37" i="4"/>
  <c r="Q37" i="4" s="1"/>
  <c r="P38" i="4"/>
  <c r="P39" i="4"/>
  <c r="Q39" i="4" s="1"/>
  <c r="P40" i="4"/>
  <c r="Q40" i="4" s="1"/>
  <c r="P41" i="4"/>
  <c r="Q41" i="4" s="1"/>
  <c r="P43" i="4"/>
  <c r="P44" i="4"/>
  <c r="Q44" i="4" s="1"/>
  <c r="P45" i="4"/>
  <c r="Q45" i="4" s="1"/>
  <c r="P46" i="4"/>
  <c r="Q46" i="4" s="1"/>
  <c r="P47" i="4"/>
  <c r="Q47" i="4" s="1"/>
  <c r="P48" i="4"/>
  <c r="Q48" i="4" s="1"/>
  <c r="P49" i="4"/>
  <c r="Q49" i="4" s="1"/>
  <c r="P7" i="4"/>
  <c r="Q7" i="4" s="1"/>
  <c r="P9" i="4"/>
  <c r="Q9" i="4" s="1"/>
  <c r="P10" i="4"/>
  <c r="Q10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P23" i="4"/>
  <c r="Q23" i="4" s="1"/>
  <c r="P24" i="4"/>
  <c r="Q24" i="4" s="1"/>
  <c r="P27" i="4"/>
  <c r="Q27" i="4" s="1"/>
  <c r="P42" i="4"/>
  <c r="Q42" i="4" s="1"/>
  <c r="P35" i="4"/>
  <c r="Q35" i="4" s="1"/>
  <c r="P25" i="4"/>
  <c r="Q25" i="4" s="1"/>
  <c r="P31" i="4"/>
  <c r="Q31" i="4" s="1"/>
  <c r="P26" i="4"/>
  <c r="Q26" i="4" s="1"/>
  <c r="P36" i="4"/>
  <c r="Q36" i="4" s="1"/>
  <c r="P188" i="3"/>
  <c r="Q188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Q42" i="3" s="1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6" i="3"/>
  <c r="Q66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88" i="3"/>
  <c r="Q88" i="3" s="1"/>
  <c r="P89" i="3"/>
  <c r="Q89" i="3" s="1"/>
  <c r="P90" i="3"/>
  <c r="Q90" i="3" s="1"/>
  <c r="P91" i="3"/>
  <c r="Q91" i="3" s="1"/>
  <c r="P92" i="3"/>
  <c r="Q92" i="3" s="1"/>
  <c r="P93" i="3"/>
  <c r="Q93" i="3" s="1"/>
  <c r="P94" i="3"/>
  <c r="Q94" i="3" s="1"/>
  <c r="P95" i="3"/>
  <c r="Q95" i="3" s="1"/>
  <c r="P96" i="3"/>
  <c r="Q96" i="3" s="1"/>
  <c r="P97" i="3"/>
  <c r="Q97" i="3" s="1"/>
  <c r="P98" i="3"/>
  <c r="Q98" i="3" s="1"/>
  <c r="P99" i="3"/>
  <c r="Q99" i="3" s="1"/>
  <c r="P100" i="3"/>
  <c r="Q100" i="3" s="1"/>
  <c r="P101" i="3"/>
  <c r="Q101" i="3" s="1"/>
  <c r="P102" i="3"/>
  <c r="Q102" i="3" s="1"/>
  <c r="P103" i="3"/>
  <c r="Q103" i="3" s="1"/>
  <c r="P104" i="3"/>
  <c r="Q104" i="3" s="1"/>
  <c r="P105" i="3"/>
  <c r="Q105" i="3" s="1"/>
  <c r="P106" i="3"/>
  <c r="Q106" i="3" s="1"/>
  <c r="P107" i="3"/>
  <c r="Q107" i="3" s="1"/>
  <c r="P108" i="3"/>
  <c r="Q108" i="3" s="1"/>
  <c r="P109" i="3"/>
  <c r="Q109" i="3" s="1"/>
  <c r="P110" i="3"/>
  <c r="Q110" i="3" s="1"/>
  <c r="P111" i="3"/>
  <c r="Q111" i="3" s="1"/>
  <c r="P112" i="3"/>
  <c r="Q112" i="3" s="1"/>
  <c r="P113" i="3"/>
  <c r="Q113" i="3" s="1"/>
  <c r="P114" i="3"/>
  <c r="Q114" i="3" s="1"/>
  <c r="P115" i="3"/>
  <c r="Q115" i="3" s="1"/>
  <c r="P116" i="3"/>
  <c r="Q116" i="3" s="1"/>
  <c r="P117" i="3"/>
  <c r="Q117" i="3" s="1"/>
  <c r="P118" i="3"/>
  <c r="Q118" i="3" s="1"/>
  <c r="P119" i="3"/>
  <c r="Q119" i="3" s="1"/>
  <c r="P120" i="3"/>
  <c r="Q120" i="3" s="1"/>
  <c r="P121" i="3"/>
  <c r="Q121" i="3" s="1"/>
  <c r="P122" i="3"/>
  <c r="Q122" i="3" s="1"/>
  <c r="P123" i="3"/>
  <c r="Q123" i="3" s="1"/>
  <c r="P124" i="3"/>
  <c r="Q124" i="3" s="1"/>
  <c r="P125" i="3"/>
  <c r="Q125" i="3" s="1"/>
  <c r="P126" i="3"/>
  <c r="Q126" i="3" s="1"/>
  <c r="P127" i="3"/>
  <c r="Q127" i="3" s="1"/>
  <c r="P128" i="3"/>
  <c r="Q128" i="3" s="1"/>
  <c r="P129" i="3"/>
  <c r="Q129" i="3" s="1"/>
  <c r="P130" i="3"/>
  <c r="Q130" i="3" s="1"/>
  <c r="P131" i="3"/>
  <c r="Q131" i="3" s="1"/>
  <c r="P132" i="3"/>
  <c r="Q132" i="3" s="1"/>
  <c r="P133" i="3"/>
  <c r="Q133" i="3" s="1"/>
  <c r="P134" i="3"/>
  <c r="Q134" i="3" s="1"/>
  <c r="P135" i="3"/>
  <c r="Q135" i="3" s="1"/>
  <c r="P136" i="3"/>
  <c r="Q136" i="3" s="1"/>
  <c r="P137" i="3"/>
  <c r="Q137" i="3" s="1"/>
  <c r="P138" i="3"/>
  <c r="Q138" i="3" s="1"/>
  <c r="P139" i="3"/>
  <c r="Q139" i="3" s="1"/>
  <c r="P140" i="3"/>
  <c r="Q140" i="3" s="1"/>
  <c r="P141" i="3"/>
  <c r="Q141" i="3" s="1"/>
  <c r="P142" i="3"/>
  <c r="Q142" i="3" s="1"/>
  <c r="P143" i="3"/>
  <c r="Q143" i="3" s="1"/>
  <c r="P144" i="3"/>
  <c r="Q144" i="3" s="1"/>
  <c r="P145" i="3"/>
  <c r="Q145" i="3" s="1"/>
  <c r="P146" i="3"/>
  <c r="Q146" i="3" s="1"/>
  <c r="P147" i="3"/>
  <c r="Q147" i="3" s="1"/>
  <c r="P148" i="3"/>
  <c r="Q148" i="3" s="1"/>
  <c r="P149" i="3"/>
  <c r="Q149" i="3" s="1"/>
  <c r="P150" i="3"/>
  <c r="Q150" i="3" s="1"/>
  <c r="P151" i="3"/>
  <c r="Q151" i="3" s="1"/>
  <c r="P152" i="3"/>
  <c r="Q152" i="3" s="1"/>
  <c r="P153" i="3"/>
  <c r="Q153" i="3" s="1"/>
  <c r="P154" i="3"/>
  <c r="Q154" i="3" s="1"/>
  <c r="P155" i="3"/>
  <c r="Q155" i="3" s="1"/>
  <c r="P156" i="3"/>
  <c r="Q156" i="3" s="1"/>
  <c r="P157" i="3"/>
  <c r="Q157" i="3" s="1"/>
  <c r="P158" i="3"/>
  <c r="Q158" i="3" s="1"/>
  <c r="P159" i="3"/>
  <c r="Q159" i="3" s="1"/>
  <c r="P160" i="3"/>
  <c r="Q160" i="3" s="1"/>
  <c r="P161" i="3"/>
  <c r="Q161" i="3" s="1"/>
  <c r="P162" i="3"/>
  <c r="Q162" i="3" s="1"/>
  <c r="P163" i="3"/>
  <c r="Q163" i="3" s="1"/>
  <c r="P164" i="3"/>
  <c r="Q164" i="3" s="1"/>
  <c r="P165" i="3"/>
  <c r="Q165" i="3" s="1"/>
  <c r="P166" i="3"/>
  <c r="Q166" i="3" s="1"/>
  <c r="P167" i="3"/>
  <c r="Q167" i="3" s="1"/>
  <c r="P168" i="3"/>
  <c r="Q168" i="3" s="1"/>
  <c r="P169" i="3"/>
  <c r="Q169" i="3" s="1"/>
  <c r="P170" i="3"/>
  <c r="Q170" i="3" s="1"/>
  <c r="P171" i="3"/>
  <c r="Q171" i="3" s="1"/>
  <c r="P172" i="3"/>
  <c r="Q172" i="3" s="1"/>
  <c r="P173" i="3"/>
  <c r="Q173" i="3" s="1"/>
  <c r="P174" i="3"/>
  <c r="Q174" i="3" s="1"/>
  <c r="P175" i="3"/>
  <c r="Q175" i="3" s="1"/>
  <c r="P176" i="3"/>
  <c r="Q176" i="3" s="1"/>
  <c r="P177" i="3"/>
  <c r="Q177" i="3" s="1"/>
  <c r="P178" i="3"/>
  <c r="Q178" i="3" s="1"/>
  <c r="P179" i="3"/>
  <c r="Q179" i="3" s="1"/>
  <c r="P180" i="3"/>
  <c r="Q180" i="3" s="1"/>
  <c r="P181" i="3"/>
  <c r="Q181" i="3" s="1"/>
  <c r="P182" i="3"/>
  <c r="Q182" i="3" s="1"/>
  <c r="P183" i="3"/>
  <c r="Q183" i="3" s="1"/>
  <c r="P184" i="3"/>
  <c r="Q184" i="3" s="1"/>
  <c r="P185" i="3"/>
  <c r="Q185" i="3" s="1"/>
  <c r="P186" i="3"/>
  <c r="Q186" i="3" s="1"/>
  <c r="P187" i="3"/>
  <c r="Q187" i="3" s="1"/>
  <c r="G3" i="4"/>
  <c r="E3" i="5"/>
  <c r="H25" i="5"/>
  <c r="L25" i="5"/>
  <c r="E25" i="5"/>
  <c r="I25" i="5"/>
  <c r="M25" i="5"/>
  <c r="N7" i="5"/>
  <c r="O7" i="5" s="1"/>
  <c r="J25" i="5"/>
  <c r="G25" i="5"/>
  <c r="K25" i="5"/>
  <c r="N6" i="5"/>
  <c r="O6" i="5" s="1"/>
  <c r="F3" i="5"/>
  <c r="O10" i="5"/>
  <c r="O14" i="5"/>
  <c r="O18" i="5"/>
  <c r="P11" i="4"/>
  <c r="Q11" i="4" s="1"/>
  <c r="P6" i="4"/>
  <c r="P8" i="4"/>
  <c r="Q8" i="4" s="1"/>
  <c r="Q22" i="4"/>
  <c r="Q53" i="4"/>
  <c r="Q57" i="4"/>
  <c r="Q38" i="4"/>
  <c r="Q50" i="4"/>
  <c r="Q54" i="4"/>
  <c r="Q43" i="4"/>
  <c r="Q51" i="4"/>
  <c r="Q55" i="4"/>
  <c r="Q52" i="4"/>
  <c r="Q56" i="4"/>
  <c r="O17" i="5"/>
  <c r="O15" i="5"/>
  <c r="O13" i="5"/>
  <c r="O21" i="5"/>
  <c r="O19" i="5"/>
  <c r="O22" i="5"/>
  <c r="C8" i="1"/>
  <c r="B8" i="1"/>
  <c r="Q190" i="3" l="1"/>
  <c r="P190" i="3"/>
  <c r="P61" i="4"/>
  <c r="O25" i="5"/>
  <c r="N3" i="5"/>
  <c r="N25" i="5"/>
  <c r="O3" i="5"/>
  <c r="Q6" i="4"/>
  <c r="P3" i="4"/>
  <c r="N3" i="3"/>
  <c r="M3" i="3"/>
  <c r="J3" i="3"/>
  <c r="Q3" i="4" l="1"/>
  <c r="Q61" i="4"/>
  <c r="I3" i="3"/>
  <c r="G3" i="3"/>
  <c r="K3" i="3"/>
  <c r="O3" i="3"/>
  <c r="H3" i="3"/>
  <c r="L3" i="3"/>
  <c r="Q3" i="3" l="1"/>
  <c r="P3" i="3"/>
</calcChain>
</file>

<file path=xl/sharedStrings.xml><?xml version="1.0" encoding="utf-8"?>
<sst xmlns="http://schemas.openxmlformats.org/spreadsheetml/2006/main" count="6568" uniqueCount="1682">
  <si>
    <t>Ultrafine Mineral &amp; Admixtures Pvt. Ltd.</t>
  </si>
  <si>
    <t>76/1N, Wardha Road, Mouza Dongargaon, Nagpur,</t>
  </si>
  <si>
    <t>Maharashtra- 441108</t>
  </si>
  <si>
    <t>UDYAM : UDYAM-MH-20-0007365 (Small/Mfgr)</t>
  </si>
  <si>
    <t>CIN: U24100MH2020PTC338575</t>
  </si>
  <si>
    <t>Sundry Creditors</t>
  </si>
  <si>
    <t>Group Summary</t>
  </si>
  <si>
    <t>Particulars</t>
  </si>
  <si>
    <t>Closing Balance</t>
  </si>
  <si>
    <t>Debit</t>
  </si>
  <si>
    <t>Credit</t>
  </si>
  <si>
    <t>ACE HIMALAYAN FERRO ALLOYS PRIVATE LIMITED - CRS</t>
  </si>
  <si>
    <t>ADHUNIK TRASNPORT ORGANISATION LIMITED - Crs</t>
  </si>
  <si>
    <t>ADVITA POLYCRAFT LLP - Crs</t>
  </si>
  <si>
    <t>AIRMAX AUTOMATION - CRS</t>
  </si>
  <si>
    <t>Akash Body Bildders-CRS</t>
  </si>
  <si>
    <t>AKBAR TRAVELS OF INDIA PVT. LTD-Crs</t>
  </si>
  <si>
    <t>AKRUTI ENTERPRISE-CRS</t>
  </si>
  <si>
    <t>AMBUJA CEMENTS LIMITED -Crs</t>
  </si>
  <si>
    <t>Arcelormittal Nippon Steel India Limited - Crs</t>
  </si>
  <si>
    <t>ARKAY LOGISTICS-Crs</t>
  </si>
  <si>
    <t>Arya CS - Crs</t>
  </si>
  <si>
    <t>ASHCONNECT GLOBAL TRADING Pvt Ltd- Crs</t>
  </si>
  <si>
    <t>ASHOKA BUILDCON LIMITED-Crs</t>
  </si>
  <si>
    <t>Ashvarya Kumar Verma-Employee</t>
  </si>
  <si>
    <t>Asia Minerals and Machinery Company - Crs</t>
  </si>
  <si>
    <t>Asl Logistics Private Limited-Crs</t>
  </si>
  <si>
    <t>Atharva Enterprises - Crs</t>
  </si>
  <si>
    <t>AVENGERS SECURITY SERVICES-CR</t>
  </si>
  <si>
    <t>BAHUBALI CHEMICAL INDUSTRIES-CRS</t>
  </si>
  <si>
    <t>Balram Kumar Chakrawarti - Employee</t>
  </si>
  <si>
    <t>Bandu Naik - Employee</t>
  </si>
  <si>
    <t>BGR Constructions - Crs</t>
  </si>
  <si>
    <t>Bhamra Transport - Crs</t>
  </si>
  <si>
    <t>Bharat Engineering - Crs</t>
  </si>
  <si>
    <t>BHARTIBEN SATISHBHAI PATEL-CR</t>
  </si>
  <si>
    <t>BHASKAR ENTERPRISE - Crs</t>
  </si>
  <si>
    <t>BHUMAN ENTERPRISE-Crs</t>
  </si>
  <si>
    <t>Bipin Jadhav Guest House - Crs</t>
  </si>
  <si>
    <t>BISWAJIT RUI DAS - Crs</t>
  </si>
  <si>
    <t>BN TRADING AND TRANSPORT COMPANY-CR</t>
  </si>
  <si>
    <t>BOMMI SUNEEL KUMAR-Employee</t>
  </si>
  <si>
    <t>B Stone Product - Crs</t>
  </si>
  <si>
    <t>Chettinad Cement Corporation Private Limited - Crs</t>
  </si>
  <si>
    <t>CJ DARCL Logistics Limited-Crs</t>
  </si>
  <si>
    <t>Connect Residuary Pvt Ltd - Crs</t>
  </si>
  <si>
    <t>Continental Belting Pvt Ltd - Crs</t>
  </si>
  <si>
    <t>Csrl-Structwel Lab (Pune) Private Limited Crs</t>
  </si>
  <si>
    <t>CtrlP Solutions Private Limited - Crs</t>
  </si>
  <si>
    <t>Dattakrupa Minerals - Crs</t>
  </si>
  <si>
    <t>Deepak Shrivastava - Employee</t>
  </si>
  <si>
    <t>DEEP ENTERPRISES-CRS</t>
  </si>
  <si>
    <t>Desai Cement Company Pvt Ltd-Crs</t>
  </si>
  <si>
    <t>Devanand B. Singh - Employee</t>
  </si>
  <si>
    <t>DEVENDRA CHAUHAN REFRACTORY WORKS -CRS</t>
  </si>
  <si>
    <t>Dev Security Services- Crs</t>
  </si>
  <si>
    <t>D &amp; H SECHERON INFRASTRUCTURE PVT LTD - CRS</t>
  </si>
  <si>
    <t>D.K. SERVICES - Crs</t>
  </si>
  <si>
    <t>DOED JUNG KUEN PHEN TRADING HOUSE-CRS</t>
  </si>
  <si>
    <t>Dutta Auto Centre</t>
  </si>
  <si>
    <t>Eon Infotech Ltd - Crs</t>
  </si>
  <si>
    <t>ETC POOL - Crs</t>
  </si>
  <si>
    <t>Eurocem Additives Private Limited-Crs</t>
  </si>
  <si>
    <t>Exalt Druk Enviroklens Pvt Ltd - Crs</t>
  </si>
  <si>
    <t>FAITH INFRA-CRS</t>
  </si>
  <si>
    <t>FIRDOSH ERUCH ICHHAPORIA-Crs</t>
  </si>
  <si>
    <t>Fourteckh Enviro India Pvt Ltd - Crs</t>
  </si>
  <si>
    <t>Ganesh Trading &amp; Industries LLP - Crs</t>
  </si>
  <si>
    <t>G D Packaging - Crs</t>
  </si>
  <si>
    <t>Harrier Security Services Private Limited-Crs</t>
  </si>
  <si>
    <t>HDFC IOCL CREDIT CARD</t>
  </si>
  <si>
    <t>Hella Infra Market Limited-Crs</t>
  </si>
  <si>
    <t>H R Industries -  Crs</t>
  </si>
  <si>
    <t>INDIA INTERNATIONAL COMPANY - Crs</t>
  </si>
  <si>
    <t>Indian Oil Corporation Limited - Crs</t>
  </si>
  <si>
    <t>Info Tech Computers - Crs</t>
  </si>
  <si>
    <t>JAI Energy Giant Engineering and consultancy - Crs</t>
  </si>
  <si>
    <t>JASSPER SHIPPING INDIA LIMITED- CRS</t>
  </si>
  <si>
    <t>JFC Logistics - Crs</t>
  </si>
  <si>
    <t>Jhuman Bagdi- Crs</t>
  </si>
  <si>
    <t>JINDAL POWER LIMITED-Crs</t>
  </si>
  <si>
    <t>Joshi Dharmarajan Andezath - Employee</t>
  </si>
  <si>
    <t>Kamakhya Enterprises - Crs</t>
  </si>
  <si>
    <t>KAMAL S PATIL - Crs</t>
  </si>
  <si>
    <t>Kaneria Building Solutions Pvt Ltd - Crs</t>
  </si>
  <si>
    <t>KAPIL THAKARE - Crs</t>
  </si>
  <si>
    <t>K D Enterprises-Crs</t>
  </si>
  <si>
    <t>KFin Technologies Limited - Crs</t>
  </si>
  <si>
    <t>KGR Logistics - Crs</t>
  </si>
  <si>
    <t>Kinshar Metals - Crs</t>
  </si>
  <si>
    <t>Krishna Enterprise(Guj)-Crs</t>
  </si>
  <si>
    <t>KRISHNA ENTERPRISES- Crs</t>
  </si>
  <si>
    <t>Krishna Konar - Crs</t>
  </si>
  <si>
    <t>Krishnendu Konar CRS</t>
  </si>
  <si>
    <t>LAXMI ENGINEERING INDUSTRIES - CRS</t>
  </si>
  <si>
    <t>Lubricating Centre Pvt Ltd</t>
  </si>
  <si>
    <t>Lub Solutions Pvt Ltd - Crs</t>
  </si>
  <si>
    <t>LUCKY TOOLS CENTRE-CRS</t>
  </si>
  <si>
    <t>Luk Enterprises - Crs</t>
  </si>
  <si>
    <t>Maa Jodh Roadways-Crs</t>
  </si>
  <si>
    <t>Mahalaxmi Industrial &amp; Hardware Store - Crs</t>
  </si>
  <si>
    <t>Mangal Packaging Industries - Crs</t>
  </si>
  <si>
    <t>MANNAT CONSTRUCTIONS - Crs</t>
  </si>
  <si>
    <t>M B ENTERPRISE- Crs</t>
  </si>
  <si>
    <t>M.B.S. Construction</t>
  </si>
  <si>
    <t>Mbs Enterprise (Crusher) - Crs</t>
  </si>
  <si>
    <t>Mehar Engineering Works</t>
  </si>
  <si>
    <t>Miloni International - Crs</t>
  </si>
  <si>
    <t>Modern Logistics - Crs</t>
  </si>
  <si>
    <t>Mollick Tube- Crs</t>
  </si>
  <si>
    <t>MSEDCL - CRS</t>
  </si>
  <si>
    <t>M/s  Jadav  Enterprise - Crs</t>
  </si>
  <si>
    <t>MSJ Movers - CRS</t>
  </si>
  <si>
    <t>M/s Macro Engineers-Crs</t>
  </si>
  <si>
    <t>M/s Manuwar Shaikh - Crs</t>
  </si>
  <si>
    <t>M/s Manuwar Shaikh (Crusher)- Crs</t>
  </si>
  <si>
    <t>M/S SHAKTI MACHINERY &amp; MILL STORE-CRS</t>
  </si>
  <si>
    <t>Nachiyar Transport - Crs</t>
  </si>
  <si>
    <t>Naresh Gupta - Employee</t>
  </si>
  <si>
    <t>NAVEEN P REDDY - Crs</t>
  </si>
  <si>
    <t>Neofines Solution-CRS</t>
  </si>
  <si>
    <t>Neptune Readymix Concrete Pvt. Ltd.(Cochin)-Vendor - Crs</t>
  </si>
  <si>
    <t>Neptune Readymix Concrete Pvt. Ltd. - Crs</t>
  </si>
  <si>
    <t>NEPTUNE READYMIX CONCRETE.PVT.LTD - MUPPATHADOM - Crs</t>
  </si>
  <si>
    <t>NIGAM CAR SERVICES</t>
  </si>
  <si>
    <t>N P Services - Crs</t>
  </si>
  <si>
    <t>Om Balaji - Crs</t>
  </si>
  <si>
    <t>Om Sai Krupa Chai - Crs</t>
  </si>
  <si>
    <t>Paras Sales Corporation -Crs</t>
  </si>
  <si>
    <t>P A Steel and Co - Crs</t>
  </si>
  <si>
    <t>Prabhat Crane Service-CRS</t>
  </si>
  <si>
    <t>Premier Roadlines Ltd - Crs</t>
  </si>
  <si>
    <t>P.S. Agency-CRS</t>
  </si>
  <si>
    <t>PUNAGHAR MATA TOOL CENTER - Crs</t>
  </si>
  <si>
    <t>Purnendu Konar - Crs</t>
  </si>
  <si>
    <t>Rabiul Ansari - Crs</t>
  </si>
  <si>
    <t>Rajeswar Polai - Employee</t>
  </si>
  <si>
    <t>Raju &amp; Prasad Charted Accountant-Crs</t>
  </si>
  <si>
    <t>Ramakant L Dalal - Crs</t>
  </si>
  <si>
    <t>Ram Innovation &amp; Solutions-Crs</t>
  </si>
  <si>
    <t>RANJAN MAHANANDA - Employee</t>
  </si>
  <si>
    <t>RDC Concrete (India) Pvt Ltd (Bangalore)-Crs</t>
  </si>
  <si>
    <t>RDC Concrete (India) Pvt Ltd (chattisgarh) - Crs</t>
  </si>
  <si>
    <t>RDC Concrete (India) Pvt Ltd (Chennai)-Crs</t>
  </si>
  <si>
    <t>RDC Concrete (India) Pvt Ltd (Gujarat)-Crs</t>
  </si>
  <si>
    <t>RDC Concrete (India) Pvt Ltd (Haryana)-Crs</t>
  </si>
  <si>
    <t>RDC Concrete (India) Pvt Ltd (Head Office) - Crs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</si>
  <si>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</si>
  <si>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</si>
  <si>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</si>
  <si>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</si>
  <si>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</si>
  <si>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Rehaman Transport - Crs</t>
  </si>
  <si>
    <t>R. G. Brothers Engineering Works - Crs</t>
  </si>
  <si>
    <t>Rice Lake Weighing System India - Crs</t>
  </si>
  <si>
    <t>RMB KNOVATECH PVT LTD. - Crs</t>
  </si>
  <si>
    <t>RND Bearings - Crs</t>
  </si>
  <si>
    <t>ROBO SILICON PRIVATE LIMITED - Crs</t>
  </si>
  <si>
    <t>Rohit Prasad - Employee</t>
  </si>
  <si>
    <t>ROYAL ENGINEERING WORKS - Crs</t>
  </si>
  <si>
    <t>Rushika Enterprise - Crs</t>
  </si>
  <si>
    <t>Sainath Roadways &amp; Co. - Crs</t>
  </si>
  <si>
    <t>Saiprasad Naik &amp; Associates - Crs</t>
  </si>
  <si>
    <t>SAI SAMARTH SECURITY SERVICES &amp; LABOUR SUPPLIER - Crs</t>
  </si>
  <si>
    <t>Saket Road Carriers Pvt Ltd - Crs</t>
  </si>
  <si>
    <t>SAM Contruction-Crs</t>
  </si>
  <si>
    <t>Sandeep Singh - Employee</t>
  </si>
  <si>
    <t>SGS Impex - Crs</t>
  </si>
  <si>
    <t>Shahabaz Khan - Employee</t>
  </si>
  <si>
    <t>SHIV OM PREFAB INFRA AND LOGISTICS-Crs</t>
  </si>
  <si>
    <t>SHIVSHAKTI ENTERPRISES - Crs</t>
  </si>
  <si>
    <t>SHREEKRISHNA SUPPLIERS-Crs</t>
  </si>
  <si>
    <t>Shree Mahalaxmi Traders-Crs</t>
  </si>
  <si>
    <t>Shree Parivahan Limited - Crs</t>
  </si>
  <si>
    <t>SHREE PAWAN ENTERPRISES -CRS</t>
  </si>
  <si>
    <t>SHREYASHI H VAKHARIA - Crs</t>
  </si>
  <si>
    <t>Shri Mangalmurti Logistics - Crs</t>
  </si>
  <si>
    <t>Shri Raghavendra Enterprises - Crs</t>
  </si>
  <si>
    <t>Shri Veereshwar Transport</t>
  </si>
  <si>
    <t>Siddhi Vinayak Corporation-Crs</t>
  </si>
  <si>
    <t>Sigma Automation - Crs</t>
  </si>
  <si>
    <t>Singh Traders-Crs</t>
  </si>
  <si>
    <t>SIS LIMITED-CRS</t>
  </si>
  <si>
    <t>S.K EARTHMOVERS-CRS</t>
  </si>
  <si>
    <t>S. K. Traders-Crs</t>
  </si>
  <si>
    <t>SMAS AUTO LEASING INDIA PRIVATE LIMITED-CRS</t>
  </si>
  <si>
    <t>SOCIAM EQUIPMENT SOLUTIONS PRIVATE LIMITED-CRS</t>
  </si>
  <si>
    <t>Spectro Ssa Labs Private Limited - Crs</t>
  </si>
  <si>
    <t>SREERAMA INDUSTRIES PRIVATE LIMITED-Crs</t>
  </si>
  <si>
    <t>SRL Group and Company - Crs</t>
  </si>
  <si>
    <t>SSP Enterprises - Crs</t>
  </si>
  <si>
    <t>Steel &amp; Power-CR (CAP) - Crs</t>
  </si>
  <si>
    <t>Subhendu Konar - Crs</t>
  </si>
  <si>
    <t>SULTAN ENTERPRISES-CRS</t>
  </si>
  <si>
    <t>Sumit Goods Carrier(Arabinda Kumar Das) - CRS</t>
  </si>
  <si>
    <t>Sunshine Associates-Crs</t>
  </si>
  <si>
    <t>Swaraj Pandey - Employee</t>
  </si>
  <si>
    <t>Thirumala Enterprises - Crs</t>
  </si>
  <si>
    <t>THORON TURNKEY SOLUTIONS PRIVATE LIMITED-CRS</t>
  </si>
  <si>
    <t>TMS ENTERPRISES - Crs</t>
  </si>
  <si>
    <t>TPI Industries</t>
  </si>
  <si>
    <t>Ultrafine Mineral &amp; Admixtures (Maharashtra) - Crs</t>
  </si>
  <si>
    <t>URC Logistics Private Limited - Crs</t>
  </si>
  <si>
    <t>Uttam Engineering - Crs</t>
  </si>
  <si>
    <t>Vadlamudi Veerabhadra Rao - Crs</t>
  </si>
  <si>
    <t>Vaishnavi Aggregates - Crs</t>
  </si>
  <si>
    <t>Vedanta Limited (Goa) - Crs</t>
  </si>
  <si>
    <t>Vinayak Minerals - Crs</t>
  </si>
  <si>
    <t>Vinayak Oil Industries - Crs</t>
  </si>
  <si>
    <t>VRAJ Cement Carrier LLP Maharashtra - Crs</t>
  </si>
  <si>
    <t>WARSI ROADWAYS-CRS</t>
  </si>
  <si>
    <t>WBSEDCL-CRS</t>
  </si>
  <si>
    <t>Well Erectors Of Engineering Technology Private Limited - Crs</t>
  </si>
  <si>
    <t>Yaa Baba Taj Restaurants - CRS</t>
  </si>
  <si>
    <t>Yahska Polymers Pvt. Ltd. - Crs</t>
  </si>
  <si>
    <t>Yantraman Automac Pvt Ltd-Crs</t>
  </si>
  <si>
    <t>Yogya Logistics Pvt Ltd-CRS</t>
  </si>
  <si>
    <t>Zippmat Private Limited - Crs</t>
  </si>
  <si>
    <t>Grand Total</t>
  </si>
  <si>
    <t>Group :</t>
  </si>
  <si>
    <t>Details of:</t>
  </si>
  <si>
    <t>Pending Bills</t>
  </si>
  <si>
    <t>Date</t>
  </si>
  <si>
    <t>Ref. No.</t>
  </si>
  <si>
    <t>Party's Name</t>
  </si>
  <si>
    <t>Cost Center/Location</t>
  </si>
  <si>
    <t>Opening Amount</t>
  </si>
  <si>
    <t>Pending Amount</t>
  </si>
  <si>
    <t>Overdue Days</t>
  </si>
  <si>
    <t>Ageing Bucket</t>
  </si>
  <si>
    <t>New Amt</t>
  </si>
  <si>
    <t>CHN/2122/00447</t>
  </si>
  <si>
    <t>Bangalore</t>
  </si>
  <si>
    <t>Above 365 Days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</si>
  <si>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</si>
  <si>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</si>
  <si>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</si>
  <si>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</si>
  <si>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</si>
  <si>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</si>
  <si>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</si>
  <si>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</si>
  <si>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</si>
  <si>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</si>
  <si>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</si>
  <si>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</si>
  <si>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</si>
  <si>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</si>
  <si>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</si>
  <si>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</si>
  <si>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CHN/2122/00624</t>
  </si>
  <si>
    <t>CHN/2122/00612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</si>
  <si>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</si>
  <si>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</si>
  <si>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</si>
  <si>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</si>
  <si>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</si>
  <si>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</si>
  <si>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</si>
  <si>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</si>
  <si>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</si>
  <si>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</si>
  <si>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</si>
  <si>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</si>
  <si>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</si>
  <si>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</si>
  <si>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</si>
  <si>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</si>
  <si>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</si>
  <si>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</si>
  <si>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</si>
  <si>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</si>
  <si>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</si>
  <si>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</si>
  <si>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</si>
  <si>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</si>
  <si>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</si>
  <si>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</si>
  <si>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</si>
  <si>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</si>
  <si>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Nagpur</t>
  </si>
  <si>
    <t>CHN/2223/00226</t>
  </si>
  <si>
    <t>CHN/2223/00253</t>
  </si>
  <si>
    <t>2722230001</t>
  </si>
  <si>
    <t>Telangana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</si>
  <si>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</si>
  <si>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</si>
  <si>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</si>
  <si>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</si>
  <si>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</si>
  <si>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</si>
  <si>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</si>
  <si>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</si>
  <si>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</si>
  <si>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CHN/2324/00084</t>
  </si>
  <si>
    <t>CHN/2324/00102</t>
  </si>
  <si>
    <t>CHN2324/00129</t>
  </si>
  <si>
    <t>CHN2324/00153</t>
  </si>
  <si>
    <t>CHN2324/00178</t>
  </si>
  <si>
    <t>CHN2324/00194</t>
  </si>
  <si>
    <t>3453</t>
  </si>
  <si>
    <t>CHN/2324/00214</t>
  </si>
  <si>
    <t>CHN/2324/00237</t>
  </si>
  <si>
    <t>CHN/2324/00271</t>
  </si>
  <si>
    <t>CHN/2425/00021</t>
  </si>
  <si>
    <t>PRL/01134/24-25</t>
  </si>
  <si>
    <t>Gujarat</t>
  </si>
  <si>
    <t>CHN/2425/00050</t>
  </si>
  <si>
    <t>CHN/2425/00073</t>
  </si>
  <si>
    <t>CHN/2425/00094</t>
  </si>
  <si>
    <t>1750246298</t>
  </si>
  <si>
    <t>LSPL/24-25/400</t>
  </si>
  <si>
    <t>Goa</t>
  </si>
  <si>
    <t>509</t>
  </si>
  <si>
    <t>1750246755</t>
  </si>
  <si>
    <t>WEET/RDC/024</t>
  </si>
  <si>
    <t>JV/HO/2526/0009</t>
  </si>
  <si>
    <t>Head Office</t>
  </si>
  <si>
    <t>20KGRL/2025-26</t>
  </si>
  <si>
    <t>Nellore</t>
  </si>
  <si>
    <t>038</t>
  </si>
  <si>
    <t>Vizag</t>
  </si>
  <si>
    <t>JV/HO/2526/0024</t>
  </si>
  <si>
    <t>181-365 Days</t>
  </si>
  <si>
    <t>07</t>
  </si>
  <si>
    <t>027</t>
  </si>
  <si>
    <t>PV/GUJ/2526/0123</t>
  </si>
  <si>
    <t>190</t>
  </si>
  <si>
    <t>189</t>
  </si>
  <si>
    <t>191</t>
  </si>
  <si>
    <t>192</t>
  </si>
  <si>
    <t>Ash/12</t>
  </si>
  <si>
    <t>flyash</t>
  </si>
  <si>
    <t>ASH/13</t>
  </si>
  <si>
    <t>2KL25ARMN10</t>
  </si>
  <si>
    <t>Panagarh (Aggregate) WB</t>
  </si>
  <si>
    <t>2KL25ARMN12</t>
  </si>
  <si>
    <t>JV/HO/2526/0073</t>
  </si>
  <si>
    <t>JV/GUJ/2526/0038</t>
  </si>
  <si>
    <t>Ash/15</t>
  </si>
  <si>
    <t>Ash/16</t>
  </si>
  <si>
    <t>HM27/2526/069328</t>
  </si>
  <si>
    <t>JV/HO/2526/0070</t>
  </si>
  <si>
    <t>2KL25ARMN18</t>
  </si>
  <si>
    <t>13HY25ARMN18</t>
  </si>
  <si>
    <t>252900006</t>
  </si>
  <si>
    <t>252900007</t>
  </si>
  <si>
    <t>wada</t>
  </si>
  <si>
    <t>1CH25ARMN126</t>
  </si>
  <si>
    <t>84</t>
  </si>
  <si>
    <t>SE/27/2526/00182</t>
  </si>
  <si>
    <t>Ash/21</t>
  </si>
  <si>
    <t>88</t>
  </si>
  <si>
    <t>89</t>
  </si>
  <si>
    <t>Ash/22</t>
  </si>
  <si>
    <t>JV/HO/2526/0085</t>
  </si>
  <si>
    <t>2KL25ARMN56</t>
  </si>
  <si>
    <t>3KL25ARMN17</t>
  </si>
  <si>
    <t>13HY25ARMN19</t>
  </si>
  <si>
    <t>WEET/RDC/026</t>
  </si>
  <si>
    <t>SKA/ULT/0625/001</t>
  </si>
  <si>
    <t>SKA/ULT/0625/002</t>
  </si>
  <si>
    <t>92</t>
  </si>
  <si>
    <t>SE/29/2526/00146</t>
  </si>
  <si>
    <t>SE/29/2526/00181</t>
  </si>
  <si>
    <t>95</t>
  </si>
  <si>
    <t>99</t>
  </si>
  <si>
    <t>PV/WBA/2526/0170</t>
  </si>
  <si>
    <t>PV/WBA/2526/0156</t>
  </si>
  <si>
    <t>13HY25ARMN23</t>
  </si>
  <si>
    <t>GOA/25-26/0340</t>
  </si>
  <si>
    <t>6CH25ARMN109</t>
  </si>
  <si>
    <t>JV/HO/2526/0099</t>
  </si>
  <si>
    <t>3KL25ARMN26</t>
  </si>
  <si>
    <t>2KL25ARMN86</t>
  </si>
  <si>
    <t>13HY25ARMN22</t>
  </si>
  <si>
    <t>13HY25ARMN21</t>
  </si>
  <si>
    <t>252900008</t>
  </si>
  <si>
    <t>252900009</t>
  </si>
  <si>
    <t>2SR25ARS33</t>
  </si>
  <si>
    <t>2SR25ARS34</t>
  </si>
  <si>
    <t>BNWBDRG25000223</t>
  </si>
  <si>
    <t>BNWBDRG25000386</t>
  </si>
  <si>
    <t>1RA25ARMN10</t>
  </si>
  <si>
    <t>1CH25ARMN37</t>
  </si>
  <si>
    <t>2KL25ARMN7</t>
  </si>
  <si>
    <t>2GN25ARMN26</t>
  </si>
  <si>
    <t>1PU25ARMN9</t>
  </si>
  <si>
    <t>1PU25ARMN4</t>
  </si>
  <si>
    <t>1LU25ARMN75</t>
  </si>
  <si>
    <t>13HY25ARMN20</t>
  </si>
  <si>
    <t>JV/HO/2526/0236</t>
  </si>
  <si>
    <t>PV/GOA/2526/0532</t>
  </si>
  <si>
    <t>114_2025-26</t>
  </si>
  <si>
    <t>PV/KA/2526/0041</t>
  </si>
  <si>
    <t>Ash/23</t>
  </si>
  <si>
    <t>LUK/UF-ST/RA 10</t>
  </si>
  <si>
    <t>6CH25ARMN120</t>
  </si>
  <si>
    <t>JV/HO/2526/0124</t>
  </si>
  <si>
    <t>2KL25ARMN116</t>
  </si>
  <si>
    <t>3KL25ARMN29</t>
  </si>
  <si>
    <t>13HY25ARMN24</t>
  </si>
  <si>
    <t>252900012</t>
  </si>
  <si>
    <t>252900011</t>
  </si>
  <si>
    <t>252900010</t>
  </si>
  <si>
    <t>SE/29/2526/00252</t>
  </si>
  <si>
    <t>SE/29/2526/00254</t>
  </si>
  <si>
    <t>ABB/018/25-26</t>
  </si>
  <si>
    <t>JV/GOA/2526/0231</t>
  </si>
  <si>
    <t>BNWBDRG25000213</t>
  </si>
  <si>
    <t>BNWBDRG25000104</t>
  </si>
  <si>
    <t>SE/29/2526/00253</t>
  </si>
  <si>
    <t>SE/29/2526/00255</t>
  </si>
  <si>
    <t>118</t>
  </si>
  <si>
    <t>120</t>
  </si>
  <si>
    <t>13HY25ARMN25</t>
  </si>
  <si>
    <t>Panagarh (Microsilica) WB</t>
  </si>
  <si>
    <t>122</t>
  </si>
  <si>
    <t>BNWBDRG24001113</t>
  </si>
  <si>
    <t>BNWBDRG24001232</t>
  </si>
  <si>
    <t>BNWBDRG24001231</t>
  </si>
  <si>
    <t>124</t>
  </si>
  <si>
    <t>125</t>
  </si>
  <si>
    <t>13HY25ARMN32</t>
  </si>
  <si>
    <t>13HY25ARMN28</t>
  </si>
  <si>
    <t>13HY25ARMN29</t>
  </si>
  <si>
    <t>13HY25ARMN30</t>
  </si>
  <si>
    <t>13HY25ARMN31</t>
  </si>
  <si>
    <t>13HY25ARMN26</t>
  </si>
  <si>
    <t>130</t>
  </si>
  <si>
    <t>SE/29/2526/00290</t>
  </si>
  <si>
    <t>2BG25ARMN61</t>
  </si>
  <si>
    <t>JV/HO/2526/0165</t>
  </si>
  <si>
    <t>3KL25ARMN31</t>
  </si>
  <si>
    <t>132</t>
  </si>
  <si>
    <t>151-180 Days</t>
  </si>
  <si>
    <t>72_04.12.2025</t>
  </si>
  <si>
    <t>13HY25ARMN36</t>
  </si>
  <si>
    <t>139</t>
  </si>
  <si>
    <t>13HY25ARMN39</t>
  </si>
  <si>
    <t>145</t>
  </si>
  <si>
    <t>13HY25ARMN40</t>
  </si>
  <si>
    <t>A150</t>
  </si>
  <si>
    <t>JV/MHN/2526/0111</t>
  </si>
  <si>
    <t>13HY25ARMN41</t>
  </si>
  <si>
    <t>13HY25ARMN42</t>
  </si>
  <si>
    <t>Ash/29</t>
  </si>
  <si>
    <t>Ash/28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</si>
  <si>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</si>
  <si>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</si>
  <si>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</si>
  <si>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</si>
  <si>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</si>
  <si>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</si>
  <si>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</si>
  <si>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</si>
  <si>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</si>
  <si>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</si>
  <si>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</si>
  <si>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</si>
  <si>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</si>
  <si>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RITHIK ELECTRICALS-Crs</t>
  </si>
  <si>
    <t>252900014</t>
  </si>
  <si>
    <t>252900015</t>
  </si>
  <si>
    <t>SE/29/2526/00323</t>
  </si>
  <si>
    <t>646</t>
  </si>
  <si>
    <t>253100480</t>
  </si>
  <si>
    <t>121-150 Days</t>
  </si>
  <si>
    <t>253100486</t>
  </si>
  <si>
    <t>253100488</t>
  </si>
  <si>
    <t>253100475</t>
  </si>
  <si>
    <t>253100476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</si>
  <si>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</si>
  <si>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</si>
  <si>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</si>
  <si>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</si>
  <si>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</si>
  <si>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</si>
  <si>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</si>
  <si>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</si>
  <si>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</si>
  <si>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</si>
  <si>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</si>
  <si>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153</t>
  </si>
  <si>
    <t>154</t>
  </si>
  <si>
    <t>156</t>
  </si>
  <si>
    <t>MT/042/25-26</t>
  </si>
  <si>
    <t>PV/GUJ/2526/0752</t>
  </si>
  <si>
    <t>13HY25ARMN46</t>
  </si>
  <si>
    <t>Ash/32</t>
  </si>
  <si>
    <t>91-120 Days</t>
  </si>
  <si>
    <t>Ash/31</t>
  </si>
  <si>
    <t>Ash/30</t>
  </si>
  <si>
    <t>Ash/33</t>
  </si>
  <si>
    <t>FI3927021401</t>
  </si>
  <si>
    <t>FI3927021402</t>
  </si>
  <si>
    <t>FI3927021431</t>
  </si>
  <si>
    <t>FI3927021432</t>
  </si>
  <si>
    <t>FI3937007287</t>
  </si>
  <si>
    <t>FI3937007298</t>
  </si>
  <si>
    <t>SM/CON/25-26/7</t>
  </si>
  <si>
    <t>6CH25ARMN147</t>
  </si>
  <si>
    <t>JV/HO/2526/0196</t>
  </si>
  <si>
    <t>2KL25ARMN189</t>
  </si>
  <si>
    <t>2KL25ARMN139</t>
  </si>
  <si>
    <t>13HY25ARMN48</t>
  </si>
  <si>
    <t>13HY25ARMN49</t>
  </si>
  <si>
    <t>252900016</t>
  </si>
  <si>
    <t>REW1090/25-26</t>
  </si>
  <si>
    <t>BBY-11217</t>
  </si>
  <si>
    <t>BBY-11221</t>
  </si>
  <si>
    <t>BBY-11224</t>
  </si>
  <si>
    <t>BBY-11223</t>
  </si>
  <si>
    <t>SPL/3097/25-26</t>
  </si>
  <si>
    <t>SE/29/2526/00359</t>
  </si>
  <si>
    <t>696</t>
  </si>
  <si>
    <t>SS/25-26/6/6</t>
  </si>
  <si>
    <t>Howrah</t>
  </si>
  <si>
    <t>DLI25BL009782</t>
  </si>
  <si>
    <t>202526/5061</t>
  </si>
  <si>
    <t>DN/KA/2526/008</t>
  </si>
  <si>
    <t>Ash/34</t>
  </si>
  <si>
    <t>Ash/26</t>
  </si>
  <si>
    <t>Ash/24</t>
  </si>
  <si>
    <t>BBY-10385</t>
  </si>
  <si>
    <t>171_07.01.26</t>
  </si>
  <si>
    <t>4</t>
  </si>
  <si>
    <t>S0000918</t>
  </si>
  <si>
    <t>180</t>
  </si>
  <si>
    <t>MT/047/25-26</t>
  </si>
  <si>
    <t>BE-1433/25-26</t>
  </si>
  <si>
    <t>Panagarh Galsi (WB)</t>
  </si>
  <si>
    <t>FI3927023355</t>
  </si>
  <si>
    <t>FI3927023300</t>
  </si>
  <si>
    <t>FI3937007921</t>
  </si>
  <si>
    <t>FI3937007922</t>
  </si>
  <si>
    <t>FI3924011594</t>
  </si>
  <si>
    <t>FI3924011595</t>
  </si>
  <si>
    <t>FI3924011596</t>
  </si>
  <si>
    <t>FI3924011597</t>
  </si>
  <si>
    <t>FI3924011598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</si>
  <si>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</si>
  <si>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</si>
  <si>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</si>
  <si>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</si>
  <si>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</si>
  <si>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</si>
  <si>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</si>
  <si>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HM27/2627/142634</t>
  </si>
  <si>
    <t>MH27/2526/150789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</si>
  <si>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</si>
  <si>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</si>
  <si>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</si>
  <si>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</si>
  <si>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</si>
  <si>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</si>
  <si>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</si>
  <si>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13HY25ARMN50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</si>
  <si>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</si>
  <si>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</si>
  <si>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</si>
  <si>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</si>
  <si>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</si>
  <si>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</si>
  <si>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</si>
  <si>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</si>
  <si>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</si>
  <si>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</si>
  <si>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</si>
  <si>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</si>
  <si>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</si>
  <si>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SPL/3350/25-26</t>
  </si>
  <si>
    <t>SE/29/2526/00392</t>
  </si>
  <si>
    <t>DLI25BL010655</t>
  </si>
  <si>
    <t>RPMU/543/25-26</t>
  </si>
  <si>
    <t>RPMU/542/25-26</t>
  </si>
  <si>
    <t>RPMU/544/25-26</t>
  </si>
  <si>
    <t>RPMU/545/25-26</t>
  </si>
  <si>
    <t>9PU25ARMN89</t>
  </si>
  <si>
    <t>REW1009/25-26</t>
  </si>
  <si>
    <t>REW1099/25-26</t>
  </si>
  <si>
    <t>GST-195/25-26</t>
  </si>
  <si>
    <t>SSP-26/25-26</t>
  </si>
  <si>
    <t>TPI/712/25-26</t>
  </si>
  <si>
    <t>HM272526135827</t>
  </si>
  <si>
    <t>61-90 Days</t>
  </si>
  <si>
    <t>PV/MHW/2526/0311</t>
  </si>
  <si>
    <t>25/26/333</t>
  </si>
  <si>
    <t>25/26/334</t>
  </si>
  <si>
    <t>GSTU/46</t>
  </si>
  <si>
    <t>BBY-11494</t>
  </si>
  <si>
    <t>25/26/335</t>
  </si>
  <si>
    <t>25/26/336</t>
  </si>
  <si>
    <t>25/26/337</t>
  </si>
  <si>
    <t>BBY-11533</t>
  </si>
  <si>
    <t>APC/2025-26/424</t>
  </si>
  <si>
    <t>TE/25-26/197</t>
  </si>
  <si>
    <t>25/26/344</t>
  </si>
  <si>
    <t>Raipur</t>
  </si>
  <si>
    <t>25/26/346</t>
  </si>
  <si>
    <t>25/26/347</t>
  </si>
  <si>
    <t>Ash/47</t>
  </si>
  <si>
    <t>Ash/43</t>
  </si>
  <si>
    <t>Ash/38</t>
  </si>
  <si>
    <t>Ash/40</t>
  </si>
  <si>
    <t>Ash/41</t>
  </si>
  <si>
    <t>FI3937008747</t>
  </si>
  <si>
    <t>FI3937008746</t>
  </si>
  <si>
    <t>FI3927025654</t>
  </si>
  <si>
    <t>FI3927025655</t>
  </si>
  <si>
    <t>10032624UMA0864</t>
  </si>
  <si>
    <t>HM27/2627/000379</t>
  </si>
  <si>
    <t>HM27/2627/000378</t>
  </si>
  <si>
    <t>05/MBS/UM/25-26</t>
  </si>
  <si>
    <t>1CH25ARMN325</t>
  </si>
  <si>
    <t>6CH25ARMN193</t>
  </si>
  <si>
    <t>1CH25ARMN312</t>
  </si>
  <si>
    <t>1CH25ARMN303</t>
  </si>
  <si>
    <t>1CH25ARMN304</t>
  </si>
  <si>
    <t>2GU25ARMN24</t>
  </si>
  <si>
    <t>JV/HO/2526/0242</t>
  </si>
  <si>
    <t>H25S00066</t>
  </si>
  <si>
    <t>377499</t>
  </si>
  <si>
    <t>2KL25ARMN235</t>
  </si>
  <si>
    <t>2KL25ARMN234</t>
  </si>
  <si>
    <t>2KL25ARMN238</t>
  </si>
  <si>
    <t>13HY25ARMN51</t>
  </si>
  <si>
    <t>13HY25ARMN53</t>
  </si>
  <si>
    <t>13HY25ARMN54</t>
  </si>
  <si>
    <t>13HY25ARMN45</t>
  </si>
  <si>
    <t>RND/774/25-26</t>
  </si>
  <si>
    <t>RND/761/25-26</t>
  </si>
  <si>
    <t>RND/743/25-26</t>
  </si>
  <si>
    <t>252900019</t>
  </si>
  <si>
    <t>252900020</t>
  </si>
  <si>
    <t>8978</t>
  </si>
  <si>
    <t>BBY-11564</t>
  </si>
  <si>
    <t>BBY-11560</t>
  </si>
  <si>
    <t>BBY-11561</t>
  </si>
  <si>
    <t>BBY-11562</t>
  </si>
  <si>
    <t>BBY-11548</t>
  </si>
  <si>
    <t>BBY-11563</t>
  </si>
  <si>
    <t>BBY-10298</t>
  </si>
  <si>
    <t>BBY-10261</t>
  </si>
  <si>
    <t>BBY-10299</t>
  </si>
  <si>
    <t>BBY-11225</t>
  </si>
  <si>
    <t>1992033</t>
  </si>
  <si>
    <t>SPL/3840/25-26</t>
  </si>
  <si>
    <t>SE/29/2526/00433</t>
  </si>
  <si>
    <t>25/26/348</t>
  </si>
  <si>
    <t>TE/25-26/210</t>
  </si>
  <si>
    <t>DLI25BL011896</t>
  </si>
  <si>
    <t>299</t>
  </si>
  <si>
    <t>Vaibhav Govind Ide- Crs</t>
  </si>
  <si>
    <t>JV/HR/2526/0101</t>
  </si>
  <si>
    <t>Xinda Group Cementious Material Co. Ltd - Crs</t>
  </si>
  <si>
    <t>JV/HR/2526/0102</t>
  </si>
  <si>
    <t>202526_6174</t>
  </si>
  <si>
    <t>2026-27/APR011</t>
  </si>
  <si>
    <t>31-60 Days</t>
  </si>
  <si>
    <t>001</t>
  </si>
  <si>
    <t>002</t>
  </si>
  <si>
    <t>PV/APN/2627/1</t>
  </si>
  <si>
    <t>Haryana</t>
  </si>
  <si>
    <t>2025-26/MAR425</t>
  </si>
  <si>
    <t>003</t>
  </si>
  <si>
    <t>004</t>
  </si>
  <si>
    <t>PV/HO/2526/0786</t>
  </si>
  <si>
    <t>005</t>
  </si>
  <si>
    <t>6CH26ARMN1</t>
  </si>
  <si>
    <t>PV/MHN/2627/0002</t>
  </si>
  <si>
    <t>PV/APV/2627/0008</t>
  </si>
  <si>
    <t>006</t>
  </si>
  <si>
    <t>FI4024000453</t>
  </si>
  <si>
    <t>007</t>
  </si>
  <si>
    <t>PI2627000569</t>
  </si>
  <si>
    <t>008</t>
  </si>
  <si>
    <t>009</t>
  </si>
  <si>
    <t>010</t>
  </si>
  <si>
    <t>011</t>
  </si>
  <si>
    <t>012</t>
  </si>
  <si>
    <t>2026-27/APR360</t>
  </si>
  <si>
    <t>2026-27/APR358</t>
  </si>
  <si>
    <t>2026-27/APR359</t>
  </si>
  <si>
    <t>2026-27/APR357</t>
  </si>
  <si>
    <t>013</t>
  </si>
  <si>
    <t>16</t>
  </si>
  <si>
    <t>014</t>
  </si>
  <si>
    <t>TE/26-27/10</t>
  </si>
  <si>
    <t>PV/APN/2627/010</t>
  </si>
  <si>
    <t>PV/MHN/2627/0021</t>
  </si>
  <si>
    <t>ASL2627TRS00004</t>
  </si>
  <si>
    <t>015</t>
  </si>
  <si>
    <t>PV/WBM/2627/0009</t>
  </si>
  <si>
    <t>PV/GUJ/2627/0061</t>
  </si>
  <si>
    <t>19</t>
  </si>
  <si>
    <t>016</t>
  </si>
  <si>
    <t>13HY26ARMN1</t>
  </si>
  <si>
    <t>PV/HO/2526/0810</t>
  </si>
  <si>
    <t>PV/HO/2526/0818</t>
  </si>
  <si>
    <t>PV/GUJ/2627/0077</t>
  </si>
  <si>
    <t>PV/MHN/2627/0028</t>
  </si>
  <si>
    <t>2627-030</t>
  </si>
  <si>
    <t>2627-044</t>
  </si>
  <si>
    <t>2627-034</t>
  </si>
  <si>
    <t>PV/HO/2526/0859</t>
  </si>
  <si>
    <t>Tata AIG General Insurance Co Ltd - Crs</t>
  </si>
  <si>
    <t>Ash/49</t>
  </si>
  <si>
    <t>Ash/52</t>
  </si>
  <si>
    <t>Ash/51</t>
  </si>
  <si>
    <t>ASIA/394/0426</t>
  </si>
  <si>
    <t>ASL2627TRS00046</t>
  </si>
  <si>
    <t>2026/APRIL/006</t>
  </si>
  <si>
    <t>HM27/2627/005341</t>
  </si>
  <si>
    <t>2627-064</t>
  </si>
  <si>
    <t>2627-050</t>
  </si>
  <si>
    <t>2627-053</t>
  </si>
  <si>
    <t>2627-073</t>
  </si>
  <si>
    <t>06/MBS/UM/25-26</t>
  </si>
  <si>
    <t>SM/CON/25-26/9</t>
  </si>
  <si>
    <t>SM/CON/25-26/10</t>
  </si>
  <si>
    <t>SM/CON/25-26/11</t>
  </si>
  <si>
    <t>27</t>
  </si>
  <si>
    <t>26</t>
  </si>
  <si>
    <t>2KL26ARMN20</t>
  </si>
  <si>
    <t>2KL26ARMN19</t>
  </si>
  <si>
    <t>RND/3/26-27</t>
  </si>
  <si>
    <t>RND/55/25-27</t>
  </si>
  <si>
    <t>BBY-11703</t>
  </si>
  <si>
    <t>BBY-117002</t>
  </si>
  <si>
    <t>BBY-11705</t>
  </si>
  <si>
    <t>BBY-11706</t>
  </si>
  <si>
    <t>SRM/25-26/259</t>
  </si>
  <si>
    <t>SEN &amp; RAY- CRS</t>
  </si>
  <si>
    <t>IN33</t>
  </si>
  <si>
    <t>SPL/3702/25-26</t>
  </si>
  <si>
    <t>SE/29/2627/00007</t>
  </si>
  <si>
    <t>017</t>
  </si>
  <si>
    <t>018</t>
  </si>
  <si>
    <t>019</t>
  </si>
  <si>
    <t>3056</t>
  </si>
  <si>
    <t>3054</t>
  </si>
  <si>
    <t>3053</t>
  </si>
  <si>
    <t>3052</t>
  </si>
  <si>
    <t>3049</t>
  </si>
  <si>
    <t>3036</t>
  </si>
  <si>
    <t>3035</t>
  </si>
  <si>
    <t>3034</t>
  </si>
  <si>
    <t>0-30 Days</t>
  </si>
  <si>
    <t>2KL26ARMN24</t>
  </si>
  <si>
    <t>5130025975</t>
  </si>
  <si>
    <t>TE/26-27/20</t>
  </si>
  <si>
    <t>PV/HO/2526/0871</t>
  </si>
  <si>
    <t>Premier Electricals-Crs</t>
  </si>
  <si>
    <t>SPL/00195/26-27</t>
  </si>
  <si>
    <t>176</t>
  </si>
  <si>
    <t>29</t>
  </si>
  <si>
    <t>VG20049311</t>
  </si>
  <si>
    <t>VG20049313</t>
  </si>
  <si>
    <t>1VA26ARNM2</t>
  </si>
  <si>
    <t>26-27-00445</t>
  </si>
  <si>
    <t>OB/UF/25-26/002</t>
  </si>
  <si>
    <t>OB/UF/25-26/003</t>
  </si>
  <si>
    <t>DLT26BL000995</t>
  </si>
  <si>
    <t>DLT26BL000997</t>
  </si>
  <si>
    <t>APC/2026-27/025</t>
  </si>
  <si>
    <t>26-27-00446</t>
  </si>
  <si>
    <t>VG20049392</t>
  </si>
  <si>
    <t>MLBNG2625</t>
  </si>
  <si>
    <t>1VA26ARNM10</t>
  </si>
  <si>
    <t>40</t>
  </si>
  <si>
    <t>SPL/00219/26-27</t>
  </si>
  <si>
    <t>BE/07/26</t>
  </si>
  <si>
    <t>BE/08/26</t>
  </si>
  <si>
    <t>44</t>
  </si>
  <si>
    <t>UMPL/2026-27/008</t>
  </si>
  <si>
    <t>VG20049486</t>
  </si>
  <si>
    <t>VG20049489</t>
  </si>
  <si>
    <t>UMPL/2026-27/009</t>
  </si>
  <si>
    <t>020</t>
  </si>
  <si>
    <t>021</t>
  </si>
  <si>
    <t>3083</t>
  </si>
  <si>
    <t>3084</t>
  </si>
  <si>
    <t>26-27-00447</t>
  </si>
  <si>
    <t>VG20049541</t>
  </si>
  <si>
    <t>UMPL/2026-27/010</t>
  </si>
  <si>
    <t>022</t>
  </si>
  <si>
    <t>26-27-00448</t>
  </si>
  <si>
    <t>CR/00683/26-27</t>
  </si>
  <si>
    <t>023</t>
  </si>
  <si>
    <t>024</t>
  </si>
  <si>
    <t>VG20049633</t>
  </si>
  <si>
    <t>VG20049635</t>
  </si>
  <si>
    <t>52</t>
  </si>
  <si>
    <t>51</t>
  </si>
  <si>
    <t>025</t>
  </si>
  <si>
    <t>VG20049680</t>
  </si>
  <si>
    <t>PV/HR/2627/0036</t>
  </si>
  <si>
    <t>2627-095</t>
  </si>
  <si>
    <t>2627-083</t>
  </si>
  <si>
    <t>SRM/25-26/329</t>
  </si>
  <si>
    <t>026</t>
  </si>
  <si>
    <t>PV/HO/2526/0886</t>
  </si>
  <si>
    <t>UMPL/2026-27/011</t>
  </si>
  <si>
    <t>028</t>
  </si>
  <si>
    <t>029</t>
  </si>
  <si>
    <t>ASL2627TRS00083</t>
  </si>
  <si>
    <t>BE/10/26</t>
  </si>
  <si>
    <t>VG20049744</t>
  </si>
  <si>
    <t>VG20049748</t>
  </si>
  <si>
    <t>KBS/01665/26-27</t>
  </si>
  <si>
    <t>PV/GUJ/2627/0164</t>
  </si>
  <si>
    <t>030</t>
  </si>
  <si>
    <t>031</t>
  </si>
  <si>
    <t>2026-27/MAY061</t>
  </si>
  <si>
    <t>VG20049834</t>
  </si>
  <si>
    <t>UMPL/2026-27/012</t>
  </si>
  <si>
    <t>VG20049878</t>
  </si>
  <si>
    <t>032</t>
  </si>
  <si>
    <t>033</t>
  </si>
  <si>
    <t>26-27-00449</t>
  </si>
  <si>
    <t>26-27-00450</t>
  </si>
  <si>
    <t>2627-102</t>
  </si>
  <si>
    <t>PV/WBG/2627/0060</t>
  </si>
  <si>
    <t>JV/HO/2526/0326</t>
  </si>
  <si>
    <t>ULMAY26001</t>
  </si>
  <si>
    <t>APC/2026-27/032</t>
  </si>
  <si>
    <t>Ash/55</t>
  </si>
  <si>
    <t>PO/MHF/2526/0147</t>
  </si>
  <si>
    <t>VG20049988</t>
  </si>
  <si>
    <t>VG20049991</t>
  </si>
  <si>
    <t>GDP/26-27/179</t>
  </si>
  <si>
    <t>KBS/01881/26-27</t>
  </si>
  <si>
    <t>03099</t>
  </si>
  <si>
    <t>JV/WBA/2627/0008</t>
  </si>
  <si>
    <t>PV/GUJ/2627/0191</t>
  </si>
  <si>
    <t>KBS/01912/26-27</t>
  </si>
  <si>
    <t>2026-27/07</t>
  </si>
  <si>
    <t>ULMAY26002</t>
  </si>
  <si>
    <t>NULMAY2602224</t>
  </si>
  <si>
    <t>034</t>
  </si>
  <si>
    <t>035</t>
  </si>
  <si>
    <t>KE-2026-27/15</t>
  </si>
  <si>
    <t>036</t>
  </si>
  <si>
    <t>037</t>
  </si>
  <si>
    <t>APC/2026-27/036</t>
  </si>
  <si>
    <t>VG20050083</t>
  </si>
  <si>
    <t>VG20050086</t>
  </si>
  <si>
    <t>1241</t>
  </si>
  <si>
    <t>RND/81/26-27</t>
  </si>
  <si>
    <t>70/26-27</t>
  </si>
  <si>
    <t>Ash/26-27-002</t>
  </si>
  <si>
    <t>FI4024002632</t>
  </si>
  <si>
    <t>FI4037001463</t>
  </si>
  <si>
    <t>FI4037001465</t>
  </si>
  <si>
    <t>FI4019001284</t>
  </si>
  <si>
    <t>KBS/01981/26-27</t>
  </si>
  <si>
    <t>2627-120</t>
  </si>
  <si>
    <t>2627-117</t>
  </si>
  <si>
    <t>2627-114</t>
  </si>
  <si>
    <t>KE-2026-27/17</t>
  </si>
  <si>
    <t>PV/WBA/2627/0062</t>
  </si>
  <si>
    <t>MUMB-092173</t>
  </si>
  <si>
    <t>2026-27/0205</t>
  </si>
  <si>
    <t>NE0K272611002518</t>
  </si>
  <si>
    <t>NE0K272611002400</t>
  </si>
  <si>
    <t>NE0K272611002349</t>
  </si>
  <si>
    <t>NE0K272611002464</t>
  </si>
  <si>
    <t>NE0K272611002397</t>
  </si>
  <si>
    <t>NE0K272611002395</t>
  </si>
  <si>
    <t>NE0K272611002433</t>
  </si>
  <si>
    <t>NE0K272611002471</t>
  </si>
  <si>
    <t>PO/MHF/2627/0035</t>
  </si>
  <si>
    <t>NE0K272611002405</t>
  </si>
  <si>
    <t>NE0K272611002382</t>
  </si>
  <si>
    <t>NE0K272611002521</t>
  </si>
  <si>
    <t>NE0K272611002508</t>
  </si>
  <si>
    <t>NE0K272611002519</t>
  </si>
  <si>
    <t>NE0K272611002538</t>
  </si>
  <si>
    <t>NE0K272611002523</t>
  </si>
  <si>
    <t>NE0K272611002509</t>
  </si>
  <si>
    <t>Ash/26-27-004</t>
  </si>
  <si>
    <t>Ash/26-27-003</t>
  </si>
  <si>
    <t>2221967</t>
  </si>
  <si>
    <t>ASL2627TRS00101</t>
  </si>
  <si>
    <t>BE/09/26</t>
  </si>
  <si>
    <t>C-13</t>
  </si>
  <si>
    <t>FI4027003991</t>
  </si>
  <si>
    <t>FI4027004003</t>
  </si>
  <si>
    <t>PUN2627-13844</t>
  </si>
  <si>
    <t>INV/25-26/3615</t>
  </si>
  <si>
    <t>INV/25-26/3614</t>
  </si>
  <si>
    <t>INV/26-27/0328</t>
  </si>
  <si>
    <t>INV/26-27/0327</t>
  </si>
  <si>
    <t>INV/26-27/0071</t>
  </si>
  <si>
    <t>2026/MAY/002</t>
  </si>
  <si>
    <t>2026/MAY/001</t>
  </si>
  <si>
    <t>2026/APRIL/002</t>
  </si>
  <si>
    <t>2026/APRIL/003</t>
  </si>
  <si>
    <t>2026/APRIL/007</t>
  </si>
  <si>
    <t>2026/APRIL/008</t>
  </si>
  <si>
    <t>2026/APRIL/009</t>
  </si>
  <si>
    <t>IIC/1015/0426</t>
  </si>
  <si>
    <t>KBS/02013/26-27</t>
  </si>
  <si>
    <t>2627-133</t>
  </si>
  <si>
    <t>KE-2026-27/19</t>
  </si>
  <si>
    <t>114/25-26</t>
  </si>
  <si>
    <t>147/25-26</t>
  </si>
  <si>
    <t>MPI/26-27/54</t>
  </si>
  <si>
    <t>07/MBS/UM/26-27</t>
  </si>
  <si>
    <t>MI/0162/2026-27</t>
  </si>
  <si>
    <t>60</t>
  </si>
  <si>
    <t>61</t>
  </si>
  <si>
    <t>70</t>
  </si>
  <si>
    <t>91</t>
  </si>
  <si>
    <t>NT-03/26UF001</t>
  </si>
  <si>
    <t>NT-03/26UF002</t>
  </si>
  <si>
    <t>NT-03/26UF003</t>
  </si>
  <si>
    <t>NT-03/26UF004</t>
  </si>
  <si>
    <t>28</t>
  </si>
  <si>
    <t>30</t>
  </si>
  <si>
    <t>47</t>
  </si>
  <si>
    <t>48</t>
  </si>
  <si>
    <t>022/26-27</t>
  </si>
  <si>
    <t>018/26-27</t>
  </si>
  <si>
    <t>015/26-27</t>
  </si>
  <si>
    <t>020/26-27</t>
  </si>
  <si>
    <t>019/26-27</t>
  </si>
  <si>
    <t>016/26-27</t>
  </si>
  <si>
    <t>RIS/26-27/106</t>
  </si>
  <si>
    <t>2213797</t>
  </si>
  <si>
    <t>JV/HO/2627/0011</t>
  </si>
  <si>
    <t>JV/WBA/2627/0013</t>
  </si>
  <si>
    <t>2KL26ARMN42</t>
  </si>
  <si>
    <t>2KL26ARMN43</t>
  </si>
  <si>
    <t>13HY26ARMN2</t>
  </si>
  <si>
    <t>13HY26ARMN3</t>
  </si>
  <si>
    <t>RGB26-27/197</t>
  </si>
  <si>
    <t>262200307</t>
  </si>
  <si>
    <t>MULMAY2603</t>
  </si>
  <si>
    <t>ULMAY2603</t>
  </si>
  <si>
    <t>BBY-11804</t>
  </si>
  <si>
    <t>BBY-11805</t>
  </si>
  <si>
    <t>BBY-11801</t>
  </si>
  <si>
    <t>BBY-11802</t>
  </si>
  <si>
    <t>BBY-11803</t>
  </si>
  <si>
    <t>SPL/00314/26-27</t>
  </si>
  <si>
    <t>SML-09/2026-27</t>
  </si>
  <si>
    <t>23</t>
  </si>
  <si>
    <t>22</t>
  </si>
  <si>
    <t>SE/29/2627/00022</t>
  </si>
  <si>
    <t>039</t>
  </si>
  <si>
    <t>040</t>
  </si>
  <si>
    <t>SSP-ULTRA-02/26-27</t>
  </si>
  <si>
    <t>INV/26-27/39</t>
  </si>
  <si>
    <t>DLI26BL001845</t>
  </si>
  <si>
    <t>DLI5BL011870</t>
  </si>
  <si>
    <t>DLI26BL001047</t>
  </si>
  <si>
    <t>682000196325</t>
  </si>
  <si>
    <t>3120</t>
  </si>
  <si>
    <t>3121</t>
  </si>
  <si>
    <t>SUBTOTAL</t>
  </si>
  <si>
    <t>#</t>
  </si>
  <si>
    <t>Vendor Name</t>
  </si>
  <si>
    <t>Location</t>
  </si>
  <si>
    <t>Vendor Type</t>
  </si>
  <si>
    <t>Vendor Sub Type</t>
  </si>
  <si>
    <t>TB Balance (Cr)</t>
  </si>
  <si>
    <t>BW Total</t>
  </si>
  <si>
    <t>Diff (TB-BW)</t>
  </si>
  <si>
    <t>Wada</t>
  </si>
  <si>
    <t>Expenses</t>
  </si>
  <si>
    <t>Repair &amp; Maintenance</t>
  </si>
  <si>
    <t>Galsi</t>
  </si>
  <si>
    <t>Transportation</t>
  </si>
  <si>
    <t>Transport</t>
  </si>
  <si>
    <t>Store and spare</t>
  </si>
  <si>
    <t>Aggregate</t>
  </si>
  <si>
    <t>Office Exps</t>
  </si>
  <si>
    <t>Trading</t>
  </si>
  <si>
    <t>Flyash</t>
  </si>
  <si>
    <t>Employee</t>
  </si>
  <si>
    <t>Rent</t>
  </si>
  <si>
    <t>Sales promotion</t>
  </si>
  <si>
    <t>Security</t>
  </si>
  <si>
    <t>Microsilica</t>
  </si>
  <si>
    <t>haryana</t>
  </si>
  <si>
    <t>Guest House Rent</t>
  </si>
  <si>
    <t>Raw Material</t>
  </si>
  <si>
    <t>WADA</t>
  </si>
  <si>
    <t>Contract Labour</t>
  </si>
  <si>
    <t>GGBS</t>
  </si>
  <si>
    <t>Loan EMI</t>
  </si>
  <si>
    <t>Security charges</t>
  </si>
  <si>
    <t>Testing and Inspection</t>
  </si>
  <si>
    <t>Capex</t>
  </si>
  <si>
    <t>Capex Advance</t>
  </si>
  <si>
    <t>Diesel</t>
  </si>
  <si>
    <t>Staff Welfare</t>
  </si>
  <si>
    <t>JCB Hire Charges</t>
  </si>
  <si>
    <t>Electricity</t>
  </si>
  <si>
    <t>Professional Fees</t>
  </si>
  <si>
    <t>Slag</t>
  </si>
  <si>
    <t>Rent on Vehicles</t>
  </si>
  <si>
    <t>Procesing charges</t>
  </si>
  <si>
    <t>Palava</t>
  </si>
  <si>
    <t>Admixture</t>
  </si>
  <si>
    <t>Bhutan Vendor</t>
  </si>
  <si>
    <t>Vendor Advance</t>
  </si>
  <si>
    <t>BG Incashed</t>
  </si>
  <si>
    <t>Regular Advance</t>
  </si>
  <si>
    <t>Interest</t>
  </si>
  <si>
    <t>GST Claim</t>
  </si>
  <si>
    <t>Stores and Spares</t>
  </si>
  <si>
    <t>Pending from Vendor</t>
  </si>
  <si>
    <t>Advance With Vendor Invoice or Refund Required</t>
  </si>
  <si>
    <t>Adjusted against Kinshar Metals</t>
  </si>
  <si>
    <t>BG Issue</t>
  </si>
  <si>
    <t>Intercompany</t>
  </si>
  <si>
    <t>Stsk Controls and Automation - Crs</t>
  </si>
  <si>
    <t>MACPOWER ELECTRICALS-Crs (Cap)</t>
  </si>
  <si>
    <t>M/s Hms International-Crs</t>
  </si>
  <si>
    <t>PANCHSHEEL  AGENCIES - Crs</t>
  </si>
  <si>
    <t>Digambar A. Naik - Crs</t>
  </si>
  <si>
    <t>Tci Freight (A Division of Transport Corp. of India Limited)</t>
  </si>
  <si>
    <t>DRS Cargo Movers Limited - Crs</t>
  </si>
  <si>
    <t>Harsh Raj - EMPLOYEE</t>
  </si>
  <si>
    <t>Bhushan Deshpande - Employee</t>
  </si>
  <si>
    <t>Abhay Dongare - Employee</t>
  </si>
  <si>
    <t>MNG Automobiles Pvt Ltd - CRS</t>
  </si>
  <si>
    <t>Narvekar Brothers - Crs</t>
  </si>
  <si>
    <t>Remi Sales and Engineering Ltd - Crs</t>
  </si>
  <si>
    <t>Sanjay Ramgopal Sharma - Crs</t>
  </si>
  <si>
    <t>SOUTHERNPOWERDISTRIBUTIONCOMPANYOFANDHRA-Cr</t>
  </si>
  <si>
    <t>Sumangala Naik - Crs</t>
  </si>
  <si>
    <t>Bharti Airtel Limited - Crs</t>
  </si>
  <si>
    <t>Abhay Singh-Employee</t>
  </si>
  <si>
    <t>JINENDRA AUTO PARTS-Crs</t>
  </si>
  <si>
    <t>MADAN MOHAN SINGH-CRS</t>
  </si>
  <si>
    <t>Mohd. Saif - Employee</t>
  </si>
  <si>
    <t>Kapadia Global Actuaries-Crs</t>
  </si>
  <si>
    <t>Pramod  Marotirao Kumbhare- Crs</t>
  </si>
  <si>
    <t>Bhandari Automobiles Pvt Ltd - Crs</t>
  </si>
  <si>
    <t>Gautam Trading Company -Crs</t>
  </si>
  <si>
    <t>Silverador Boutique Hotels CRS</t>
  </si>
  <si>
    <t>Karim Shah - Employee</t>
  </si>
  <si>
    <t>RATHI ASSOCIATES - Crs</t>
  </si>
  <si>
    <t>Kiran Rubber-Crs</t>
  </si>
  <si>
    <t>Abhishek Kumar Nayak - Employee</t>
  </si>
  <si>
    <t>Nanak Auto Parts-Crs</t>
  </si>
  <si>
    <t>Accurate Engineering Works-Crs</t>
  </si>
  <si>
    <t>Chukha Ferro Alloys Pvt Ltd- Crs</t>
  </si>
  <si>
    <t>Pramod Shinde - EMPLOYEE</t>
  </si>
  <si>
    <t>SHREE SIDDHIVINAYAK COOL CARS - CRS</t>
  </si>
  <si>
    <t>Mataji Trading Co - Crs</t>
  </si>
  <si>
    <t>Bhailal Jethva - Employee</t>
  </si>
  <si>
    <t>DAKSHIN GUJARAT VIJ CO LTD RTGS NEFT COLLECTION-CR</t>
  </si>
  <si>
    <t>CB SURATWALA AND SONS-CRS</t>
  </si>
  <si>
    <t>MAA ENTERPRISE-Crs</t>
  </si>
  <si>
    <t>WIREMESH WEAVING INDUSTRIES - CRS</t>
  </si>
  <si>
    <t>Avijit Chaubey - Employee</t>
  </si>
  <si>
    <t>Horiba India Private Limited - Crs</t>
  </si>
  <si>
    <t>ECOGENT INDUSTRIES PRIVATE LIMITED - CRS</t>
  </si>
  <si>
    <t>SK CONSTRUCTION - CRS</t>
  </si>
  <si>
    <t>Sairaj Enterprises - Crs</t>
  </si>
  <si>
    <t>Harish Ludhani - Employee</t>
  </si>
  <si>
    <t>RM LAW OFFICE ( REVATHI MANIVANNAN ) -  CRS</t>
  </si>
  <si>
    <t>Walker Chandiok &amp; Co Llp - Crs</t>
  </si>
  <si>
    <t>1992794</t>
  </si>
  <si>
    <t>3013</t>
  </si>
  <si>
    <t>HM27/2627/010724</t>
  </si>
  <si>
    <t>DLI26BL001846</t>
  </si>
  <si>
    <t>ASL2526TRS00562</t>
  </si>
  <si>
    <t>IBALDW2526012006</t>
  </si>
  <si>
    <t>JV/GOA/2627/0019</t>
  </si>
  <si>
    <t>JV/GOA/2627/0022</t>
  </si>
  <si>
    <t>HSSPL/220/26-27</t>
  </si>
  <si>
    <t>HSSPL/219/26-27</t>
  </si>
  <si>
    <t>JFC/26-27/0067</t>
  </si>
  <si>
    <t>34</t>
  </si>
  <si>
    <t>JV/GOA/2627/0023</t>
  </si>
  <si>
    <t>MM/2026-27/66</t>
  </si>
  <si>
    <t>MM/2026-27/65</t>
  </si>
  <si>
    <t>MM/2026-27/64</t>
  </si>
  <si>
    <t>JV/GOA/2627/0025</t>
  </si>
  <si>
    <t>2287</t>
  </si>
  <si>
    <t>2282</t>
  </si>
  <si>
    <t>2SR26ARS926</t>
  </si>
  <si>
    <t>2SR26ARS966</t>
  </si>
  <si>
    <t>2SR26ARS1042</t>
  </si>
  <si>
    <t>2SR26ARS1052</t>
  </si>
  <si>
    <t>JV/GOA/2627/0026</t>
  </si>
  <si>
    <t>JV/GOA/2627/0027</t>
  </si>
  <si>
    <t>JV/GOA/2627/0028</t>
  </si>
  <si>
    <t>UMPL/2026-27/014</t>
  </si>
  <si>
    <t>UMPL/2026-27/013</t>
  </si>
  <si>
    <t>SRI 041</t>
  </si>
  <si>
    <t>SRI 042</t>
  </si>
  <si>
    <t>APC/2026-27/035</t>
  </si>
  <si>
    <t>Ash/26-27-005</t>
  </si>
  <si>
    <t>Ash/26-27-006</t>
  </si>
  <si>
    <t>26-27-00452</t>
  </si>
  <si>
    <t>VG20050251</t>
  </si>
  <si>
    <t>VG20050252</t>
  </si>
  <si>
    <t>GDP/26-27/187</t>
  </si>
  <si>
    <t>SPL/00448/26-27</t>
  </si>
  <si>
    <t>VG20050287</t>
  </si>
  <si>
    <t>VG20050295</t>
  </si>
  <si>
    <t>T841</t>
  </si>
  <si>
    <t>RM-UF-06</t>
  </si>
  <si>
    <t>SRI 043</t>
  </si>
  <si>
    <t>PV/MHF/2627/0075</t>
  </si>
  <si>
    <t>PV/WBG/2627/0071</t>
  </si>
  <si>
    <t>KBS/02138/26-27</t>
  </si>
  <si>
    <t>SRI 044</t>
  </si>
  <si>
    <t>ITC-0125/26-27</t>
  </si>
  <si>
    <t>KBS/02171/26-27</t>
  </si>
  <si>
    <t>UMPL/2026-27/015</t>
  </si>
  <si>
    <t>TE/26-27/37</t>
  </si>
  <si>
    <t>26-27-00457</t>
  </si>
  <si>
    <t>VG20050389</t>
  </si>
  <si>
    <t>KBS/02217/26-27</t>
  </si>
  <si>
    <t>ME/001</t>
  </si>
  <si>
    <t>T920</t>
  </si>
  <si>
    <t>SRI 046</t>
  </si>
  <si>
    <t>SRI 045</t>
  </si>
  <si>
    <t>SRI 047</t>
  </si>
  <si>
    <t>UMPL/2026-27/016</t>
  </si>
  <si>
    <t>VG20050452</t>
  </si>
  <si>
    <t>VG20050453</t>
  </si>
  <si>
    <t>PV/MHF/2627/0078</t>
  </si>
  <si>
    <t>MLBNG2718</t>
  </si>
  <si>
    <t>SRI 048</t>
  </si>
  <si>
    <t>PV/HO/2627/0076</t>
  </si>
  <si>
    <t>JV/HO/2627/0026</t>
  </si>
  <si>
    <t>UMPL/2026-27/017</t>
  </si>
  <si>
    <t>JK/100/26-27</t>
  </si>
  <si>
    <t>BE/12/26</t>
  </si>
  <si>
    <t>JK/101/26-27</t>
  </si>
  <si>
    <t>68</t>
  </si>
  <si>
    <t>PV/GUJ/2627/0240</t>
  </si>
  <si>
    <t>ULMAY26003</t>
  </si>
  <si>
    <t>PV/APN/2627/034</t>
  </si>
  <si>
    <t>SRLGOA004/26-27</t>
  </si>
  <si>
    <t>APC/2026-27/071</t>
  </si>
  <si>
    <t>VG20050580</t>
  </si>
  <si>
    <t>VG20050604</t>
  </si>
  <si>
    <t>VG20050607</t>
  </si>
  <si>
    <t>003/26-27</t>
  </si>
  <si>
    <t>SRI 049</t>
  </si>
  <si>
    <t>SRLGOA005/26-27</t>
  </si>
  <si>
    <t>GDP/26-27/262</t>
  </si>
  <si>
    <t>KBS/02445/26-27</t>
  </si>
  <si>
    <t>3140</t>
  </si>
  <si>
    <t>SRI 050</t>
  </si>
  <si>
    <t>VG20050676</t>
  </si>
  <si>
    <t>SRI 051</t>
  </si>
  <si>
    <t>Avijit/Jun/2026/1</t>
  </si>
  <si>
    <t>BSP/26-27/03</t>
  </si>
  <si>
    <t>C-17</t>
  </si>
  <si>
    <t>EI/UF/001/26-27</t>
  </si>
  <si>
    <t>FEI/03/26-27</t>
  </si>
  <si>
    <t>HM27/2627/006479</t>
  </si>
  <si>
    <t>ITC-177/26-27</t>
  </si>
  <si>
    <t>2026-27/12</t>
  </si>
  <si>
    <t>3144</t>
  </si>
  <si>
    <t>3145</t>
  </si>
  <si>
    <t>3146</t>
  </si>
  <si>
    <t>2026-27/JUN086</t>
  </si>
  <si>
    <t>NULFEB2601</t>
  </si>
  <si>
    <t>SRI 053</t>
  </si>
  <si>
    <t>SRI 052</t>
  </si>
  <si>
    <t>VBR/UF/26-27/Vizag/024</t>
  </si>
  <si>
    <t>VMK-FT-260174</t>
  </si>
  <si>
    <t>NE0K272611002965</t>
  </si>
  <si>
    <t>NE0K272611002688</t>
  </si>
  <si>
    <t>NE0K272611002690</t>
  </si>
  <si>
    <t>NE0K272611002943</t>
  </si>
  <si>
    <t>NE0K272611002830</t>
  </si>
  <si>
    <t>NE0K272611002686</t>
  </si>
  <si>
    <t>NE0K272611002946</t>
  </si>
  <si>
    <t>NE0K272611002792</t>
  </si>
  <si>
    <t>NE0K272611002685</t>
  </si>
  <si>
    <t>NE0K272611002910</t>
  </si>
  <si>
    <t>NE0K272611002874</t>
  </si>
  <si>
    <t>NE0K272611002951</t>
  </si>
  <si>
    <t>NE0K272611002922</t>
  </si>
  <si>
    <t>NE0K272611002896</t>
  </si>
  <si>
    <t>NE0K272611002818</t>
  </si>
  <si>
    <t>NE0K272611002911</t>
  </si>
  <si>
    <t>NE0K272611002871</t>
  </si>
  <si>
    <t>NE0K272611002963</t>
  </si>
  <si>
    <t>NE0K272611002689</t>
  </si>
  <si>
    <t>NE0K272611002927</t>
  </si>
  <si>
    <t>NE0K272611002687</t>
  </si>
  <si>
    <t>NE0K272611002680</t>
  </si>
  <si>
    <t>NE0K272611002679</t>
  </si>
  <si>
    <t>NE0K272611002683</t>
  </si>
  <si>
    <t>NE0K272611002682</t>
  </si>
  <si>
    <t>NE0K272611002684</t>
  </si>
  <si>
    <t>NE0K272611002678</t>
  </si>
  <si>
    <t>NE0K272611002676</t>
  </si>
  <si>
    <t>NE0K272611002681</t>
  </si>
  <si>
    <t>NE0K272611002675</t>
  </si>
  <si>
    <t>NE0K272611002677</t>
  </si>
  <si>
    <t>NE0K272611002674</t>
  </si>
  <si>
    <t>1054/GST/2627</t>
  </si>
  <si>
    <t>VG20050731</t>
  </si>
  <si>
    <t>VG20050732</t>
  </si>
  <si>
    <t>PV/MHN/2627/0098</t>
  </si>
  <si>
    <t>43</t>
  </si>
  <si>
    <t>1675</t>
  </si>
  <si>
    <t>PV/MHW/2627/0123</t>
  </si>
  <si>
    <t>3147</t>
  </si>
  <si>
    <t>009/26-27</t>
  </si>
  <si>
    <t>UMPL/2026-27/018</t>
  </si>
  <si>
    <t>SRI 054</t>
  </si>
  <si>
    <t>SRI 055</t>
  </si>
  <si>
    <t>PV/MHW/2627/0125</t>
  </si>
  <si>
    <t>APC/2026-27/057</t>
  </si>
  <si>
    <t>UM-09/26-27</t>
  </si>
  <si>
    <t>26-27-00469</t>
  </si>
  <si>
    <t>VG20050765</t>
  </si>
  <si>
    <t>PV/WBG/2627/0089</t>
  </si>
  <si>
    <t>3157</t>
  </si>
  <si>
    <t>PV/MHN/2627/0101</t>
  </si>
  <si>
    <t>SS/26-27/075</t>
  </si>
  <si>
    <t>SRI 056</t>
  </si>
  <si>
    <t>SRI 057</t>
  </si>
  <si>
    <t>0RLGOA006/26-27</t>
  </si>
  <si>
    <t>PV/TN/2627/0008</t>
  </si>
  <si>
    <t>TE/26-27/43</t>
  </si>
  <si>
    <t>WCIN-2627-270435</t>
  </si>
  <si>
    <t>3158</t>
  </si>
  <si>
    <t>3159</t>
  </si>
  <si>
    <t>VG20050795</t>
  </si>
  <si>
    <t>VG20050810</t>
  </si>
  <si>
    <t>PV/HR/2627/0077</t>
  </si>
  <si>
    <t>PV/GUJ/2627/0278</t>
  </si>
  <si>
    <t>JPL/SALE/26/102</t>
  </si>
  <si>
    <t>JPL/SALE/26/098</t>
  </si>
  <si>
    <t>JPL/SALE/26/099</t>
  </si>
  <si>
    <t>JPL/SALE/26/100</t>
  </si>
  <si>
    <t>JPL/SALE/26/101</t>
  </si>
  <si>
    <t>KBS/02580/26-27</t>
  </si>
  <si>
    <t>KBS/02597/26-27</t>
  </si>
  <si>
    <t>2355</t>
  </si>
  <si>
    <t>UMPL/2026-27/019</t>
  </si>
  <si>
    <t>38</t>
  </si>
  <si>
    <t>39</t>
  </si>
  <si>
    <t>41/</t>
  </si>
  <si>
    <t>ULTRA/26-27/05</t>
  </si>
  <si>
    <t>S/2627/66</t>
  </si>
  <si>
    <t>SRI 058</t>
  </si>
  <si>
    <t>SRI 059</t>
  </si>
  <si>
    <t>SRI 060</t>
  </si>
  <si>
    <t>ASL2627TRS00142</t>
  </si>
  <si>
    <t>ASL2627TRA00143</t>
  </si>
  <si>
    <t>VG20050829</t>
  </si>
  <si>
    <t>PV/HR/2627/0070</t>
  </si>
  <si>
    <t>2356</t>
  </si>
  <si>
    <t>2357</t>
  </si>
  <si>
    <t>SRI 061</t>
  </si>
  <si>
    <t>SRI 062</t>
  </si>
  <si>
    <t>SRI 063</t>
  </si>
  <si>
    <t>26-27-00470</t>
  </si>
  <si>
    <t>BE/14/26</t>
  </si>
  <si>
    <t>PV/MHF/2627/0098</t>
  </si>
  <si>
    <t>044</t>
  </si>
  <si>
    <t>RC/WBA/2627/0043</t>
  </si>
  <si>
    <t>264000378</t>
  </si>
  <si>
    <t>264000379</t>
  </si>
  <si>
    <t>APC/2026-27/063</t>
  </si>
  <si>
    <t>10/26-27</t>
  </si>
  <si>
    <t>SRI 064</t>
  </si>
  <si>
    <t>VBR/UF/26-27/Vizag/026</t>
  </si>
  <si>
    <t>VBR/UF/26-27/Vizag/025</t>
  </si>
  <si>
    <t>NE0K272611003558</t>
  </si>
  <si>
    <t>NE03272600001544</t>
  </si>
  <si>
    <t>NE03272600001537</t>
  </si>
  <si>
    <t>NE03272600001538</t>
  </si>
  <si>
    <t>NE0K272611003581</t>
  </si>
  <si>
    <t>NE0K272611003572</t>
  </si>
  <si>
    <t>NE0K272611003571</t>
  </si>
  <si>
    <t>NE0K272611003570</t>
  </si>
  <si>
    <t>NE0K272611003563</t>
  </si>
  <si>
    <t>NE0K272611003513</t>
  </si>
  <si>
    <t>NE0K272611003472</t>
  </si>
  <si>
    <t>NE0K272611003506</t>
  </si>
  <si>
    <t>NE0K272611003001</t>
  </si>
  <si>
    <t>NE0K272611002978</t>
  </si>
  <si>
    <t>NE0K272611003009</t>
  </si>
  <si>
    <t>NE0K272611003002</t>
  </si>
  <si>
    <t>NE0K272611003063</t>
  </si>
  <si>
    <t>NE0K272611003243</t>
  </si>
  <si>
    <t>NE0K272611003258</t>
  </si>
  <si>
    <t>NE0K272611003263</t>
  </si>
  <si>
    <t>NE0K272611003212</t>
  </si>
  <si>
    <t>NE0K272611003196</t>
  </si>
  <si>
    <t>NE0K272611003079</t>
  </si>
  <si>
    <t>NE0K272611003066</t>
  </si>
  <si>
    <t>NE0K272611003146</t>
  </si>
  <si>
    <t>NE0K272611003433</t>
  </si>
  <si>
    <t>NE03272600001480</t>
  </si>
  <si>
    <t>NE03272600001486</t>
  </si>
  <si>
    <t>NE03272600001518</t>
  </si>
  <si>
    <t>NE03272600001400</t>
  </si>
  <si>
    <t>UM-011/26-27</t>
  </si>
  <si>
    <t>UM-012/26-27</t>
  </si>
  <si>
    <t>Ash/26-27-009</t>
  </si>
  <si>
    <t>ASL2627FLY40114</t>
  </si>
  <si>
    <t>ASL2627FLY40123</t>
  </si>
  <si>
    <t>ASL2627FLY40131</t>
  </si>
  <si>
    <t>VG20050902</t>
  </si>
  <si>
    <t>PV/HR/2627/0072</t>
  </si>
  <si>
    <t>PV/HR/2627/0078</t>
  </si>
  <si>
    <t>2359</t>
  </si>
  <si>
    <t>ULJUN26001</t>
  </si>
  <si>
    <t>SS/26-27/085</t>
  </si>
  <si>
    <t>SS/26-27/084</t>
  </si>
  <si>
    <t>SS/26-27/083</t>
  </si>
  <si>
    <t>SS/26-27/082</t>
  </si>
  <si>
    <t>SS/26-27/081</t>
  </si>
  <si>
    <t>SS/26-27/080</t>
  </si>
  <si>
    <t>SS/26-27/091</t>
  </si>
  <si>
    <t>SS/26-27/076</t>
  </si>
  <si>
    <t>SS/26-27/077</t>
  </si>
  <si>
    <t>10037</t>
  </si>
  <si>
    <t>SRI 065</t>
  </si>
  <si>
    <t>VMK-FT-260241</t>
  </si>
  <si>
    <t>VG20050929</t>
  </si>
  <si>
    <t>VG20050933</t>
  </si>
  <si>
    <t>VG20050934</t>
  </si>
  <si>
    <t>PV/GUJ/2627/0270</t>
  </si>
  <si>
    <t>PV/GUJ/2627/0271</t>
  </si>
  <si>
    <t>PV/GUJ/2627/0272</t>
  </si>
  <si>
    <t>431</t>
  </si>
  <si>
    <t>KR/2026-27/274</t>
  </si>
  <si>
    <t>2361</t>
  </si>
  <si>
    <t>SRI 066</t>
  </si>
  <si>
    <t>NE0K272611003290</t>
  </si>
  <si>
    <t>NE0K272611003213</t>
  </si>
  <si>
    <t>NE0K272611003069</t>
  </si>
  <si>
    <t>NE0K272611003211</t>
  </si>
  <si>
    <t>NE0K272611003013</t>
  </si>
  <si>
    <t>NE0K272611003122</t>
  </si>
  <si>
    <t>NE0K272611003312</t>
  </si>
  <si>
    <t>NE0K272611003242</t>
  </si>
  <si>
    <t>NE0K272611003145</t>
  </si>
  <si>
    <t>NE0K272611003306</t>
  </si>
  <si>
    <t>NE0K272611003423</t>
  </si>
  <si>
    <t>NE0K272611003417</t>
  </si>
  <si>
    <t>NE0K272611003416</t>
  </si>
  <si>
    <t>NE0K272611003409</t>
  </si>
  <si>
    <t>NE0K272611003404</t>
  </si>
  <si>
    <t>NE0K272611003365</t>
  </si>
  <si>
    <t>NE0K272611003360</t>
  </si>
  <si>
    <t>NE0K272611003389</t>
  </si>
  <si>
    <t>NE0K272611003415</t>
  </si>
  <si>
    <t>NE0K272611003351</t>
  </si>
  <si>
    <t>NE0K272611003329</t>
  </si>
  <si>
    <t>UM-013/26-27</t>
  </si>
  <si>
    <t>Ash/26-27-011</t>
  </si>
  <si>
    <t>Ash/26-27-010</t>
  </si>
  <si>
    <t>VG20050984</t>
  </si>
  <si>
    <t>VG20050986</t>
  </si>
  <si>
    <t>1766</t>
  </si>
  <si>
    <t>KBS/02790/26-27</t>
  </si>
  <si>
    <t>SS/26-27/092</t>
  </si>
  <si>
    <t>06</t>
  </si>
  <si>
    <t>JK/110/26-27</t>
  </si>
  <si>
    <t>SRI 067</t>
  </si>
  <si>
    <t>SRI 068</t>
  </si>
  <si>
    <t>SRI 069</t>
  </si>
  <si>
    <t>VBR/UF/26-27/Vizag/027</t>
  </si>
  <si>
    <t>VMK-FT-260252</t>
  </si>
  <si>
    <t>WWI/35/26-27/GS</t>
  </si>
  <si>
    <t>VG20051023</t>
  </si>
  <si>
    <t>VG20051026</t>
  </si>
  <si>
    <t>MBI/26-27/12</t>
  </si>
  <si>
    <t>SRI 070</t>
  </si>
  <si>
    <t>SRI 071</t>
  </si>
  <si>
    <t>263100239</t>
  </si>
  <si>
    <t>26-27-00472</t>
  </si>
  <si>
    <t>PV/GUJ/2627/0261</t>
  </si>
  <si>
    <t>VG20051051</t>
  </si>
  <si>
    <t>VG20051058</t>
  </si>
  <si>
    <t>DSS/ASN/115</t>
  </si>
  <si>
    <t>DSS/ASN/116</t>
  </si>
  <si>
    <t>INV/26-27/73</t>
  </si>
  <si>
    <t>VBR/UF/26-27/Vizag/030</t>
  </si>
  <si>
    <t>RM-UF-12</t>
  </si>
  <si>
    <t>RM-UF-11</t>
  </si>
  <si>
    <t>RM-UF-10</t>
  </si>
  <si>
    <t>RM-UF-09</t>
  </si>
  <si>
    <t>RM-UF-08</t>
  </si>
  <si>
    <t>RM-UF-07</t>
  </si>
  <si>
    <t>VBR/UF/26-27/Vizag/029</t>
  </si>
  <si>
    <t>VBR/UF/26-27/Vizag/028</t>
  </si>
  <si>
    <t>VG20051147</t>
  </si>
  <si>
    <t>VG20051148</t>
  </si>
  <si>
    <t>JK/112/26-27</t>
  </si>
  <si>
    <t>SRI 072</t>
  </si>
  <si>
    <t>SRI 073</t>
  </si>
  <si>
    <t>APC/2026-27/066</t>
  </si>
  <si>
    <t>PV/GUJ/2627/0289</t>
  </si>
  <si>
    <t>26-27-00473</t>
  </si>
  <si>
    <t>FI4027004536</t>
  </si>
  <si>
    <t>PV/HR/2627/0083</t>
  </si>
  <si>
    <t>PV/HR/2627/0084</t>
  </si>
  <si>
    <t>PV/HR/2627/0085</t>
  </si>
  <si>
    <t>PV/HR/2627/0086</t>
  </si>
  <si>
    <t>6030572856</t>
  </si>
  <si>
    <t>MTC/0118</t>
  </si>
  <si>
    <t>13HY26ARMN7</t>
  </si>
  <si>
    <t>IN39</t>
  </si>
  <si>
    <t>SRI 074</t>
  </si>
  <si>
    <t>SRI 075</t>
  </si>
  <si>
    <t>SRI 076</t>
  </si>
  <si>
    <t>2236058</t>
  </si>
  <si>
    <t>2228887</t>
  </si>
  <si>
    <t>2228903</t>
  </si>
  <si>
    <t>APC/2026-27/073</t>
  </si>
  <si>
    <t>127-DS-27000561</t>
  </si>
  <si>
    <t>127-DS-27000560</t>
  </si>
  <si>
    <t>127-DS-27000542</t>
  </si>
  <si>
    <t>127-DS-27000528</t>
  </si>
  <si>
    <t>127-DS-27000520</t>
  </si>
  <si>
    <t>AE000178</t>
  </si>
  <si>
    <t>AE000165</t>
  </si>
  <si>
    <t>AE000100</t>
  </si>
  <si>
    <t>NE03272600001589</t>
  </si>
  <si>
    <t>NE0K272611003744</t>
  </si>
  <si>
    <t>NE0K272611003733</t>
  </si>
  <si>
    <t>NE0K272611003679</t>
  </si>
  <si>
    <t>NE03272600001684</t>
  </si>
  <si>
    <t>NE0K272611002673</t>
  </si>
  <si>
    <t>NE0K272611003589</t>
  </si>
  <si>
    <t>NE0K272611003606</t>
  </si>
  <si>
    <t>NE0K272611003607</t>
  </si>
  <si>
    <t>NE0K272611003635</t>
  </si>
  <si>
    <t>NE0K272611003639</t>
  </si>
  <si>
    <t>NE0K272611003654</t>
  </si>
  <si>
    <t>NE03272600001573</t>
  </si>
  <si>
    <t>NE0K272611003756</t>
  </si>
  <si>
    <t>NE03272600001747</t>
  </si>
  <si>
    <t>NE0K272611003804</t>
  </si>
  <si>
    <t>NE0K272611003614</t>
  </si>
  <si>
    <t>NE0K272611003803</t>
  </si>
  <si>
    <t>NE0K272611003794</t>
  </si>
  <si>
    <t>NE0K272611003780</t>
  </si>
  <si>
    <t>NE0K272611003793</t>
  </si>
  <si>
    <t>NE0K272611003796</t>
  </si>
  <si>
    <t>NE0K272611003758</t>
  </si>
  <si>
    <t>NE0K272611003811</t>
  </si>
  <si>
    <t>NE0K272611003817</t>
  </si>
  <si>
    <t>NE0K272611003837</t>
  </si>
  <si>
    <t>NE0K272611003902</t>
  </si>
  <si>
    <t>NE0K272611003952</t>
  </si>
  <si>
    <t>NE03272600001751</t>
  </si>
  <si>
    <t>NE0K272611004076</t>
  </si>
  <si>
    <t>NE0K272611003842</t>
  </si>
  <si>
    <t>NE0K272611003941</t>
  </si>
  <si>
    <t>NE0K272611003927</t>
  </si>
  <si>
    <t>NE0K272611003967</t>
  </si>
  <si>
    <t>NE0K272611003983</t>
  </si>
  <si>
    <t>NE0K272611004017</t>
  </si>
  <si>
    <t>NE0K272611004030</t>
  </si>
  <si>
    <t>NE0K272611004093</t>
  </si>
  <si>
    <t>NE0K272611004094</t>
  </si>
  <si>
    <t>NE0K272611004083</t>
  </si>
  <si>
    <t>NE0K272611004100</t>
  </si>
  <si>
    <t>NE0K272611004082</t>
  </si>
  <si>
    <t>NE0K272611004148</t>
  </si>
  <si>
    <t>NE0K272611004149</t>
  </si>
  <si>
    <t>UM-017/26-27</t>
  </si>
  <si>
    <t>UM-016/26-27</t>
  </si>
  <si>
    <t>UM-014/26-27</t>
  </si>
  <si>
    <t>UM-015/26-27</t>
  </si>
  <si>
    <t>June 2026</t>
  </si>
  <si>
    <t>Ash/26-27-013</t>
  </si>
  <si>
    <t>Ash/26-27-017</t>
  </si>
  <si>
    <t>ASL2627FLY40152</t>
  </si>
  <si>
    <t>ASL2627TRS00191</t>
  </si>
  <si>
    <t>ASL2627FLY40166</t>
  </si>
  <si>
    <t>ASL2627FLY40173</t>
  </si>
  <si>
    <t>ATH/26-27/003</t>
  </si>
  <si>
    <t>SG50</t>
  </si>
  <si>
    <t>Avijit/Jun/2026/2</t>
  </si>
  <si>
    <t>26-27-00481</t>
  </si>
  <si>
    <t>26-27-00482</t>
  </si>
  <si>
    <t>26-27-00483</t>
  </si>
  <si>
    <t>UF-06/June/2026</t>
  </si>
  <si>
    <t>BT/26-27/006</t>
  </si>
  <si>
    <t>BT/26-27/008</t>
  </si>
  <si>
    <t>BT/26-27/007</t>
  </si>
  <si>
    <t>MF2730I000064683</t>
  </si>
  <si>
    <t>BE/11/26</t>
  </si>
  <si>
    <t>BE/13/26</t>
  </si>
  <si>
    <t>15</t>
  </si>
  <si>
    <t>BE/16/26</t>
  </si>
  <si>
    <t>B06/26-27</t>
  </si>
  <si>
    <t>C-20</t>
  </si>
  <si>
    <t>VG20051209</t>
  </si>
  <si>
    <t>VG20051211</t>
  </si>
  <si>
    <t>CFAL/26-27/273</t>
  </si>
  <si>
    <t>FI4037002154</t>
  </si>
  <si>
    <t>FI4037002155</t>
  </si>
  <si>
    <t>FI4037002153</t>
  </si>
  <si>
    <t>FI4027006132</t>
  </si>
  <si>
    <t>FI4019001921</t>
  </si>
  <si>
    <t>10062624UMA0084</t>
  </si>
  <si>
    <t>10062624UMA0093</t>
  </si>
  <si>
    <t>10062630UMA0015</t>
  </si>
  <si>
    <t>10062630UMA0016</t>
  </si>
  <si>
    <t>10062624UMA0078</t>
  </si>
  <si>
    <t>26-27/G-7891</t>
  </si>
  <si>
    <t>2236426</t>
  </si>
  <si>
    <t>2236427</t>
  </si>
  <si>
    <t>598</t>
  </si>
  <si>
    <t>June/26</t>
  </si>
  <si>
    <t>June2026 wada</t>
  </si>
  <si>
    <t>GIN0007342</t>
  </si>
  <si>
    <t>3095</t>
  </si>
  <si>
    <t>3105</t>
  </si>
  <si>
    <t>3107</t>
  </si>
  <si>
    <t>3108</t>
  </si>
  <si>
    <t>3124</t>
  </si>
  <si>
    <t>EI/UF/002/26-27</t>
  </si>
  <si>
    <t>2026/JUNE/002</t>
  </si>
  <si>
    <t>2026/JUNE/004</t>
  </si>
  <si>
    <t>0GTC0082/26-27</t>
  </si>
  <si>
    <t>03/ 26-27</t>
  </si>
  <si>
    <t>HSSPL/303/26-27</t>
  </si>
  <si>
    <t>HM27/2627/014589</t>
  </si>
  <si>
    <t>IIC/1123/0626</t>
  </si>
  <si>
    <t>JV/HO/2627/0027</t>
  </si>
  <si>
    <t>JFC/26-27/0072</t>
  </si>
  <si>
    <t>JPL/SALE/26/113</t>
  </si>
  <si>
    <t>JPL/SALE/26/114</t>
  </si>
  <si>
    <t>MBI/26-27/13</t>
  </si>
  <si>
    <t>2026-27/33</t>
  </si>
  <si>
    <t>FY202627050132</t>
  </si>
  <si>
    <t>000447</t>
  </si>
  <si>
    <t>2237269</t>
  </si>
  <si>
    <t>2236141</t>
  </si>
  <si>
    <t>2231983</t>
  </si>
  <si>
    <t>2627-221</t>
  </si>
  <si>
    <t>141</t>
  </si>
  <si>
    <t>19B 07/2026</t>
  </si>
  <si>
    <t>19(D),07/2027</t>
  </si>
  <si>
    <t>115</t>
  </si>
  <si>
    <t>MPI/26-27/142</t>
  </si>
  <si>
    <t>MPI/26-27/141</t>
  </si>
  <si>
    <t>269</t>
  </si>
  <si>
    <t>08/MBS/UM/26-27</t>
  </si>
  <si>
    <t>MBS - 06/ 26 - 27</t>
  </si>
  <si>
    <t>2026-27/18</t>
  </si>
  <si>
    <t>2237975</t>
  </si>
  <si>
    <t>202606369997514</t>
  </si>
  <si>
    <t>113</t>
  </si>
  <si>
    <t>114</t>
  </si>
  <si>
    <t>121</t>
  </si>
  <si>
    <t>117</t>
  </si>
  <si>
    <t>119</t>
  </si>
  <si>
    <t>123</t>
  </si>
  <si>
    <t>2237513</t>
  </si>
  <si>
    <t>26-27-03</t>
  </si>
  <si>
    <t>31</t>
  </si>
  <si>
    <t>Jun 48</t>
  </si>
  <si>
    <t>000148</t>
  </si>
  <si>
    <t>063/26-27</t>
  </si>
  <si>
    <t>060/26-27</t>
  </si>
  <si>
    <t>170</t>
  </si>
  <si>
    <t>PRA/26-27/0001</t>
  </si>
  <si>
    <t>2236208</t>
  </si>
  <si>
    <t>2229359</t>
  </si>
  <si>
    <t>19A 07/2026</t>
  </si>
  <si>
    <t>011/26-27</t>
  </si>
  <si>
    <t>82</t>
  </si>
  <si>
    <t>JV/HO/2627/0028</t>
  </si>
  <si>
    <t>274/2026-27</t>
  </si>
  <si>
    <t>H26S0005</t>
  </si>
  <si>
    <t>2KL26ARMN67</t>
  </si>
  <si>
    <t>2KL26ARMN68</t>
  </si>
  <si>
    <t>2KL26ARMN71</t>
  </si>
  <si>
    <t>13HY26ARMN4</t>
  </si>
  <si>
    <t>13HY26ARMN6</t>
  </si>
  <si>
    <t>RMB-35-2026-27</t>
  </si>
  <si>
    <t>RMB-37-2026-27</t>
  </si>
  <si>
    <t>RM/06/007</t>
  </si>
  <si>
    <t>RM/06/006</t>
  </si>
  <si>
    <t>262900001</t>
  </si>
  <si>
    <t>262900002</t>
  </si>
  <si>
    <t>262900003</t>
  </si>
  <si>
    <t>260302848</t>
  </si>
  <si>
    <t>2238777</t>
  </si>
  <si>
    <t>2238778</t>
  </si>
  <si>
    <t>2236488</t>
  </si>
  <si>
    <t>2236540</t>
  </si>
  <si>
    <t>031/</t>
  </si>
  <si>
    <t>NULJUN2601</t>
  </si>
  <si>
    <t>ULJUN26002</t>
  </si>
  <si>
    <t>NULJUN2602</t>
  </si>
  <si>
    <t>ULJUN26003</t>
  </si>
  <si>
    <t>26-27-3</t>
  </si>
  <si>
    <t>0056</t>
  </si>
  <si>
    <t>BBY-11962</t>
  </si>
  <si>
    <t>BBY-11963</t>
  </si>
  <si>
    <t>BBY-11957</t>
  </si>
  <si>
    <t>BBY-11958</t>
  </si>
  <si>
    <t>BBY-11959</t>
  </si>
  <si>
    <t>BBY-11956</t>
  </si>
  <si>
    <t>BBY-11961</t>
  </si>
  <si>
    <t>BBY-11960</t>
  </si>
  <si>
    <t>SAM/54</t>
  </si>
  <si>
    <t>IN94</t>
  </si>
  <si>
    <t>SS/26-27/0102</t>
  </si>
  <si>
    <t>SS/26-27/099</t>
  </si>
  <si>
    <t>SS/26-27/096</t>
  </si>
  <si>
    <t>SS/26-27/098</t>
  </si>
  <si>
    <t>SS/26-27/0108</t>
  </si>
  <si>
    <t>SS/26-27/0109</t>
  </si>
  <si>
    <t>SS/26-27/0106</t>
  </si>
  <si>
    <t>048</t>
  </si>
  <si>
    <t>050/</t>
  </si>
  <si>
    <t>051/</t>
  </si>
  <si>
    <t>ULTRA/26-27/06</t>
  </si>
  <si>
    <t>1953</t>
  </si>
  <si>
    <t>375</t>
  </si>
  <si>
    <t>SK/05/26-27</t>
  </si>
  <si>
    <t>SK/06/26-27</t>
  </si>
  <si>
    <t>GJ/2026-27/1084</t>
  </si>
  <si>
    <t>GJ/2026-27/1085</t>
  </si>
  <si>
    <t>GJ/2026-27/1154</t>
  </si>
  <si>
    <t>MH/2026-27/8167</t>
  </si>
  <si>
    <t>MH/2026-27/8168</t>
  </si>
  <si>
    <t>SE/29/2627/00049</t>
  </si>
  <si>
    <t>SRI 077</t>
  </si>
  <si>
    <t>SRLGOA007/26-27</t>
  </si>
  <si>
    <t>SRLGOA008/26-27</t>
  </si>
  <si>
    <t>19C 07/2026</t>
  </si>
  <si>
    <t>JV/GOA/2627/0030</t>
  </si>
  <si>
    <t>2026-27/268</t>
  </si>
  <si>
    <t>2026-27/262</t>
  </si>
  <si>
    <t>2026-27/263</t>
  </si>
  <si>
    <t>2026-27/274</t>
  </si>
  <si>
    <t>2026-27/273</t>
  </si>
  <si>
    <t>168068740</t>
  </si>
  <si>
    <t>14</t>
  </si>
  <si>
    <t>TPI/134/26-27</t>
  </si>
  <si>
    <t>VBR/UF/26-27/Vizag/031</t>
  </si>
  <si>
    <t>VMK-FT-260272</t>
  </si>
  <si>
    <t>VMK-FT-260297</t>
  </si>
  <si>
    <t>VMK-FT-260313</t>
  </si>
  <si>
    <t>VMK-FT-260299</t>
  </si>
  <si>
    <t>181</t>
  </si>
  <si>
    <t>656000197574</t>
  </si>
  <si>
    <t>3177</t>
  </si>
  <si>
    <t>3170</t>
  </si>
  <si>
    <t>3178</t>
  </si>
  <si>
    <t>3179</t>
  </si>
  <si>
    <t>3180</t>
  </si>
  <si>
    <t>3184</t>
  </si>
  <si>
    <t>2915</t>
  </si>
  <si>
    <t>2898</t>
  </si>
  <si>
    <t/>
  </si>
  <si>
    <t>-</t>
  </si>
  <si>
    <t>1-Apr-26 to 30-Jun-26</t>
  </si>
  <si>
    <t>Creditors Ageing Report - Intercompany &amp; Special | As at 30-Jun-2026</t>
  </si>
  <si>
    <t>Creditors – Advance Payments (Debit Balances) | As at 30-June-2026</t>
  </si>
  <si>
    <t>Creditors Ageing Report | As at 30-June-2026</t>
  </si>
  <si>
    <t>Sales Promotion Exps</t>
  </si>
  <si>
    <t>Trading Material</t>
  </si>
  <si>
    <t>Transport Exps</t>
  </si>
  <si>
    <t>Vehicle Expenses</t>
  </si>
  <si>
    <t>Consultancy Fees</t>
  </si>
  <si>
    <t>Claim Exps</t>
  </si>
  <si>
    <t>Telephone Exps</t>
  </si>
  <si>
    <t>Vehicle Exps</t>
  </si>
  <si>
    <t>Rent on Machinery</t>
  </si>
  <si>
    <t>RM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</si>
</sst>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#,##0.00;\(#,##0.00\);\-"/>
    <numFmt numFmtId="166" formatCode="dd\-mmm\-yyyy"/>
    <numFmt numFmtId="167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4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6" fillId="2" borderId="0" xfId="0" applyFont="1" applyFill="1"/>
    <xf numFmtId="165" fontId="6" fillId="2" borderId="0" xfId="0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0" fontId="4" fillId="3" borderId="2" xfId="0" applyFont="1" applyFill="1" applyBorder="1" applyAlignment="1">
      <alignment horizontal="center" vertical="center"/>
    </xf>
    <xf numFmtId="166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0" xfId="0"/>
    <xf numFmtId="164" fontId="0" fillId="0" borderId="0" xfId="1" applyFont="1"/>
    <xf numFmtId="0" fontId="3" fillId="0" borderId="3" xfId="0" applyFont="1" applyBorder="1"/>
    <xf numFmtId="164" fontId="3" fillId="0" borderId="3" xfId="1" applyFont="1" applyBorder="1"/>
    <xf numFmtId="0" fontId="2" fillId="2" borderId="4" xfId="0" applyFont="1" applyFill="1" applyBorder="1"/>
    <xf numFmtId="164" fontId="2" fillId="2" borderId="4" xfId="1" applyFont="1" applyFill="1" applyBorder="1"/>
    <xf numFmtId="167" fontId="0" fillId="0" borderId="2" xfId="1" applyNumberFormat="1" applyFont="1" applyBorder="1"/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4" borderId="2" xfId="1" applyFont="1" applyFill="1" applyBorder="1" applyAlignment="1">
      <alignment horizontal="center"/>
    </xf>
    <xf numFmtId="164" fontId="2" fillId="4" borderId="2" xfId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9"/>
  <sheetViews>
    <sheetView tabSelected="1" workbookViewId="0"/>
  </sheetViews>
  <sheetFormatPr defaultRowHeight="15" x14ac:dyDescent="0.25"/>
  <cols>
    <col min="1" max="1" width="55" customWidth="1"/>
    <col min="2" max="3" width="18" style="18" customWidth="1"/>
  </cols>
  <sheetData>
    <row r="1" spans="1:3" ht="15.75" x14ac:dyDescent="0.25">
      <c r="A1" s="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s="2" t="s">
        <v>5</v>
      </c>
    </row>
    <row r="7" spans="1:3" x14ac:dyDescent="0.25">
      <c r="A7" s="2" t="s">
        <v>6</v>
      </c>
    </row>
    <row r="8" spans="1:3" x14ac:dyDescent="0.25">
      <c r="A8" s="2" t="s">
        <v>1668</v>
      </c>
      <c r="B8" s="18">
        <f>SUBTOTAL(9,B11:B266)</f>
        <v>44503458.799999997</v>
      </c>
      <c r="C8" s="18">
        <f>SUBTOTAL(9,C11:C266)</f>
        <v>313352278.3499999</v>
      </c>
    </row>
    <row r="9" spans="1:3" x14ac:dyDescent="0.25">
      <c r="A9" s="24"/>
      <c r="B9" s="27" t="s">
        <v>8</v>
      </c>
      <c r="C9" s="27"/>
    </row>
    <row r="10" spans="1:3" x14ac:dyDescent="0.25">
      <c r="A10" s="25" t="s">
        <v>7</v>
      </c>
      <c r="B10" s="26" t="s">
        <v>9</v>
      </c>
      <c r="C10" s="26" t="s">
        <v>10</v>
      </c>
    </row>
    <row r="11" spans="1:3" s="17" customFormat="1" x14ac:dyDescent="0.25">
      <c r="A11" s="19"/>
      <c r="B11" s="20"/>
      <c r="C11" s="20"/>
    </row>
    <row r="12" spans="1:3" s="17" customFormat="1" x14ac:dyDescent="0.25">
      <c r="A12" s="19" t="s">
        <v>1028</v>
      </c>
      <c r="B12" s="20">
        <v>15161</v>
      </c>
      <c r="C12" s="20"/>
    </row>
    <row r="13" spans="1:3" s="17" customFormat="1" x14ac:dyDescent="0.25">
      <c r="A13" s="19" t="s">
        <v>1036</v>
      </c>
      <c r="B13" s="20"/>
      <c r="C13" s="20">
        <v>3519</v>
      </c>
    </row>
    <row r="14" spans="1:3" s="17" customFormat="1" x14ac:dyDescent="0.25">
      <c r="A14" s="19" t="s">
        <v>1048</v>
      </c>
      <c r="B14" s="20"/>
      <c r="C14" s="20">
        <v>18812</v>
      </c>
    </row>
    <row r="15" spans="1:3" s="17" customFormat="1" x14ac:dyDescent="0.25">
      <c r="A15" s="19" t="s">
        <v>1050</v>
      </c>
      <c r="B15" s="20"/>
      <c r="C15" s="20">
        <v>30444</v>
      </c>
    </row>
    <row r="16" spans="1:3" s="17" customFormat="1" x14ac:dyDescent="0.25">
      <c r="A16" s="19" t="s">
        <v>11</v>
      </c>
      <c r="B16" s="20">
        <v>94000</v>
      </c>
      <c r="C16" s="20"/>
    </row>
    <row r="17" spans="1:3" s="17" customFormat="1" x14ac:dyDescent="0.25">
      <c r="A17" s="19" t="s">
        <v>12</v>
      </c>
      <c r="B17" s="20"/>
      <c r="C17" s="20">
        <v>80439.38</v>
      </c>
    </row>
    <row r="18" spans="1:3" s="17" customFormat="1" x14ac:dyDescent="0.25">
      <c r="A18" s="19" t="s">
        <v>13</v>
      </c>
      <c r="B18" s="20"/>
      <c r="C18" s="20">
        <v>655797.07999999996</v>
      </c>
    </row>
    <row r="19" spans="1:3" s="17" customFormat="1" x14ac:dyDescent="0.25">
      <c r="A19" s="19" t="s">
        <v>14</v>
      </c>
      <c r="B19" s="20"/>
      <c r="C19" s="20">
        <v>35913.4</v>
      </c>
    </row>
    <row r="20" spans="1:3" s="17" customFormat="1" x14ac:dyDescent="0.25">
      <c r="A20" s="19" t="s">
        <v>15</v>
      </c>
      <c r="B20" s="20"/>
      <c r="C20" s="20">
        <v>300000.02</v>
      </c>
    </row>
    <row r="21" spans="1:3" s="17" customFormat="1" x14ac:dyDescent="0.25">
      <c r="A21" s="19" t="s">
        <v>16</v>
      </c>
      <c r="B21" s="20"/>
      <c r="C21" s="20">
        <v>104715</v>
      </c>
    </row>
    <row r="22" spans="1:3" s="17" customFormat="1" x14ac:dyDescent="0.25">
      <c r="A22" s="19" t="s">
        <v>17</v>
      </c>
      <c r="B22" s="20"/>
      <c r="C22" s="20">
        <v>24564.26</v>
      </c>
    </row>
    <row r="23" spans="1:3" s="17" customFormat="1" x14ac:dyDescent="0.25">
      <c r="A23" s="19" t="s">
        <v>18</v>
      </c>
      <c r="B23" s="20"/>
      <c r="C23" s="20">
        <v>8563184.5700000003</v>
      </c>
    </row>
    <row r="24" spans="1:3" s="17" customFormat="1" x14ac:dyDescent="0.25">
      <c r="A24" s="19" t="s">
        <v>19</v>
      </c>
      <c r="B24" s="20">
        <v>557957.34</v>
      </c>
      <c r="C24" s="20"/>
    </row>
    <row r="25" spans="1:3" s="17" customFormat="1" x14ac:dyDescent="0.25">
      <c r="A25" s="19" t="s">
        <v>20</v>
      </c>
      <c r="B25" s="20"/>
      <c r="C25" s="20">
        <v>848978.08</v>
      </c>
    </row>
    <row r="26" spans="1:3" s="17" customFormat="1" x14ac:dyDescent="0.25">
      <c r="A26" s="19" t="s">
        <v>21</v>
      </c>
      <c r="B26" s="20"/>
      <c r="C26" s="20">
        <v>3000</v>
      </c>
    </row>
    <row r="27" spans="1:3" s="17" customFormat="1" x14ac:dyDescent="0.25">
      <c r="A27" s="19" t="s">
        <v>22</v>
      </c>
      <c r="B27" s="20"/>
      <c r="C27" s="20">
        <v>8639888.8000000007</v>
      </c>
    </row>
    <row r="28" spans="1:3" s="17" customFormat="1" x14ac:dyDescent="0.25">
      <c r="A28" s="19" t="s">
        <v>23</v>
      </c>
      <c r="B28" s="20">
        <v>163127.04000000001</v>
      </c>
      <c r="C28" s="20"/>
    </row>
    <row r="29" spans="1:3" s="17" customFormat="1" x14ac:dyDescent="0.25">
      <c r="A29" s="19" t="s">
        <v>24</v>
      </c>
      <c r="B29" s="20">
        <v>23510</v>
      </c>
      <c r="C29" s="20"/>
    </row>
    <row r="30" spans="1:3" s="17" customFormat="1" x14ac:dyDescent="0.25">
      <c r="A30" s="19" t="s">
        <v>25</v>
      </c>
      <c r="B30" s="20"/>
      <c r="C30" s="20">
        <v>603502</v>
      </c>
    </row>
    <row r="31" spans="1:3" s="17" customFormat="1" x14ac:dyDescent="0.25">
      <c r="A31" s="19" t="s">
        <v>26</v>
      </c>
      <c r="B31" s="20"/>
      <c r="C31" s="20">
        <v>6959753.4900000002</v>
      </c>
    </row>
    <row r="32" spans="1:3" s="17" customFormat="1" x14ac:dyDescent="0.25">
      <c r="A32" s="19" t="s">
        <v>27</v>
      </c>
      <c r="B32" s="20"/>
      <c r="C32" s="20">
        <v>200175.08</v>
      </c>
    </row>
    <row r="33" spans="1:3" s="17" customFormat="1" x14ac:dyDescent="0.25">
      <c r="A33" s="19" t="s">
        <v>28</v>
      </c>
      <c r="B33" s="20"/>
      <c r="C33" s="20">
        <v>42305.599999999999</v>
      </c>
    </row>
    <row r="34" spans="1:3" s="17" customFormat="1" x14ac:dyDescent="0.25">
      <c r="A34" s="19" t="s">
        <v>1060</v>
      </c>
      <c r="B34" s="20"/>
      <c r="C34" s="20">
        <v>125285.4</v>
      </c>
    </row>
    <row r="35" spans="1:3" s="17" customFormat="1" x14ac:dyDescent="0.25">
      <c r="A35" s="19" t="s">
        <v>29</v>
      </c>
      <c r="B35" s="20"/>
      <c r="C35" s="20">
        <v>7521130.2000000002</v>
      </c>
    </row>
    <row r="36" spans="1:3" s="17" customFormat="1" x14ac:dyDescent="0.25">
      <c r="A36" s="19" t="s">
        <v>30</v>
      </c>
      <c r="B36" s="20"/>
      <c r="C36" s="20">
        <v>372600</v>
      </c>
    </row>
    <row r="37" spans="1:3" s="17" customFormat="1" x14ac:dyDescent="0.25">
      <c r="A37" s="19" t="s">
        <v>31</v>
      </c>
      <c r="B37" s="20">
        <v>187920</v>
      </c>
      <c r="C37" s="20"/>
    </row>
    <row r="38" spans="1:3" s="17" customFormat="1" x14ac:dyDescent="0.25">
      <c r="A38" s="19" t="s">
        <v>32</v>
      </c>
      <c r="B38" s="20"/>
      <c r="C38" s="20">
        <v>968310</v>
      </c>
    </row>
    <row r="39" spans="1:3" s="17" customFormat="1" x14ac:dyDescent="0.25">
      <c r="A39" s="19" t="s">
        <v>1055</v>
      </c>
      <c r="B39" s="20"/>
      <c r="C39" s="20">
        <v>78300</v>
      </c>
    </row>
    <row r="40" spans="1:3" s="17" customFormat="1" x14ac:dyDescent="0.25">
      <c r="A40" s="19" t="s">
        <v>33</v>
      </c>
      <c r="B40" s="20"/>
      <c r="C40" s="20">
        <v>464872.27</v>
      </c>
    </row>
    <row r="41" spans="1:3" s="17" customFormat="1" x14ac:dyDescent="0.25">
      <c r="A41" s="19" t="s">
        <v>1042</v>
      </c>
      <c r="B41" s="20"/>
      <c r="C41" s="20">
        <v>9150</v>
      </c>
    </row>
    <row r="42" spans="1:3" s="17" customFormat="1" x14ac:dyDescent="0.25">
      <c r="A42" s="19" t="s">
        <v>34</v>
      </c>
      <c r="B42" s="20">
        <v>37850</v>
      </c>
      <c r="C42" s="20"/>
    </row>
    <row r="43" spans="1:3" s="17" customFormat="1" x14ac:dyDescent="0.25">
      <c r="A43" s="19" t="s">
        <v>1035</v>
      </c>
      <c r="B43" s="20"/>
      <c r="C43" s="20">
        <v>2472.1</v>
      </c>
    </row>
    <row r="44" spans="1:3" s="17" customFormat="1" x14ac:dyDescent="0.25">
      <c r="A44" s="19" t="s">
        <v>35</v>
      </c>
      <c r="B44" s="20"/>
      <c r="C44" s="20">
        <v>8000</v>
      </c>
    </row>
    <row r="45" spans="1:3" s="17" customFormat="1" x14ac:dyDescent="0.25">
      <c r="A45" s="19" t="s">
        <v>36</v>
      </c>
      <c r="B45" s="20"/>
      <c r="C45" s="20">
        <v>239300</v>
      </c>
    </row>
    <row r="46" spans="1:3" s="17" customFormat="1" x14ac:dyDescent="0.25">
      <c r="A46" s="19" t="s">
        <v>37</v>
      </c>
      <c r="B46" s="20"/>
      <c r="C46" s="20">
        <v>1610545.87</v>
      </c>
    </row>
    <row r="47" spans="1:3" s="17" customFormat="1" x14ac:dyDescent="0.25">
      <c r="A47" s="19" t="s">
        <v>1027</v>
      </c>
      <c r="B47" s="20">
        <v>17998</v>
      </c>
      <c r="C47" s="20"/>
    </row>
    <row r="48" spans="1:3" s="17" customFormat="1" x14ac:dyDescent="0.25">
      <c r="A48" s="19" t="s">
        <v>38</v>
      </c>
      <c r="B48" s="20"/>
      <c r="C48" s="20">
        <v>4500</v>
      </c>
    </row>
    <row r="49" spans="1:3" s="17" customFormat="1" x14ac:dyDescent="0.25">
      <c r="A49" s="19" t="s">
        <v>39</v>
      </c>
      <c r="B49" s="20"/>
      <c r="C49" s="20">
        <v>36262.879999999997</v>
      </c>
    </row>
    <row r="50" spans="1:3" s="17" customFormat="1" x14ac:dyDescent="0.25">
      <c r="A50" s="19" t="s">
        <v>40</v>
      </c>
      <c r="B50" s="20"/>
      <c r="C50" s="20">
        <v>417743.16</v>
      </c>
    </row>
    <row r="51" spans="1:3" s="17" customFormat="1" x14ac:dyDescent="0.25">
      <c r="A51" s="19" t="s">
        <v>41</v>
      </c>
      <c r="B51" s="20">
        <v>25000</v>
      </c>
      <c r="C51" s="20"/>
    </row>
    <row r="52" spans="1:3" s="17" customFormat="1" x14ac:dyDescent="0.25">
      <c r="A52" s="19" t="s">
        <v>42</v>
      </c>
      <c r="B52" s="20">
        <v>40.5</v>
      </c>
      <c r="C52" s="20"/>
    </row>
    <row r="53" spans="1:3" s="17" customFormat="1" x14ac:dyDescent="0.25">
      <c r="A53" s="19" t="s">
        <v>1057</v>
      </c>
      <c r="B53" s="20"/>
      <c r="C53" s="20">
        <v>88777</v>
      </c>
    </row>
    <row r="54" spans="1:3" s="17" customFormat="1" x14ac:dyDescent="0.25">
      <c r="A54" s="19" t="s">
        <v>43</v>
      </c>
      <c r="B54" s="20"/>
      <c r="C54" s="20">
        <v>3897886</v>
      </c>
    </row>
    <row r="55" spans="1:3" s="17" customFormat="1" x14ac:dyDescent="0.25">
      <c r="A55" s="19" t="s">
        <v>1051</v>
      </c>
      <c r="B55" s="20"/>
      <c r="C55" s="20">
        <v>32191.759999999998</v>
      </c>
    </row>
    <row r="56" spans="1:3" s="17" customFormat="1" x14ac:dyDescent="0.25">
      <c r="A56" s="19" t="s">
        <v>44</v>
      </c>
      <c r="B56" s="20"/>
      <c r="C56" s="20">
        <v>5095578.4000000004</v>
      </c>
    </row>
    <row r="57" spans="1:3" s="17" customFormat="1" x14ac:dyDescent="0.25">
      <c r="A57" s="19" t="s">
        <v>45</v>
      </c>
      <c r="B57" s="20"/>
      <c r="C57" s="20">
        <v>32005897.48</v>
      </c>
    </row>
    <row r="58" spans="1:3" s="17" customFormat="1" x14ac:dyDescent="0.25">
      <c r="A58" s="19" t="s">
        <v>46</v>
      </c>
      <c r="B58" s="20">
        <v>24886</v>
      </c>
      <c r="C58" s="20"/>
    </row>
    <row r="59" spans="1:3" s="17" customFormat="1" x14ac:dyDescent="0.25">
      <c r="A59" s="19" t="s">
        <v>47</v>
      </c>
      <c r="B59" s="20"/>
      <c r="C59" s="20">
        <v>3933</v>
      </c>
    </row>
    <row r="60" spans="1:3" s="17" customFormat="1" x14ac:dyDescent="0.25">
      <c r="A60" s="19" t="s">
        <v>48</v>
      </c>
      <c r="B60" s="20"/>
      <c r="C60" s="20">
        <v>19952</v>
      </c>
    </row>
    <row r="61" spans="1:3" s="17" customFormat="1" x14ac:dyDescent="0.25">
      <c r="A61" s="19" t="s">
        <v>1056</v>
      </c>
      <c r="B61" s="20"/>
      <c r="C61" s="20">
        <v>84591.33</v>
      </c>
    </row>
    <row r="62" spans="1:3" s="17" customFormat="1" x14ac:dyDescent="0.25">
      <c r="A62" s="19" t="s">
        <v>49</v>
      </c>
      <c r="B62" s="20"/>
      <c r="C62" s="20">
        <v>310552.2</v>
      </c>
    </row>
    <row r="63" spans="1:3" s="17" customFormat="1" x14ac:dyDescent="0.25">
      <c r="A63" s="19" t="s">
        <v>50</v>
      </c>
      <c r="B63" s="20"/>
      <c r="C63" s="20">
        <v>17552</v>
      </c>
    </row>
    <row r="64" spans="1:3" s="17" customFormat="1" x14ac:dyDescent="0.25">
      <c r="A64" s="19" t="s">
        <v>51</v>
      </c>
      <c r="B64" s="20"/>
      <c r="C64" s="20">
        <v>3000</v>
      </c>
    </row>
    <row r="65" spans="1:3" s="17" customFormat="1" x14ac:dyDescent="0.25">
      <c r="A65" s="19" t="s">
        <v>52</v>
      </c>
      <c r="B65" s="20">
        <v>13962953.220000001</v>
      </c>
      <c r="C65" s="20"/>
    </row>
    <row r="66" spans="1:3" s="17" customFormat="1" x14ac:dyDescent="0.25">
      <c r="A66" s="19" t="s">
        <v>53</v>
      </c>
      <c r="B66" s="20"/>
      <c r="C66" s="20">
        <v>827999.28</v>
      </c>
    </row>
    <row r="67" spans="1:3" s="17" customFormat="1" x14ac:dyDescent="0.25">
      <c r="A67" s="19" t="s">
        <v>54</v>
      </c>
      <c r="B67" s="20"/>
      <c r="C67" s="20">
        <v>43200</v>
      </c>
    </row>
    <row r="68" spans="1:3" s="17" customFormat="1" x14ac:dyDescent="0.25">
      <c r="A68" s="19" t="s">
        <v>55</v>
      </c>
      <c r="B68" s="20"/>
      <c r="C68" s="20">
        <v>110640</v>
      </c>
    </row>
    <row r="69" spans="1:3" s="17" customFormat="1" x14ac:dyDescent="0.25">
      <c r="A69" s="19" t="s">
        <v>56</v>
      </c>
      <c r="B69" s="20"/>
      <c r="C69" s="20">
        <v>1376713</v>
      </c>
    </row>
    <row r="70" spans="1:3" s="17" customFormat="1" x14ac:dyDescent="0.25">
      <c r="A70" s="19" t="s">
        <v>1023</v>
      </c>
      <c r="B70" s="20">
        <v>29669.94</v>
      </c>
      <c r="C70" s="20"/>
    </row>
    <row r="71" spans="1:3" s="17" customFormat="1" x14ac:dyDescent="0.25">
      <c r="A71" s="19" t="s">
        <v>57</v>
      </c>
      <c r="B71" s="20"/>
      <c r="C71" s="20">
        <v>16379.2</v>
      </c>
    </row>
    <row r="72" spans="1:3" s="17" customFormat="1" x14ac:dyDescent="0.25">
      <c r="A72" s="19" t="s">
        <v>58</v>
      </c>
      <c r="B72" s="20">
        <v>1949646.5</v>
      </c>
      <c r="C72" s="20"/>
    </row>
    <row r="73" spans="1:3" s="17" customFormat="1" x14ac:dyDescent="0.25">
      <c r="A73" s="19" t="s">
        <v>1025</v>
      </c>
      <c r="B73" s="20">
        <v>21712</v>
      </c>
      <c r="C73" s="20"/>
    </row>
    <row r="74" spans="1:3" s="17" customFormat="1" x14ac:dyDescent="0.25">
      <c r="A74" s="19" t="s">
        <v>59</v>
      </c>
      <c r="B74" s="20"/>
      <c r="C74" s="20">
        <v>89869.4</v>
      </c>
    </row>
    <row r="75" spans="1:3" s="17" customFormat="1" x14ac:dyDescent="0.25">
      <c r="A75" s="19" t="s">
        <v>1062</v>
      </c>
      <c r="B75" s="20"/>
      <c r="C75" s="20">
        <v>156615</v>
      </c>
    </row>
    <row r="76" spans="1:3" s="17" customFormat="1" x14ac:dyDescent="0.25">
      <c r="A76" s="19" t="s">
        <v>60</v>
      </c>
      <c r="B76" s="20"/>
      <c r="C76" s="20">
        <v>61970.68</v>
      </c>
    </row>
    <row r="77" spans="1:3" s="17" customFormat="1" x14ac:dyDescent="0.25">
      <c r="A77" s="19" t="s">
        <v>61</v>
      </c>
      <c r="B77" s="20">
        <v>183000</v>
      </c>
      <c r="C77" s="20"/>
    </row>
    <row r="78" spans="1:3" s="17" customFormat="1" x14ac:dyDescent="0.25">
      <c r="A78" s="19" t="s">
        <v>62</v>
      </c>
      <c r="B78" s="20">
        <v>714140</v>
      </c>
      <c r="C78" s="20"/>
    </row>
    <row r="79" spans="1:3" s="17" customFormat="1" x14ac:dyDescent="0.25">
      <c r="A79" s="19" t="s">
        <v>63</v>
      </c>
      <c r="B79" s="20">
        <v>2387615</v>
      </c>
      <c r="C79" s="20"/>
    </row>
    <row r="80" spans="1:3" s="17" customFormat="1" x14ac:dyDescent="0.25">
      <c r="A80" s="19" t="s">
        <v>64</v>
      </c>
      <c r="B80" s="20"/>
      <c r="C80" s="20">
        <v>542308.24</v>
      </c>
    </row>
    <row r="81" spans="1:3" s="17" customFormat="1" x14ac:dyDescent="0.25">
      <c r="A81" s="19" t="s">
        <v>65</v>
      </c>
      <c r="B81" s="20"/>
      <c r="C81" s="20">
        <v>20000</v>
      </c>
    </row>
    <row r="82" spans="1:3" s="17" customFormat="1" x14ac:dyDescent="0.25">
      <c r="A82" s="19" t="s">
        <v>66</v>
      </c>
      <c r="B82" s="20">
        <v>1228000</v>
      </c>
      <c r="C82" s="20"/>
    </row>
    <row r="83" spans="1:3" s="17" customFormat="1" x14ac:dyDescent="0.25">
      <c r="A83" s="19" t="s">
        <v>67</v>
      </c>
      <c r="B83" s="20"/>
      <c r="C83" s="20">
        <v>1800000</v>
      </c>
    </row>
    <row r="84" spans="1:3" s="17" customFormat="1" x14ac:dyDescent="0.25">
      <c r="A84" s="19" t="s">
        <v>1043</v>
      </c>
      <c r="B84" s="20"/>
      <c r="C84" s="20">
        <v>9801.08</v>
      </c>
    </row>
    <row r="85" spans="1:3" s="17" customFormat="1" x14ac:dyDescent="0.25">
      <c r="A85" s="19" t="s">
        <v>68</v>
      </c>
      <c r="B85" s="20"/>
      <c r="C85" s="20">
        <v>274308</v>
      </c>
    </row>
    <row r="86" spans="1:3" s="17" customFormat="1" x14ac:dyDescent="0.25">
      <c r="A86" s="19" t="s">
        <v>1065</v>
      </c>
      <c r="B86" s="20"/>
      <c r="C86" s="20">
        <v>459993.59999999998</v>
      </c>
    </row>
    <row r="87" spans="1:3" s="17" customFormat="1" x14ac:dyDescent="0.25">
      <c r="A87" s="19" t="s">
        <v>69</v>
      </c>
      <c r="B87" s="20"/>
      <c r="C87" s="20">
        <v>172861.25</v>
      </c>
    </row>
    <row r="88" spans="1:3" s="17" customFormat="1" x14ac:dyDescent="0.25">
      <c r="A88" s="19" t="s">
        <v>1026</v>
      </c>
      <c r="B88" s="20">
        <v>21035</v>
      </c>
      <c r="C88" s="20"/>
    </row>
    <row r="89" spans="1:3" s="17" customFormat="1" x14ac:dyDescent="0.25">
      <c r="A89" s="19" t="s">
        <v>70</v>
      </c>
      <c r="B89" s="20"/>
      <c r="C89" s="20">
        <v>1726002</v>
      </c>
    </row>
    <row r="90" spans="1:3" s="17" customFormat="1" x14ac:dyDescent="0.25">
      <c r="A90" s="19" t="s">
        <v>71</v>
      </c>
      <c r="B90" s="20"/>
      <c r="C90" s="20">
        <v>13769962.9</v>
      </c>
    </row>
    <row r="91" spans="1:3" s="17" customFormat="1" x14ac:dyDescent="0.25">
      <c r="A91" s="19" t="s">
        <v>1061</v>
      </c>
      <c r="B91" s="20"/>
      <c r="C91" s="20">
        <v>130732</v>
      </c>
    </row>
    <row r="92" spans="1:3" s="17" customFormat="1" x14ac:dyDescent="0.25">
      <c r="A92" s="19" t="s">
        <v>72</v>
      </c>
      <c r="B92" s="20">
        <v>19032.8</v>
      </c>
      <c r="C92" s="20"/>
    </row>
    <row r="93" spans="1:3" s="17" customFormat="1" x14ac:dyDescent="0.25">
      <c r="A93" s="19" t="s">
        <v>73</v>
      </c>
      <c r="B93" s="20"/>
      <c r="C93" s="20">
        <v>1035872</v>
      </c>
    </row>
    <row r="94" spans="1:3" s="17" customFormat="1" x14ac:dyDescent="0.25">
      <c r="A94" s="19" t="s">
        <v>74</v>
      </c>
      <c r="B94" s="20">
        <v>327580.03999999998</v>
      </c>
      <c r="C94" s="20"/>
    </row>
    <row r="95" spans="1:3" s="17" customFormat="1" x14ac:dyDescent="0.25">
      <c r="A95" s="19" t="s">
        <v>75</v>
      </c>
      <c r="B95" s="20"/>
      <c r="C95" s="20">
        <v>10947</v>
      </c>
    </row>
    <row r="96" spans="1:3" s="17" customFormat="1" x14ac:dyDescent="0.25">
      <c r="A96" s="19" t="s">
        <v>76</v>
      </c>
      <c r="B96" s="20">
        <v>4692357</v>
      </c>
      <c r="C96" s="20"/>
    </row>
    <row r="97" spans="1:3" s="17" customFormat="1" x14ac:dyDescent="0.25">
      <c r="A97" s="19" t="s">
        <v>77</v>
      </c>
      <c r="B97" s="20">
        <v>653396</v>
      </c>
      <c r="C97" s="20"/>
    </row>
    <row r="98" spans="1:3" s="17" customFormat="1" x14ac:dyDescent="0.25">
      <c r="A98" s="19" t="s">
        <v>78</v>
      </c>
      <c r="B98" s="20"/>
      <c r="C98" s="20">
        <v>646998.80000000005</v>
      </c>
    </row>
    <row r="99" spans="1:3" s="17" customFormat="1" x14ac:dyDescent="0.25">
      <c r="A99" s="19" t="s">
        <v>79</v>
      </c>
      <c r="B99" s="20"/>
      <c r="C99" s="20">
        <v>6000</v>
      </c>
    </row>
    <row r="100" spans="1:3" s="17" customFormat="1" x14ac:dyDescent="0.25">
      <c r="A100" s="19" t="s">
        <v>80</v>
      </c>
      <c r="B100" s="20"/>
      <c r="C100" s="20">
        <v>249687</v>
      </c>
    </row>
    <row r="101" spans="1:3" s="17" customFormat="1" x14ac:dyDescent="0.25">
      <c r="A101" s="19" t="s">
        <v>1037</v>
      </c>
      <c r="B101" s="20"/>
      <c r="C101" s="20">
        <v>3800</v>
      </c>
    </row>
    <row r="102" spans="1:3" s="17" customFormat="1" x14ac:dyDescent="0.25">
      <c r="A102" s="19" t="s">
        <v>81</v>
      </c>
      <c r="B102" s="20">
        <v>22480</v>
      </c>
      <c r="C102" s="20"/>
    </row>
    <row r="103" spans="1:3" s="17" customFormat="1" x14ac:dyDescent="0.25">
      <c r="A103" s="19" t="s">
        <v>82</v>
      </c>
      <c r="B103" s="20"/>
      <c r="C103" s="20">
        <v>899181</v>
      </c>
    </row>
    <row r="104" spans="1:3" s="17" customFormat="1" x14ac:dyDescent="0.25">
      <c r="A104" s="19" t="s">
        <v>83</v>
      </c>
      <c r="B104" s="20"/>
      <c r="C104" s="20">
        <v>34630.199999999997</v>
      </c>
    </row>
    <row r="105" spans="1:3" s="17" customFormat="1" x14ac:dyDescent="0.25">
      <c r="A105" s="19" t="s">
        <v>84</v>
      </c>
      <c r="B105" s="20"/>
      <c r="C105" s="20">
        <v>785297</v>
      </c>
    </row>
    <row r="106" spans="1:3" s="17" customFormat="1" x14ac:dyDescent="0.25">
      <c r="A106" s="19" t="s">
        <v>1040</v>
      </c>
      <c r="B106" s="20"/>
      <c r="C106" s="20">
        <v>5900</v>
      </c>
    </row>
    <row r="107" spans="1:3" s="17" customFormat="1" x14ac:dyDescent="0.25">
      <c r="A107" s="19" t="s">
        <v>85</v>
      </c>
      <c r="B107" s="20"/>
      <c r="C107" s="20">
        <v>5705</v>
      </c>
    </row>
    <row r="108" spans="1:3" s="17" customFormat="1" x14ac:dyDescent="0.25">
      <c r="A108" s="19" t="s">
        <v>1045</v>
      </c>
      <c r="B108" s="20"/>
      <c r="C108" s="20">
        <v>10567</v>
      </c>
    </row>
    <row r="109" spans="1:3" s="17" customFormat="1" x14ac:dyDescent="0.25">
      <c r="A109" s="19" t="s">
        <v>86</v>
      </c>
      <c r="B109" s="20"/>
      <c r="C109" s="20">
        <v>1817209.47</v>
      </c>
    </row>
    <row r="110" spans="1:3" s="17" customFormat="1" x14ac:dyDescent="0.25">
      <c r="A110" s="19" t="s">
        <v>87</v>
      </c>
      <c r="B110" s="20">
        <v>5900</v>
      </c>
      <c r="C110" s="20"/>
    </row>
    <row r="111" spans="1:3" s="17" customFormat="1" x14ac:dyDescent="0.25">
      <c r="A111" s="19" t="s">
        <v>88</v>
      </c>
      <c r="B111" s="20"/>
      <c r="C111" s="20">
        <v>300000.7</v>
      </c>
    </row>
    <row r="112" spans="1:3" s="17" customFormat="1" x14ac:dyDescent="0.25">
      <c r="A112" s="19" t="s">
        <v>89</v>
      </c>
      <c r="B112" s="20">
        <v>2374700</v>
      </c>
      <c r="C112" s="20"/>
    </row>
    <row r="113" spans="1:3" s="17" customFormat="1" x14ac:dyDescent="0.25">
      <c r="A113" s="19" t="s">
        <v>1047</v>
      </c>
      <c r="B113" s="20"/>
      <c r="C113" s="20">
        <v>11700</v>
      </c>
    </row>
    <row r="114" spans="1:3" s="17" customFormat="1" x14ac:dyDescent="0.25">
      <c r="A114" s="19" t="s">
        <v>90</v>
      </c>
      <c r="B114" s="20"/>
      <c r="C114" s="20">
        <v>5782</v>
      </c>
    </row>
    <row r="115" spans="1:3" s="17" customFormat="1" x14ac:dyDescent="0.25">
      <c r="A115" s="19" t="s">
        <v>91</v>
      </c>
      <c r="B115" s="20"/>
      <c r="C115" s="20">
        <v>355939.66</v>
      </c>
    </row>
    <row r="116" spans="1:3" s="17" customFormat="1" x14ac:dyDescent="0.25">
      <c r="A116" s="19" t="s">
        <v>92</v>
      </c>
      <c r="B116" s="20"/>
      <c r="C116" s="20">
        <v>18000</v>
      </c>
    </row>
    <row r="117" spans="1:3" s="17" customFormat="1" x14ac:dyDescent="0.25">
      <c r="A117" s="19" t="s">
        <v>93</v>
      </c>
      <c r="B117" s="20"/>
      <c r="C117" s="20">
        <v>37000</v>
      </c>
    </row>
    <row r="118" spans="1:3" s="17" customFormat="1" x14ac:dyDescent="0.25">
      <c r="A118" s="19" t="s">
        <v>94</v>
      </c>
      <c r="B118" s="20">
        <v>5781.9</v>
      </c>
      <c r="C118" s="20"/>
    </row>
    <row r="119" spans="1:3" s="17" customFormat="1" x14ac:dyDescent="0.25">
      <c r="A119" s="19" t="s">
        <v>95</v>
      </c>
      <c r="B119" s="20"/>
      <c r="C119" s="20">
        <v>208400</v>
      </c>
    </row>
    <row r="120" spans="1:3" s="17" customFormat="1" x14ac:dyDescent="0.25">
      <c r="A120" s="19" t="s">
        <v>96</v>
      </c>
      <c r="B120" s="20"/>
      <c r="C120" s="20">
        <v>786935</v>
      </c>
    </row>
    <row r="121" spans="1:3" s="17" customFormat="1" x14ac:dyDescent="0.25">
      <c r="A121" s="19" t="s">
        <v>97</v>
      </c>
      <c r="B121" s="20"/>
      <c r="C121" s="20">
        <v>13946</v>
      </c>
    </row>
    <row r="122" spans="1:3" s="17" customFormat="1" x14ac:dyDescent="0.25">
      <c r="A122" s="19" t="s">
        <v>98</v>
      </c>
      <c r="B122" s="20"/>
      <c r="C122" s="20">
        <v>627771.51</v>
      </c>
    </row>
    <row r="123" spans="1:3" s="17" customFormat="1" x14ac:dyDescent="0.25">
      <c r="A123" s="19" t="s">
        <v>1058</v>
      </c>
      <c r="B123" s="20"/>
      <c r="C123" s="20">
        <v>90038</v>
      </c>
    </row>
    <row r="124" spans="1:3" s="17" customFormat="1" x14ac:dyDescent="0.25">
      <c r="A124" s="19" t="s">
        <v>99</v>
      </c>
      <c r="B124" s="20"/>
      <c r="C124" s="20">
        <v>737946.57</v>
      </c>
    </row>
    <row r="125" spans="1:3" s="17" customFormat="1" x14ac:dyDescent="0.25">
      <c r="A125" s="19" t="s">
        <v>1020</v>
      </c>
      <c r="B125" s="20">
        <v>495000</v>
      </c>
      <c r="C125" s="20"/>
    </row>
    <row r="126" spans="1:3" s="17" customFormat="1" x14ac:dyDescent="0.25">
      <c r="A126" s="19" t="s">
        <v>1038</v>
      </c>
      <c r="B126" s="20"/>
      <c r="C126" s="20">
        <v>4970</v>
      </c>
    </row>
    <row r="127" spans="1:3" s="17" customFormat="1" x14ac:dyDescent="0.25">
      <c r="A127" s="19" t="s">
        <v>100</v>
      </c>
      <c r="B127" s="20"/>
      <c r="C127" s="20">
        <v>48599.4</v>
      </c>
    </row>
    <row r="128" spans="1:3" s="17" customFormat="1" x14ac:dyDescent="0.25">
      <c r="A128" s="19" t="s">
        <v>101</v>
      </c>
      <c r="B128" s="20"/>
      <c r="C128" s="20">
        <v>767000</v>
      </c>
    </row>
    <row r="129" spans="1:3" s="17" customFormat="1" x14ac:dyDescent="0.25">
      <c r="A129" s="19" t="s">
        <v>102</v>
      </c>
      <c r="B129" s="20">
        <v>108242</v>
      </c>
      <c r="C129" s="20"/>
    </row>
    <row r="130" spans="1:3" s="17" customFormat="1" x14ac:dyDescent="0.25">
      <c r="A130" s="19" t="s">
        <v>1054</v>
      </c>
      <c r="B130" s="20"/>
      <c r="C130" s="20">
        <v>68942</v>
      </c>
    </row>
    <row r="131" spans="1:3" s="17" customFormat="1" x14ac:dyDescent="0.25">
      <c r="A131" s="19" t="s">
        <v>103</v>
      </c>
      <c r="B131" s="20"/>
      <c r="C131" s="20">
        <v>9396</v>
      </c>
    </row>
    <row r="132" spans="1:3" s="17" customFormat="1" x14ac:dyDescent="0.25">
      <c r="A132" s="19" t="s">
        <v>104</v>
      </c>
      <c r="B132" s="20"/>
      <c r="C132" s="20">
        <v>4647481.5199999996</v>
      </c>
    </row>
    <row r="133" spans="1:3" s="17" customFormat="1" x14ac:dyDescent="0.25">
      <c r="A133" s="19" t="s">
        <v>105</v>
      </c>
      <c r="B133" s="20"/>
      <c r="C133" s="20">
        <v>352640</v>
      </c>
    </row>
    <row r="134" spans="1:3" s="17" customFormat="1" x14ac:dyDescent="0.25">
      <c r="A134" s="19" t="s">
        <v>106</v>
      </c>
      <c r="B134" s="20"/>
      <c r="C134" s="20">
        <v>168150</v>
      </c>
    </row>
    <row r="135" spans="1:3" s="17" customFormat="1" x14ac:dyDescent="0.25">
      <c r="A135" s="19" t="s">
        <v>107</v>
      </c>
      <c r="B135" s="20"/>
      <c r="C135" s="20">
        <v>1730882.4</v>
      </c>
    </row>
    <row r="136" spans="1:3" s="17" customFormat="1" x14ac:dyDescent="0.25">
      <c r="A136" s="19" t="s">
        <v>1029</v>
      </c>
      <c r="B136" s="20">
        <v>6891.58</v>
      </c>
      <c r="C136" s="20"/>
    </row>
    <row r="137" spans="1:3" s="17" customFormat="1" x14ac:dyDescent="0.25">
      <c r="A137" s="19" t="s">
        <v>108</v>
      </c>
      <c r="B137" s="20"/>
      <c r="C137" s="20">
        <v>113680</v>
      </c>
    </row>
    <row r="138" spans="1:3" s="17" customFormat="1" x14ac:dyDescent="0.25">
      <c r="A138" s="19" t="s">
        <v>1039</v>
      </c>
      <c r="B138" s="20"/>
      <c r="C138" s="20">
        <v>5757</v>
      </c>
    </row>
    <row r="139" spans="1:3" s="17" customFormat="1" x14ac:dyDescent="0.25">
      <c r="A139" s="19" t="s">
        <v>109</v>
      </c>
      <c r="B139" s="20"/>
      <c r="C139" s="20">
        <v>623635.12</v>
      </c>
    </row>
    <row r="140" spans="1:3" s="17" customFormat="1" x14ac:dyDescent="0.25">
      <c r="A140" s="19" t="s">
        <v>110</v>
      </c>
      <c r="B140" s="20"/>
      <c r="C140" s="20">
        <v>669710</v>
      </c>
    </row>
    <row r="141" spans="1:3" s="17" customFormat="1" x14ac:dyDescent="0.25">
      <c r="A141" s="19" t="s">
        <v>1021</v>
      </c>
      <c r="B141" s="20">
        <v>362810</v>
      </c>
      <c r="C141" s="20"/>
    </row>
    <row r="142" spans="1:3" s="17" customFormat="1" x14ac:dyDescent="0.25">
      <c r="A142" s="19" t="s">
        <v>111</v>
      </c>
      <c r="B142" s="20"/>
      <c r="C142" s="20">
        <v>426399.18</v>
      </c>
    </row>
    <row r="143" spans="1:3" s="17" customFormat="1" x14ac:dyDescent="0.25">
      <c r="A143" s="19" t="s">
        <v>112</v>
      </c>
      <c r="B143" s="20"/>
      <c r="C143" s="20">
        <v>536224.82999999996</v>
      </c>
    </row>
    <row r="144" spans="1:3" s="17" customFormat="1" x14ac:dyDescent="0.25">
      <c r="A144" s="19" t="s">
        <v>113</v>
      </c>
      <c r="B144" s="20">
        <v>955800</v>
      </c>
      <c r="C144" s="20"/>
    </row>
    <row r="145" spans="1:3" s="17" customFormat="1" x14ac:dyDescent="0.25">
      <c r="A145" s="19" t="s">
        <v>114</v>
      </c>
      <c r="B145" s="20"/>
      <c r="C145" s="20">
        <v>170704.8</v>
      </c>
    </row>
    <row r="146" spans="1:3" s="17" customFormat="1" x14ac:dyDescent="0.25">
      <c r="A146" s="19" t="s">
        <v>115</v>
      </c>
      <c r="B146" s="20">
        <v>600000</v>
      </c>
      <c r="C146" s="20"/>
    </row>
    <row r="147" spans="1:3" s="17" customFormat="1" x14ac:dyDescent="0.25">
      <c r="A147" s="19" t="s">
        <v>116</v>
      </c>
      <c r="B147" s="20"/>
      <c r="C147" s="20">
        <v>2489926.96</v>
      </c>
    </row>
    <row r="148" spans="1:3" s="17" customFormat="1" x14ac:dyDescent="0.25">
      <c r="A148" s="19" t="s">
        <v>117</v>
      </c>
      <c r="B148" s="20"/>
      <c r="C148" s="20">
        <v>163689.76</v>
      </c>
    </row>
    <row r="149" spans="1:3" s="17" customFormat="1" x14ac:dyDescent="0.25">
      <c r="A149" s="19" t="s">
        <v>1049</v>
      </c>
      <c r="B149" s="20"/>
      <c r="C149" s="20">
        <v>22148</v>
      </c>
    </row>
    <row r="150" spans="1:3" s="17" customFormat="1" x14ac:dyDescent="0.25">
      <c r="A150" s="19" t="s">
        <v>118</v>
      </c>
      <c r="B150" s="20"/>
      <c r="C150" s="20">
        <v>21729</v>
      </c>
    </row>
    <row r="151" spans="1:3" s="17" customFormat="1" x14ac:dyDescent="0.25">
      <c r="A151" s="19" t="s">
        <v>1030</v>
      </c>
      <c r="B151" s="20">
        <v>6048</v>
      </c>
      <c r="C151" s="20"/>
    </row>
    <row r="152" spans="1:3" s="17" customFormat="1" x14ac:dyDescent="0.25">
      <c r="A152" s="19" t="s">
        <v>119</v>
      </c>
      <c r="B152" s="20"/>
      <c r="C152" s="20">
        <v>27225</v>
      </c>
    </row>
    <row r="153" spans="1:3" s="17" customFormat="1" x14ac:dyDescent="0.25">
      <c r="A153" s="19" t="s">
        <v>120</v>
      </c>
      <c r="B153" s="20"/>
      <c r="C153" s="20">
        <v>866710</v>
      </c>
    </row>
    <row r="154" spans="1:3" s="17" customFormat="1" x14ac:dyDescent="0.25">
      <c r="A154" s="19" t="s">
        <v>121</v>
      </c>
      <c r="B154" s="20"/>
      <c r="C154" s="20">
        <v>731051</v>
      </c>
    </row>
    <row r="155" spans="1:3" s="17" customFormat="1" x14ac:dyDescent="0.25">
      <c r="A155" s="19" t="s">
        <v>122</v>
      </c>
      <c r="B155" s="20"/>
      <c r="C155" s="20">
        <v>12579100.58</v>
      </c>
    </row>
    <row r="156" spans="1:3" s="17" customFormat="1" x14ac:dyDescent="0.25">
      <c r="A156" s="19" t="s">
        <v>123</v>
      </c>
      <c r="B156" s="20"/>
      <c r="C156" s="20">
        <v>708759.9</v>
      </c>
    </row>
    <row r="157" spans="1:3" s="17" customFormat="1" x14ac:dyDescent="0.25">
      <c r="A157" s="19" t="s">
        <v>124</v>
      </c>
      <c r="B157" s="20"/>
      <c r="C157" s="20">
        <v>90298</v>
      </c>
    </row>
    <row r="158" spans="1:3" s="17" customFormat="1" x14ac:dyDescent="0.25">
      <c r="A158" s="19" t="s">
        <v>125</v>
      </c>
      <c r="B158" s="20"/>
      <c r="C158" s="20">
        <v>20535</v>
      </c>
    </row>
    <row r="159" spans="1:3" s="17" customFormat="1" x14ac:dyDescent="0.25">
      <c r="A159" s="19" t="s">
        <v>126</v>
      </c>
      <c r="B159" s="20"/>
      <c r="C159" s="20">
        <v>416074.92</v>
      </c>
    </row>
    <row r="160" spans="1:3" s="17" customFormat="1" x14ac:dyDescent="0.25">
      <c r="A160" s="19" t="s">
        <v>127</v>
      </c>
      <c r="B160" s="20"/>
      <c r="C160" s="20">
        <v>9114</v>
      </c>
    </row>
    <row r="161" spans="1:3" s="17" customFormat="1" x14ac:dyDescent="0.25">
      <c r="A161" s="19" t="s">
        <v>1022</v>
      </c>
      <c r="B161" s="20">
        <v>66000</v>
      </c>
      <c r="C161" s="20"/>
    </row>
    <row r="162" spans="1:3" s="17" customFormat="1" x14ac:dyDescent="0.25">
      <c r="A162" s="19" t="s">
        <v>128</v>
      </c>
      <c r="B162" s="20"/>
      <c r="C162" s="20">
        <v>428544.42</v>
      </c>
    </row>
    <row r="163" spans="1:3" s="17" customFormat="1" x14ac:dyDescent="0.25">
      <c r="A163" s="19" t="s">
        <v>129</v>
      </c>
      <c r="B163" s="20"/>
      <c r="C163" s="20">
        <v>2478146</v>
      </c>
    </row>
    <row r="164" spans="1:3" s="17" customFormat="1" x14ac:dyDescent="0.25">
      <c r="A164" s="19" t="s">
        <v>130</v>
      </c>
      <c r="B164" s="20"/>
      <c r="C164" s="20">
        <v>24592</v>
      </c>
    </row>
    <row r="165" spans="1:3" s="17" customFormat="1" x14ac:dyDescent="0.25">
      <c r="A165" s="19" t="s">
        <v>1041</v>
      </c>
      <c r="B165" s="20"/>
      <c r="C165" s="20">
        <v>8232</v>
      </c>
    </row>
    <row r="166" spans="1:3" s="17" customFormat="1" x14ac:dyDescent="0.25">
      <c r="A166" s="19" t="s">
        <v>1052</v>
      </c>
      <c r="B166" s="20"/>
      <c r="C166" s="20">
        <v>33829</v>
      </c>
    </row>
    <row r="167" spans="1:3" s="17" customFormat="1" x14ac:dyDescent="0.25">
      <c r="A167" s="19" t="s">
        <v>131</v>
      </c>
      <c r="B167" s="20"/>
      <c r="C167" s="20">
        <v>913160</v>
      </c>
    </row>
    <row r="168" spans="1:3" s="17" customFormat="1" x14ac:dyDescent="0.25">
      <c r="A168" s="19" t="s">
        <v>132</v>
      </c>
      <c r="B168" s="20"/>
      <c r="C168" s="20">
        <v>1484381</v>
      </c>
    </row>
    <row r="169" spans="1:3" s="17" customFormat="1" x14ac:dyDescent="0.25">
      <c r="A169" s="19" t="s">
        <v>133</v>
      </c>
      <c r="B169" s="20"/>
      <c r="C169" s="20">
        <v>502551.78</v>
      </c>
    </row>
    <row r="170" spans="1:3" s="17" customFormat="1" x14ac:dyDescent="0.25">
      <c r="A170" s="19" t="s">
        <v>134</v>
      </c>
      <c r="B170" s="20"/>
      <c r="C170" s="20">
        <v>18000</v>
      </c>
    </row>
    <row r="171" spans="1:3" s="17" customFormat="1" x14ac:dyDescent="0.25">
      <c r="A171" s="19" t="s">
        <v>135</v>
      </c>
      <c r="B171" s="20"/>
      <c r="C171" s="20">
        <v>81053.84</v>
      </c>
    </row>
    <row r="172" spans="1:3" s="17" customFormat="1" x14ac:dyDescent="0.25">
      <c r="A172" s="19" t="s">
        <v>136</v>
      </c>
      <c r="B172" s="20">
        <v>25000</v>
      </c>
      <c r="C172" s="20"/>
    </row>
    <row r="173" spans="1:3" s="17" customFormat="1" x14ac:dyDescent="0.25">
      <c r="A173" s="19" t="s">
        <v>137</v>
      </c>
      <c r="B173" s="20"/>
      <c r="C173" s="20">
        <v>263520</v>
      </c>
    </row>
    <row r="174" spans="1:3" s="17" customFormat="1" x14ac:dyDescent="0.25">
      <c r="A174" s="19" t="s">
        <v>138</v>
      </c>
      <c r="B174" s="20"/>
      <c r="C174" s="20">
        <v>4851</v>
      </c>
    </row>
    <row r="175" spans="1:3" s="17" customFormat="1" x14ac:dyDescent="0.25">
      <c r="A175" s="19" t="s">
        <v>139</v>
      </c>
      <c r="B175" s="20"/>
      <c r="C175" s="20">
        <v>1000</v>
      </c>
    </row>
    <row r="176" spans="1:3" s="17" customFormat="1" x14ac:dyDescent="0.25">
      <c r="A176" s="19" t="s">
        <v>1046</v>
      </c>
      <c r="B176" s="20"/>
      <c r="C176" s="20">
        <v>11400</v>
      </c>
    </row>
    <row r="177" spans="1:3" s="17" customFormat="1" x14ac:dyDescent="0.25">
      <c r="A177" s="19" t="s">
        <v>141</v>
      </c>
      <c r="B177" s="20"/>
      <c r="C177" s="20">
        <v>215334</v>
      </c>
    </row>
    <row r="178" spans="1:3" s="17" customFormat="1" x14ac:dyDescent="0.25">
      <c r="A178" s="19" t="s">
        <v>142</v>
      </c>
      <c r="B178" s="20"/>
      <c r="C178" s="20">
        <v>590000</v>
      </c>
    </row>
    <row r="179" spans="1:3" s="17" customFormat="1" x14ac:dyDescent="0.25">
      <c r="A179" s="19" t="s">
        <v>143</v>
      </c>
      <c r="B179" s="20"/>
      <c r="C179" s="20">
        <v>1612470</v>
      </c>
    </row>
    <row r="180" spans="1:3" s="17" customFormat="1" x14ac:dyDescent="0.25">
      <c r="A180" s="19" t="s">
        <v>144</v>
      </c>
      <c r="B180" s="20"/>
      <c r="C180" s="20">
        <v>1675373.05</v>
      </c>
    </row>
    <row r="181" spans="1:3" s="17" customFormat="1" x14ac:dyDescent="0.25">
      <c r="A181" s="19" t="s">
        <v>145</v>
      </c>
      <c r="B181" s="20"/>
      <c r="C181" s="20">
        <v>332760</v>
      </c>
    </row>
    <row r="182" spans="1:3" s="17" customFormat="1" x14ac:dyDescent="0.25">
      <c r="A182" s="19" t="s">
        <v>146</v>
      </c>
      <c r="B182" s="20"/>
      <c r="C182" s="20">
        <v>18600764.510000002</v>
      </c>
    </row>
    <row r="183" spans="1:3" s="17" customFormat="1" x14ac:dyDescent="0.25">
      <c r="A183" s="19" t="s">
        <v>147</v>
      </c>
      <c r="B183" s="20"/>
      <c r="C183" s="20">
        <v>35275915.729999997</v>
      </c>
    </row>
    <row r="184" spans="1:3" s="17" customFormat="1" x14ac:dyDescent="0.25">
      <c r="A184" s="19" t="s">
        <v>148</v>
      </c>
      <c r="B184" s="20"/>
      <c r="C184" s="20">
        <v>370425.59999999998</v>
      </c>
    </row>
    <row r="185" spans="1:3" s="17" customFormat="1" x14ac:dyDescent="0.25">
      <c r="A185" s="19" t="s">
        <v>149</v>
      </c>
      <c r="B185" s="20"/>
      <c r="C185" s="20">
        <v>488346</v>
      </c>
    </row>
    <row r="186" spans="1:3" s="17" customFormat="1" x14ac:dyDescent="0.25">
      <c r="A186" s="19" t="s">
        <v>150</v>
      </c>
      <c r="B186" s="20"/>
      <c r="C186" s="20">
        <v>30680</v>
      </c>
    </row>
    <row r="187" spans="1:3" s="17" customFormat="1" x14ac:dyDescent="0.25">
      <c r="A187" s="19" t="s">
        <v>151</v>
      </c>
      <c r="B187" s="20"/>
      <c r="C187" s="20">
        <v>5970378.4699999997</v>
      </c>
    </row>
    <row r="188" spans="1:3" s="17" customFormat="1" x14ac:dyDescent="0.25">
      <c r="A188" s="19" t="s">
        <v>152</v>
      </c>
      <c r="B188" s="20"/>
      <c r="C188" s="20">
        <v>536674</v>
      </c>
    </row>
    <row r="189" spans="1:3" s="17" customFormat="1" x14ac:dyDescent="0.25">
      <c r="A189" s="19" t="s">
        <v>1031</v>
      </c>
      <c r="B189" s="20">
        <v>1852.02</v>
      </c>
      <c r="C189" s="20"/>
    </row>
    <row r="190" spans="1:3" s="17" customFormat="1" x14ac:dyDescent="0.25">
      <c r="A190" s="19" t="s">
        <v>153</v>
      </c>
      <c r="B190" s="20"/>
      <c r="C190" s="20">
        <v>425594.04</v>
      </c>
    </row>
    <row r="191" spans="1:3" s="17" customFormat="1" x14ac:dyDescent="0.25">
      <c r="A191" s="19" t="s">
        <v>154</v>
      </c>
      <c r="B191" s="20"/>
      <c r="C191" s="20">
        <v>24759</v>
      </c>
    </row>
    <row r="192" spans="1:3" s="17" customFormat="1" x14ac:dyDescent="0.25">
      <c r="A192" s="19" t="s">
        <v>155</v>
      </c>
      <c r="B192" s="20"/>
      <c r="C192" s="20">
        <v>227360</v>
      </c>
    </row>
    <row r="193" spans="1:3" s="17" customFormat="1" x14ac:dyDescent="0.25">
      <c r="A193" s="19" t="s">
        <v>1066</v>
      </c>
      <c r="B193" s="20"/>
      <c r="C193" s="20">
        <v>1260000</v>
      </c>
    </row>
    <row r="194" spans="1:3" s="17" customFormat="1" x14ac:dyDescent="0.25">
      <c r="A194" s="19" t="s">
        <v>156</v>
      </c>
      <c r="B194" s="20"/>
      <c r="C194" s="20">
        <v>761276.68</v>
      </c>
    </row>
    <row r="195" spans="1:3" s="17" customFormat="1" x14ac:dyDescent="0.25">
      <c r="A195" s="19" t="s">
        <v>157</v>
      </c>
      <c r="B195" s="20"/>
      <c r="C195" s="20">
        <v>28906795.059999999</v>
      </c>
    </row>
    <row r="196" spans="1:3" s="17" customFormat="1" x14ac:dyDescent="0.25">
      <c r="A196" s="19" t="s">
        <v>158</v>
      </c>
      <c r="B196" s="20"/>
      <c r="C196" s="20">
        <v>22423</v>
      </c>
    </row>
    <row r="197" spans="1:3" s="17" customFormat="1" x14ac:dyDescent="0.25">
      <c r="A197" s="19" t="s">
        <v>159</v>
      </c>
      <c r="B197" s="20"/>
      <c r="C197" s="20">
        <v>979541.18</v>
      </c>
    </row>
    <row r="198" spans="1:3" s="17" customFormat="1" x14ac:dyDescent="0.25">
      <c r="A198" s="19" t="s">
        <v>160</v>
      </c>
      <c r="B198" s="20"/>
      <c r="C198" s="20">
        <v>471144.46</v>
      </c>
    </row>
    <row r="199" spans="1:3" s="17" customFormat="1" x14ac:dyDescent="0.25">
      <c r="A199" s="19" t="s">
        <v>161</v>
      </c>
      <c r="B199" s="20"/>
      <c r="C199" s="20">
        <v>1672626.29</v>
      </c>
    </row>
    <row r="200" spans="1:3" s="17" customFormat="1" x14ac:dyDescent="0.25">
      <c r="A200" s="19" t="s">
        <v>162</v>
      </c>
      <c r="B200" s="20">
        <v>195838.66</v>
      </c>
      <c r="C200" s="20"/>
    </row>
    <row r="201" spans="1:3" s="17" customFormat="1" x14ac:dyDescent="0.25">
      <c r="A201" s="19" t="s">
        <v>1064</v>
      </c>
      <c r="B201" s="20"/>
      <c r="C201" s="20">
        <v>330568.7</v>
      </c>
    </row>
    <row r="202" spans="1:3" s="17" customFormat="1" x14ac:dyDescent="0.25">
      <c r="A202" s="19" t="s">
        <v>163</v>
      </c>
      <c r="B202" s="20"/>
      <c r="C202" s="20">
        <v>33320</v>
      </c>
    </row>
    <row r="203" spans="1:3" s="17" customFormat="1" x14ac:dyDescent="0.25">
      <c r="A203" s="19" t="s">
        <v>164</v>
      </c>
      <c r="B203" s="20"/>
      <c r="C203" s="20">
        <v>8146299</v>
      </c>
    </row>
    <row r="204" spans="1:3" s="17" customFormat="1" x14ac:dyDescent="0.25">
      <c r="A204" s="19" t="s">
        <v>165</v>
      </c>
      <c r="B204" s="20"/>
      <c r="C204" s="20">
        <v>150800</v>
      </c>
    </row>
    <row r="205" spans="1:3" s="17" customFormat="1" x14ac:dyDescent="0.25">
      <c r="A205" s="19" t="s">
        <v>166</v>
      </c>
      <c r="B205" s="20">
        <v>30000</v>
      </c>
      <c r="C205" s="20"/>
    </row>
    <row r="206" spans="1:3" s="17" customFormat="1" x14ac:dyDescent="0.25">
      <c r="A206" s="19" t="s">
        <v>1032</v>
      </c>
      <c r="B206" s="20">
        <v>1200</v>
      </c>
      <c r="C206" s="20"/>
    </row>
    <row r="207" spans="1:3" s="17" customFormat="1" x14ac:dyDescent="0.25">
      <c r="A207" s="19" t="s">
        <v>167</v>
      </c>
      <c r="B207" s="20">
        <v>400000</v>
      </c>
      <c r="C207" s="20"/>
    </row>
    <row r="208" spans="1:3" s="17" customFormat="1" x14ac:dyDescent="0.25">
      <c r="A208" s="19" t="s">
        <v>168</v>
      </c>
      <c r="B208" s="20">
        <v>15000</v>
      </c>
      <c r="C208" s="20"/>
    </row>
    <row r="209" spans="1:3" s="17" customFormat="1" x14ac:dyDescent="0.25">
      <c r="A209" s="19" t="s">
        <v>169</v>
      </c>
      <c r="B209" s="20"/>
      <c r="C209" s="20">
        <v>23174.83</v>
      </c>
    </row>
    <row r="210" spans="1:3" s="17" customFormat="1" x14ac:dyDescent="0.25">
      <c r="A210" s="19" t="s">
        <v>170</v>
      </c>
      <c r="B210" s="20">
        <v>649762.84</v>
      </c>
      <c r="C210" s="20"/>
    </row>
    <row r="211" spans="1:3" s="17" customFormat="1" x14ac:dyDescent="0.25">
      <c r="A211" s="19" t="s">
        <v>171</v>
      </c>
      <c r="B211" s="20"/>
      <c r="C211" s="20">
        <v>2200531.83</v>
      </c>
    </row>
    <row r="212" spans="1:3" s="17" customFormat="1" x14ac:dyDescent="0.25">
      <c r="A212" s="19" t="s">
        <v>172</v>
      </c>
      <c r="B212" s="20"/>
      <c r="C212" s="20">
        <v>494112</v>
      </c>
    </row>
    <row r="213" spans="1:3" s="17" customFormat="1" x14ac:dyDescent="0.25">
      <c r="A213" s="19" t="s">
        <v>173</v>
      </c>
      <c r="B213" s="20"/>
      <c r="C213" s="20">
        <v>2882670</v>
      </c>
    </row>
    <row r="214" spans="1:3" s="17" customFormat="1" x14ac:dyDescent="0.25">
      <c r="A214" s="19" t="s">
        <v>174</v>
      </c>
      <c r="B214" s="20"/>
      <c r="C214" s="20">
        <v>747040</v>
      </c>
    </row>
    <row r="215" spans="1:3" s="17" customFormat="1" x14ac:dyDescent="0.25">
      <c r="A215" s="19" t="s">
        <v>1053</v>
      </c>
      <c r="B215" s="20"/>
      <c r="C215" s="20">
        <v>35340.76</v>
      </c>
    </row>
    <row r="216" spans="1:3" s="17" customFormat="1" x14ac:dyDescent="0.25">
      <c r="A216" s="19" t="s">
        <v>175</v>
      </c>
      <c r="B216" s="20"/>
      <c r="C216" s="20">
        <v>350065.3</v>
      </c>
    </row>
    <row r="217" spans="1:3" s="17" customFormat="1" x14ac:dyDescent="0.25">
      <c r="A217" s="19" t="s">
        <v>176</v>
      </c>
      <c r="B217" s="20"/>
      <c r="C217" s="20">
        <v>145928</v>
      </c>
    </row>
    <row r="218" spans="1:3" s="17" customFormat="1" x14ac:dyDescent="0.25">
      <c r="A218" s="19" t="s">
        <v>177</v>
      </c>
      <c r="B218" s="20"/>
      <c r="C218" s="20">
        <v>835462.18</v>
      </c>
    </row>
    <row r="219" spans="1:3" s="17" customFormat="1" x14ac:dyDescent="0.25">
      <c r="A219" s="19" t="s">
        <v>178</v>
      </c>
      <c r="B219" s="20"/>
      <c r="C219" s="20">
        <v>567697</v>
      </c>
    </row>
    <row r="220" spans="1:3" s="17" customFormat="1" x14ac:dyDescent="0.25">
      <c r="A220" s="19" t="s">
        <v>179</v>
      </c>
      <c r="B220" s="20"/>
      <c r="C220" s="20">
        <v>521234</v>
      </c>
    </row>
    <row r="221" spans="1:3" s="17" customFormat="1" x14ac:dyDescent="0.25">
      <c r="A221" s="19" t="s">
        <v>180</v>
      </c>
      <c r="B221" s="20"/>
      <c r="C221" s="20">
        <v>337357</v>
      </c>
    </row>
    <row r="222" spans="1:3" s="17" customFormat="1" x14ac:dyDescent="0.25">
      <c r="A222" s="19" t="s">
        <v>1044</v>
      </c>
      <c r="B222" s="20"/>
      <c r="C222" s="20">
        <v>10080</v>
      </c>
    </row>
    <row r="223" spans="1:3" s="17" customFormat="1" x14ac:dyDescent="0.25">
      <c r="A223" s="19" t="s">
        <v>181</v>
      </c>
      <c r="B223" s="20"/>
      <c r="C223" s="20">
        <v>12804.52</v>
      </c>
    </row>
    <row r="224" spans="1:3" s="17" customFormat="1" x14ac:dyDescent="0.25">
      <c r="A224" s="19" t="s">
        <v>182</v>
      </c>
      <c r="B224" s="20"/>
      <c r="C224" s="20">
        <v>425184.61</v>
      </c>
    </row>
    <row r="225" spans="1:3" s="17" customFormat="1" x14ac:dyDescent="0.25">
      <c r="A225" s="19" t="s">
        <v>1063</v>
      </c>
      <c r="B225" s="20"/>
      <c r="C225" s="20">
        <v>177912.68</v>
      </c>
    </row>
    <row r="226" spans="1:3" s="17" customFormat="1" x14ac:dyDescent="0.25">
      <c r="A226" s="19" t="s">
        <v>183</v>
      </c>
      <c r="B226" s="20"/>
      <c r="C226" s="20">
        <v>413451.98</v>
      </c>
    </row>
    <row r="227" spans="1:3" s="17" customFormat="1" x14ac:dyDescent="0.25">
      <c r="A227" s="19" t="s">
        <v>184</v>
      </c>
      <c r="B227" s="20"/>
      <c r="C227" s="20">
        <v>4130</v>
      </c>
    </row>
    <row r="228" spans="1:3" s="17" customFormat="1" x14ac:dyDescent="0.25">
      <c r="A228" s="19" t="s">
        <v>185</v>
      </c>
      <c r="B228" s="20"/>
      <c r="C228" s="20">
        <v>122052.63</v>
      </c>
    </row>
    <row r="229" spans="1:3" s="17" customFormat="1" x14ac:dyDescent="0.25">
      <c r="A229" s="19" t="s">
        <v>186</v>
      </c>
      <c r="B229" s="20"/>
      <c r="C229" s="20">
        <v>8743681.7799999993</v>
      </c>
    </row>
    <row r="230" spans="1:3" s="17" customFormat="1" x14ac:dyDescent="0.25">
      <c r="A230" s="19" t="s">
        <v>1033</v>
      </c>
      <c r="B230" s="20">
        <v>2.95</v>
      </c>
      <c r="C230" s="20"/>
    </row>
    <row r="231" spans="1:3" s="17" customFormat="1" x14ac:dyDescent="0.25">
      <c r="A231" s="19" t="s">
        <v>187</v>
      </c>
      <c r="B231" s="20">
        <v>15560</v>
      </c>
      <c r="C231" s="20"/>
    </row>
    <row r="232" spans="1:3" s="17" customFormat="1" x14ac:dyDescent="0.25">
      <c r="A232" s="19" t="s">
        <v>188</v>
      </c>
      <c r="B232" s="20"/>
      <c r="C232" s="20">
        <v>12371304.210000001</v>
      </c>
    </row>
    <row r="233" spans="1:3" s="17" customFormat="1" x14ac:dyDescent="0.25">
      <c r="A233" s="19" t="s">
        <v>189</v>
      </c>
      <c r="B233" s="20"/>
      <c r="C233" s="20">
        <v>1013907.51</v>
      </c>
    </row>
    <row r="234" spans="1:3" s="17" customFormat="1" x14ac:dyDescent="0.25">
      <c r="A234" s="19" t="s">
        <v>190</v>
      </c>
      <c r="B234" s="20"/>
      <c r="C234" s="20">
        <v>1114639.08</v>
      </c>
    </row>
    <row r="235" spans="1:3" s="17" customFormat="1" x14ac:dyDescent="0.25">
      <c r="A235" s="19" t="s">
        <v>191</v>
      </c>
      <c r="B235" s="20">
        <v>650000</v>
      </c>
      <c r="C235" s="20"/>
    </row>
    <row r="236" spans="1:3" s="17" customFormat="1" x14ac:dyDescent="0.25">
      <c r="A236" s="19" t="s">
        <v>1019</v>
      </c>
      <c r="B236" s="20">
        <v>587994</v>
      </c>
      <c r="C236" s="20"/>
    </row>
    <row r="237" spans="1:3" s="17" customFormat="1" x14ac:dyDescent="0.25">
      <c r="A237" s="19" t="s">
        <v>192</v>
      </c>
      <c r="B237" s="20"/>
      <c r="C237" s="20">
        <v>37000</v>
      </c>
    </row>
    <row r="238" spans="1:3" s="17" customFormat="1" x14ac:dyDescent="0.25">
      <c r="A238" s="19" t="s">
        <v>193</v>
      </c>
      <c r="B238" s="20"/>
      <c r="C238" s="20">
        <v>666028.64</v>
      </c>
    </row>
    <row r="239" spans="1:3" s="17" customFormat="1" x14ac:dyDescent="0.25">
      <c r="A239" s="19" t="s">
        <v>1034</v>
      </c>
      <c r="B239" s="20"/>
      <c r="C239" s="20">
        <v>2000</v>
      </c>
    </row>
    <row r="240" spans="1:3" s="17" customFormat="1" x14ac:dyDescent="0.25">
      <c r="A240" s="19" t="s">
        <v>194</v>
      </c>
      <c r="B240" s="20"/>
      <c r="C240" s="20">
        <v>678850</v>
      </c>
    </row>
    <row r="241" spans="1:3" s="17" customFormat="1" x14ac:dyDescent="0.25">
      <c r="A241" s="19" t="s">
        <v>195</v>
      </c>
      <c r="B241" s="20"/>
      <c r="C241" s="20">
        <v>202456</v>
      </c>
    </row>
    <row r="242" spans="1:3" s="17" customFormat="1" x14ac:dyDescent="0.25">
      <c r="A242" s="19" t="s">
        <v>196</v>
      </c>
      <c r="B242" s="20">
        <v>15000</v>
      </c>
      <c r="C242" s="20"/>
    </row>
    <row r="243" spans="1:3" s="17" customFormat="1" x14ac:dyDescent="0.25">
      <c r="A243" s="19" t="s">
        <v>1024</v>
      </c>
      <c r="B243" s="20">
        <v>26550</v>
      </c>
      <c r="C243" s="20"/>
    </row>
    <row r="244" spans="1:3" s="17" customFormat="1" x14ac:dyDescent="0.25">
      <c r="A244" s="19" t="s">
        <v>197</v>
      </c>
      <c r="B244" s="20"/>
      <c r="C244" s="20">
        <v>2982435.3</v>
      </c>
    </row>
    <row r="245" spans="1:3" s="17" customFormat="1" x14ac:dyDescent="0.25">
      <c r="A245" s="19" t="s">
        <v>198</v>
      </c>
      <c r="B245" s="20"/>
      <c r="C245" s="20">
        <v>184839.75</v>
      </c>
    </row>
    <row r="246" spans="1:3" s="17" customFormat="1" x14ac:dyDescent="0.25">
      <c r="A246" s="19" t="s">
        <v>199</v>
      </c>
      <c r="B246" s="20"/>
      <c r="C246" s="20">
        <v>718579.4</v>
      </c>
    </row>
    <row r="247" spans="1:3" s="17" customFormat="1" x14ac:dyDescent="0.25">
      <c r="A247" s="19" t="s">
        <v>200</v>
      </c>
      <c r="B247" s="20"/>
      <c r="C247" s="20">
        <v>212695</v>
      </c>
    </row>
    <row r="248" spans="1:3" s="17" customFormat="1" x14ac:dyDescent="0.25">
      <c r="A248" s="19" t="s">
        <v>202</v>
      </c>
      <c r="B248" s="20"/>
      <c r="C248" s="20">
        <v>5978886.5199999996</v>
      </c>
    </row>
    <row r="249" spans="1:3" s="17" customFormat="1" x14ac:dyDescent="0.25">
      <c r="A249" s="19" t="s">
        <v>203</v>
      </c>
      <c r="B249" s="20"/>
      <c r="C249" s="20">
        <v>1152750</v>
      </c>
    </row>
    <row r="250" spans="1:3" s="17" customFormat="1" x14ac:dyDescent="0.25">
      <c r="A250" s="19" t="s">
        <v>204</v>
      </c>
      <c r="B250" s="20"/>
      <c r="C250" s="20">
        <v>345510</v>
      </c>
    </row>
    <row r="251" spans="1:3" s="17" customFormat="1" x14ac:dyDescent="0.25">
      <c r="A251" s="19" t="s">
        <v>205</v>
      </c>
      <c r="B251" s="20"/>
      <c r="C251" s="20">
        <v>1021155.32</v>
      </c>
    </row>
    <row r="252" spans="1:3" s="17" customFormat="1" x14ac:dyDescent="0.25">
      <c r="A252" s="19" t="s">
        <v>206</v>
      </c>
      <c r="B252" s="20">
        <v>9481609.8000000007</v>
      </c>
      <c r="C252" s="20"/>
    </row>
    <row r="253" spans="1:3" s="17" customFormat="1" x14ac:dyDescent="0.25">
      <c r="A253" s="19" t="s">
        <v>207</v>
      </c>
      <c r="B253" s="20">
        <v>28064.39</v>
      </c>
      <c r="C253" s="20"/>
    </row>
    <row r="254" spans="1:3" s="17" customFormat="1" x14ac:dyDescent="0.25">
      <c r="A254" s="19" t="s">
        <v>208</v>
      </c>
      <c r="B254" s="20">
        <v>0.57999999999999996</v>
      </c>
      <c r="C254" s="20"/>
    </row>
    <row r="255" spans="1:3" s="17" customFormat="1" x14ac:dyDescent="0.25">
      <c r="A255" s="19" t="s">
        <v>209</v>
      </c>
      <c r="B255" s="20"/>
      <c r="C255" s="20">
        <v>2047137.84</v>
      </c>
    </row>
    <row r="256" spans="1:3" s="17" customFormat="1" x14ac:dyDescent="0.25">
      <c r="A256" s="19" t="s">
        <v>1067</v>
      </c>
      <c r="B256" s="20"/>
      <c r="C256" s="20">
        <v>1879470</v>
      </c>
    </row>
    <row r="257" spans="1:3" s="17" customFormat="1" x14ac:dyDescent="0.25">
      <c r="A257" s="19" t="s">
        <v>210</v>
      </c>
      <c r="B257" s="20"/>
      <c r="C257" s="20">
        <v>738390.85</v>
      </c>
    </row>
    <row r="258" spans="1:3" s="17" customFormat="1" x14ac:dyDescent="0.25">
      <c r="A258" s="19" t="s">
        <v>211</v>
      </c>
      <c r="B258" s="20"/>
      <c r="C258" s="20">
        <v>450130.89</v>
      </c>
    </row>
    <row r="259" spans="1:3" s="17" customFormat="1" x14ac:dyDescent="0.25">
      <c r="A259" s="19" t="s">
        <v>212</v>
      </c>
      <c r="B259" s="20"/>
      <c r="C259" s="20">
        <v>1293982.6299999999</v>
      </c>
    </row>
    <row r="260" spans="1:3" s="17" customFormat="1" x14ac:dyDescent="0.25">
      <c r="A260" s="19" t="s">
        <v>1059</v>
      </c>
      <c r="B260" s="20"/>
      <c r="C260" s="20">
        <v>95580</v>
      </c>
    </row>
    <row r="261" spans="1:3" s="17" customFormat="1" x14ac:dyDescent="0.25">
      <c r="A261" s="19" t="s">
        <v>213</v>
      </c>
      <c r="B261" s="20"/>
      <c r="C261" s="20">
        <v>3606</v>
      </c>
    </row>
    <row r="262" spans="1:3" s="17" customFormat="1" x14ac:dyDescent="0.25">
      <c r="A262" s="19" t="s">
        <v>214</v>
      </c>
      <c r="B262" s="20"/>
      <c r="C262" s="20">
        <v>1479715.28</v>
      </c>
    </row>
    <row r="263" spans="1:3" s="17" customFormat="1" x14ac:dyDescent="0.25">
      <c r="A263" s="19" t="s">
        <v>215</v>
      </c>
      <c r="B263" s="20"/>
      <c r="C263" s="20">
        <v>159686</v>
      </c>
    </row>
    <row r="264" spans="1:3" s="17" customFormat="1" x14ac:dyDescent="0.25">
      <c r="A264" s="19" t="s">
        <v>216</v>
      </c>
      <c r="B264" s="20"/>
      <c r="C264" s="20">
        <v>2788222.5</v>
      </c>
    </row>
    <row r="265" spans="1:3" s="17" customFormat="1" x14ac:dyDescent="0.25">
      <c r="A265" s="19" t="s">
        <v>217</v>
      </c>
      <c r="B265" s="20">
        <v>32782.699999999997</v>
      </c>
      <c r="C265" s="20"/>
    </row>
    <row r="266" spans="1:3" s="17" customFormat="1" x14ac:dyDescent="0.25">
      <c r="A266" s="19"/>
      <c r="B266" s="20"/>
      <c r="C266" s="20"/>
    </row>
    <row r="267" spans="1:3" s="17" customFormat="1" x14ac:dyDescent="0.25">
      <c r="A267" s="19"/>
      <c r="B267" s="20"/>
      <c r="C267" s="20"/>
    </row>
    <row r="268" spans="1:3" ht="15.75" thickBot="1" x14ac:dyDescent="0.3">
      <c r="A268" s="21" t="s">
        <v>218</v>
      </c>
      <c r="B268" s="22">
        <f>SUM(B11:B267)</f>
        <v>44503458.799999997</v>
      </c>
      <c r="C268" s="22">
        <f>SUM(C11:C267)</f>
        <v>313352278.3499999</v>
      </c>
    </row>
    <row r="269" spans="1:3" ht="15.75" thickTop="1" x14ac:dyDescent="0.25"/>
  </sheetData>
  <autoFilter ref="A10:C268"/>
  <mergeCells count="1"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50" customWidth="1"/>
    <col min="4" max="4" width="22" customWidth="1"/>
    <col min="5" max="6" width="14" customWidth="1"/>
    <col min="7" max="7" width="12" customWidth="1"/>
    <col min="8" max="8" width="16" customWidth="1"/>
    <col min="9" max="9" width="14" customWidth="1"/>
  </cols>
  <sheetData>
    <row r="1" spans="1:9" x14ac:dyDescent="0.25">
      <c r="A1" t="s">
        <v>219</v>
      </c>
      <c r="B1" t="s">
        <v>5</v>
      </c>
      <c r="D1" t="s">
        <v>1668</v>
      </c>
    </row>
    <row r="2" spans="1:9" x14ac:dyDescent="0.25">
      <c r="A2" t="s">
        <v>220</v>
      </c>
      <c r="B2" t="s">
        <v>221</v>
      </c>
    </row>
    <row r="4" spans="1:9" x14ac:dyDescent="0.25">
      <c r="A4" s="13" t="s">
        <v>222</v>
      </c>
      <c r="B4" s="13" t="s">
        <v>223</v>
      </c>
      <c r="C4" s="13" t="s">
        <v>224</v>
      </c>
      <c r="D4" s="13" t="s">
        <v>225</v>
      </c>
      <c r="E4" s="13" t="s">
        <v>226</v>
      </c>
      <c r="F4" s="13" t="s">
        <v>227</v>
      </c>
      <c r="G4" s="13" t="s">
        <v>228</v>
      </c>
      <c r="H4" s="13" t="s">
        <v>229</v>
      </c>
      <c r="I4" s="13" t="s">
        <v>230</v>
      </c>
    </row>
    <row r="5" spans="1:9" s="17" customFormat="1" x14ac:dyDescent="0.25">
      <c r="A5" s="14">
        <v>44357</v>
      </c>
      <c r="B5" s="15" t="s">
        <v>231</v>
      </c>
      <c r="C5" s="15" t="s">
        <v>121</v>
      </c>
      <c r="D5" s="15" t="s">
        <v>232</v>
      </c>
      <c r="E5" s="16">
        <v>85567</v>
      </c>
      <c r="F5" s="16">
        <v>85567</v>
      </c>
      <c r="G5" s="15">
        <v>1846</v>
      </c>
      <c r="H5" s="15" t="s">
        <v>233</v>
      </c>
      <c r="I5" s="23">
        <v>85567</v>
      </c>
    </row>
    <row r="6" spans="1:9" s="17" customFormat="1" x14ac:dyDescent="0.25">
      <c r="A6" s="14">
        <v>44361</v>
      </c>
      <c r="B6" s="15" t="s">
        <v>234</v>
      </c>
      <c r="C6" s="15" t="s">
        <v>121</v>
      </c>
      <c r="D6" s="15" t="s">
        <v>232</v>
      </c>
      <c r="E6" s="16">
        <v>62940</v>
      </c>
      <c r="F6" s="16">
        <v>62940</v>
      </c>
      <c r="G6" s="15">
        <v>1842</v>
      </c>
      <c r="H6" s="15" t="s">
        <v>233</v>
      </c>
      <c r="I6" s="23">
        <v>62940</v>
      </c>
    </row>
    <row r="7" spans="1:9" s="17" customFormat="1" x14ac:dyDescent="0.25">
      <c r="A7" s="14">
        <v>44383</v>
      </c>
      <c r="B7" s="15" t="s">
        <v>235</v>
      </c>
      <c r="C7" s="15" t="s">
        <v>121</v>
      </c>
      <c r="D7" s="15" t="s">
        <v>232</v>
      </c>
      <c r="E7" s="16">
        <v>78182</v>
      </c>
      <c r="F7" s="16">
        <v>78182</v>
      </c>
      <c r="G7" s="15">
        <v>1820</v>
      </c>
      <c r="H7" s="15" t="s">
        <v>233</v>
      </c>
      <c r="I7" s="23">
        <v>78182</v>
      </c>
    </row>
    <row r="8" spans="1:9" s="17" customFormat="1" x14ac:dyDescent="0.25">
      <c r="A8" s="14">
        <v>44400</v>
      </c>
      <c r="B8" s="15" t="s">
        <v>236</v>
      </c>
      <c r="C8" s="15" t="s">
        <v>121</v>
      </c>
      <c r="D8" s="15" t="s">
        <v>232</v>
      </c>
      <c r="E8" s="16">
        <v>73765</v>
      </c>
      <c r="F8" s="16">
        <v>73765</v>
      </c>
      <c r="G8" s="15">
        <v>1803</v>
      </c>
      <c r="H8" s="15" t="s">
        <v>233</v>
      </c>
      <c r="I8" s="23">
        <v>73765</v>
      </c>
    </row>
    <row r="9" spans="1:9" s="17" customFormat="1" x14ac:dyDescent="0.25">
      <c r="A9" s="14">
        <v>44456</v>
      </c>
      <c r="B9" s="15" t="s">
        <v>237</v>
      </c>
      <c r="C9" s="15" t="s">
        <v>121</v>
      </c>
      <c r="D9" s="15" t="s">
        <v>232</v>
      </c>
      <c r="E9" s="16">
        <v>74180</v>
      </c>
      <c r="F9" s="16">
        <v>74180</v>
      </c>
      <c r="G9" s="15">
        <v>1747</v>
      </c>
      <c r="H9" s="15" t="s">
        <v>233</v>
      </c>
      <c r="I9" s="23">
        <v>74180</v>
      </c>
    </row>
    <row r="10" spans="1:9" s="17" customFormat="1" x14ac:dyDescent="0.25">
      <c r="A10" s="14">
        <v>44473</v>
      </c>
      <c r="B10" s="15" t="s">
        <v>238</v>
      </c>
      <c r="C10" s="15" t="s">
        <v>121</v>
      </c>
      <c r="D10" s="15" t="s">
        <v>232</v>
      </c>
      <c r="E10" s="16">
        <v>92865</v>
      </c>
      <c r="F10" s="16">
        <v>92865</v>
      </c>
      <c r="G10" s="15">
        <v>1730</v>
      </c>
      <c r="H10" s="15" t="s">
        <v>233</v>
      </c>
      <c r="I10" s="23">
        <v>92865</v>
      </c>
    </row>
    <row r="11" spans="1:9" s="17" customFormat="1" x14ac:dyDescent="0.25">
      <c r="A11" s="14">
        <v>44488</v>
      </c>
      <c r="B11" s="15" t="s">
        <v>239</v>
      </c>
      <c r="C11" s="15" t="s">
        <v>121</v>
      </c>
      <c r="D11" s="15" t="s">
        <v>232</v>
      </c>
      <c r="E11" s="16">
        <v>71512</v>
      </c>
      <c r="F11" s="16">
        <v>71512</v>
      </c>
      <c r="G11" s="15">
        <v>1715</v>
      </c>
      <c r="H11" s="15" t="s">
        <v>233</v>
      </c>
      <c r="I11" s="23">
        <v>71512</v>
      </c>
    </row>
    <row r="12" spans="1:9" s="17" customFormat="1" x14ac:dyDescent="0.25">
      <c r="A12" s="14">
        <v>44493</v>
      </c>
      <c r="B12" s="15" t="s">
        <v>240</v>
      </c>
      <c r="C12" s="15" t="s">
        <v>121</v>
      </c>
      <c r="D12" s="15" t="s">
        <v>232</v>
      </c>
      <c r="E12" s="16">
        <v>15314</v>
      </c>
      <c r="F12" s="16">
        <v>15314</v>
      </c>
      <c r="G12" s="15">
        <v>1710</v>
      </c>
      <c r="H12" s="15" t="s">
        <v>233</v>
      </c>
      <c r="I12" s="23">
        <v>15314</v>
      </c>
    </row>
    <row r="13" spans="1:9" s="17" customFormat="1" x14ac:dyDescent="0.25">
      <c r="A13" s="14">
        <v>44500</v>
      </c>
      <c r="B13" s="15" t="s">
        <v>241</v>
      </c>
      <c r="C13" s="15" t="s">
        <v>121</v>
      </c>
      <c r="D13" s="15" t="s">
        <v>232</v>
      </c>
      <c r="E13" s="16">
        <v>81842</v>
      </c>
      <c r="F13" s="16">
        <v>81842</v>
      </c>
      <c r="G13" s="15">
        <v>1703</v>
      </c>
      <c r="H13" s="15" t="s">
        <v>233</v>
      </c>
      <c r="I13" s="23">
        <v>81842</v>
      </c>
    </row>
    <row r="14" spans="1:9" s="17" customFormat="1" x14ac:dyDescent="0.25">
      <c r="A14" s="14">
        <v>44535</v>
      </c>
      <c r="B14" s="15" t="s">
        <v>242</v>
      </c>
      <c r="C14" s="15" t="s">
        <v>121</v>
      </c>
      <c r="D14" s="15" t="s">
        <v>232</v>
      </c>
      <c r="E14" s="16">
        <v>19959</v>
      </c>
      <c r="F14" s="16">
        <v>19959</v>
      </c>
      <c r="G14" s="15">
        <v>1668</v>
      </c>
      <c r="H14" s="15" t="s">
        <v>233</v>
      </c>
      <c r="I14" s="23">
        <v>19959</v>
      </c>
    </row>
    <row r="15" spans="1:9" s="17" customFormat="1" x14ac:dyDescent="0.25">
      <c r="A15" s="14">
        <v>44545</v>
      </c>
      <c r="B15" s="15" t="s">
        <v>243</v>
      </c>
      <c r="C15" s="15" t="s">
        <v>123</v>
      </c>
      <c r="D15" s="15" t="s">
        <v>232</v>
      </c>
      <c r="E15" s="16">
        <v>72416</v>
      </c>
      <c r="F15" s="16">
        <v>72416</v>
      </c>
      <c r="G15" s="15">
        <v>1658</v>
      </c>
      <c r="H15" s="15" t="s">
        <v>233</v>
      </c>
      <c r="I15" s="23">
        <v>72416</v>
      </c>
    </row>
    <row r="16" spans="1:9" s="17" customFormat="1" x14ac:dyDescent="0.25">
      <c r="A16" s="14">
        <v>44546</v>
      </c>
      <c r="B16" s="15" t="s">
        <v>244</v>
      </c>
      <c r="C16" s="15" t="s">
        <v>123</v>
      </c>
      <c r="D16" s="15" t="s">
        <v>232</v>
      </c>
      <c r="E16" s="16">
        <v>56484</v>
      </c>
      <c r="F16" s="16">
        <v>56484</v>
      </c>
      <c r="G16" s="15">
        <v>1657</v>
      </c>
      <c r="H16" s="15" t="s">
        <v>233</v>
      </c>
      <c r="I16" s="23">
        <v>56484</v>
      </c>
    </row>
    <row r="17" spans="1:9" s="17" customFormat="1" x14ac:dyDescent="0.25">
      <c r="A17" s="14">
        <v>44549</v>
      </c>
      <c r="B17" s="15" t="s">
        <v>245</v>
      </c>
      <c r="C17" s="15" t="s">
        <v>123</v>
      </c>
      <c r="D17" s="15" t="s">
        <v>232</v>
      </c>
      <c r="E17" s="16">
        <v>62635</v>
      </c>
      <c r="F17" s="16">
        <v>62635</v>
      </c>
      <c r="G17" s="15">
        <v>1654</v>
      </c>
      <c r="H17" s="15" t="s">
        <v>233</v>
      </c>
      <c r="I17" s="23">
        <v>62635</v>
      </c>
    </row>
    <row r="18" spans="1:9" s="17" customFormat="1" x14ac:dyDescent="0.25">
      <c r="A18" s="14">
        <v>44550</v>
      </c>
      <c r="B18" s="15" t="s">
        <v>246</v>
      </c>
      <c r="C18" s="15" t="s">
        <v>123</v>
      </c>
      <c r="D18" s="15" t="s">
        <v>232</v>
      </c>
      <c r="E18" s="16">
        <v>66350</v>
      </c>
      <c r="F18" s="16">
        <v>66350</v>
      </c>
      <c r="G18" s="15">
        <v>1653</v>
      </c>
      <c r="H18" s="15" t="s">
        <v>233</v>
      </c>
      <c r="I18" s="23">
        <v>66350</v>
      </c>
    </row>
    <row r="19" spans="1:9" s="17" customFormat="1" x14ac:dyDescent="0.25">
      <c r="A19" s="14">
        <v>44557</v>
      </c>
      <c r="B19" s="15" t="s">
        <v>247</v>
      </c>
      <c r="C19" s="15" t="s">
        <v>123</v>
      </c>
      <c r="D19" s="15" t="s">
        <v>232</v>
      </c>
      <c r="E19" s="16">
        <v>82711</v>
      </c>
      <c r="F19" s="16">
        <v>82711</v>
      </c>
      <c r="G19" s="15">
        <v>1646</v>
      </c>
      <c r="H19" s="15" t="s">
        <v>233</v>
      </c>
      <c r="I19" s="23">
        <v>82711</v>
      </c>
    </row>
    <row r="20" spans="1:9" s="17" customFormat="1" x14ac:dyDescent="0.25">
      <c r="A20" s="14">
        <v>44558</v>
      </c>
      <c r="B20" s="15" t="s">
        <v>248</v>
      </c>
      <c r="C20" s="15" t="s">
        <v>123</v>
      </c>
      <c r="D20" s="15" t="s">
        <v>232</v>
      </c>
      <c r="E20" s="16">
        <v>76728</v>
      </c>
      <c r="F20" s="16">
        <v>76728</v>
      </c>
      <c r="G20" s="15">
        <v>1645</v>
      </c>
      <c r="H20" s="15" t="s">
        <v>233</v>
      </c>
      <c r="I20" s="23">
        <v>76728</v>
      </c>
    </row>
    <row r="21" spans="1:9" s="17" customFormat="1" x14ac:dyDescent="0.25">
      <c r="A21" s="14">
        <v>44561</v>
      </c>
      <c r="B21" s="15" t="s">
        <v>249</v>
      </c>
      <c r="C21" s="15" t="s">
        <v>121</v>
      </c>
      <c r="D21" s="15" t="s">
        <v>232</v>
      </c>
      <c r="E21" s="16">
        <v>74925</v>
      </c>
      <c r="F21" s="16">
        <v>74925</v>
      </c>
      <c r="G21" s="15">
        <v>1642</v>
      </c>
      <c r="H21" s="15" t="s">
        <v>233</v>
      </c>
      <c r="I21" s="23">
        <v>74925</v>
      </c>
    </row>
    <row r="22" spans="1:9" s="17" customFormat="1" x14ac:dyDescent="0.25">
      <c r="A22" s="14">
        <v>44592</v>
      </c>
      <c r="B22" s="15" t="s">
        <v>250</v>
      </c>
      <c r="C22" s="15" t="s">
        <v>123</v>
      </c>
      <c r="D22" s="15" t="s">
        <v>232</v>
      </c>
      <c r="E22" s="16">
        <v>67385</v>
      </c>
      <c r="F22" s="16">
        <v>67385</v>
      </c>
      <c r="G22" s="15">
        <v>1611</v>
      </c>
      <c r="H22" s="15" t="s">
        <v>233</v>
      </c>
      <c r="I22" s="23">
        <v>67385</v>
      </c>
    </row>
    <row r="23" spans="1:9" s="17" customFormat="1" x14ac:dyDescent="0.25">
      <c r="A23" s="14">
        <v>44592</v>
      </c>
      <c r="B23" s="15" t="s">
        <v>251</v>
      </c>
      <c r="C23" s="15" t="s">
        <v>123</v>
      </c>
      <c r="D23" s="15" t="s">
        <v>232</v>
      </c>
      <c r="E23" s="16">
        <v>54201</v>
      </c>
      <c r="F23" s="16">
        <v>54201</v>
      </c>
      <c r="G23" s="15">
        <v>1611</v>
      </c>
      <c r="H23" s="15" t="s">
        <v>233</v>
      </c>
      <c r="I23" s="23">
        <v>54201</v>
      </c>
    </row>
    <row r="24" spans="1:9" s="17" customFormat="1" x14ac:dyDescent="0.25">
      <c r="A24" s="14">
        <v>44620</v>
      </c>
      <c r="B24" s="15" t="s">
        <v>252</v>
      </c>
      <c r="C24" s="15" t="s">
        <v>122</v>
      </c>
      <c r="D24" s="15" t="s">
        <v>253</v>
      </c>
      <c r="E24" s="16">
        <v>75863</v>
      </c>
      <c r="F24" s="16">
        <v>75863</v>
      </c>
      <c r="G24" s="15">
        <v>1583</v>
      </c>
      <c r="H24" s="15" t="s">
        <v>233</v>
      </c>
      <c r="I24" s="23">
        <v>75863</v>
      </c>
    </row>
    <row r="25" spans="1:9" s="17" customFormat="1" x14ac:dyDescent="0.25">
      <c r="A25" s="14">
        <v>44651</v>
      </c>
      <c r="B25" s="15" t="s">
        <v>254</v>
      </c>
      <c r="C25" s="15" t="s">
        <v>122</v>
      </c>
      <c r="D25" s="15" t="s">
        <v>253</v>
      </c>
      <c r="E25" s="16">
        <v>149509</v>
      </c>
      <c r="F25" s="16">
        <v>149509</v>
      </c>
      <c r="G25" s="15">
        <v>1552</v>
      </c>
      <c r="H25" s="15" t="s">
        <v>233</v>
      </c>
      <c r="I25" s="23">
        <v>149509</v>
      </c>
    </row>
    <row r="26" spans="1:9" s="17" customFormat="1" x14ac:dyDescent="0.25">
      <c r="A26" s="14">
        <v>44651</v>
      </c>
      <c r="B26" s="15" t="s">
        <v>255</v>
      </c>
      <c r="C26" s="15" t="s">
        <v>122</v>
      </c>
      <c r="D26" s="15" t="s">
        <v>253</v>
      </c>
      <c r="E26" s="16">
        <v>63306</v>
      </c>
      <c r="F26" s="16">
        <v>63306</v>
      </c>
      <c r="G26" s="15">
        <v>1552</v>
      </c>
      <c r="H26" s="15" t="s">
        <v>233</v>
      </c>
      <c r="I26" s="23">
        <v>63306</v>
      </c>
    </row>
    <row r="27" spans="1:9" s="17" customFormat="1" x14ac:dyDescent="0.25">
      <c r="A27" s="14">
        <v>44651</v>
      </c>
      <c r="B27" s="15" t="s">
        <v>256</v>
      </c>
      <c r="C27" s="15" t="s">
        <v>122</v>
      </c>
      <c r="D27" s="15" t="s">
        <v>253</v>
      </c>
      <c r="E27" s="16">
        <v>63839</v>
      </c>
      <c r="F27" s="16">
        <v>63839</v>
      </c>
      <c r="G27" s="15">
        <v>1552</v>
      </c>
      <c r="H27" s="15" t="s">
        <v>233</v>
      </c>
      <c r="I27" s="23">
        <v>63839</v>
      </c>
    </row>
    <row r="28" spans="1:9" s="17" customFormat="1" x14ac:dyDescent="0.25">
      <c r="A28" s="14">
        <v>44651</v>
      </c>
      <c r="B28" s="15" t="s">
        <v>257</v>
      </c>
      <c r="C28" s="15" t="s">
        <v>122</v>
      </c>
      <c r="D28" s="15" t="s">
        <v>253</v>
      </c>
      <c r="E28" s="16">
        <v>40315</v>
      </c>
      <c r="F28" s="16">
        <v>40315</v>
      </c>
      <c r="G28" s="15">
        <v>1552</v>
      </c>
      <c r="H28" s="15" t="s">
        <v>233</v>
      </c>
      <c r="I28" s="23">
        <v>40315</v>
      </c>
    </row>
    <row r="29" spans="1:9" s="17" customFormat="1" x14ac:dyDescent="0.25">
      <c r="A29" s="14">
        <v>44651</v>
      </c>
      <c r="B29" s="15" t="s">
        <v>258</v>
      </c>
      <c r="C29" s="15" t="s">
        <v>122</v>
      </c>
      <c r="D29" s="15" t="s">
        <v>259</v>
      </c>
      <c r="E29" s="16">
        <v>215688</v>
      </c>
      <c r="F29" s="16">
        <v>215688</v>
      </c>
      <c r="G29" s="15">
        <v>1552</v>
      </c>
      <c r="H29" s="15" t="s">
        <v>233</v>
      </c>
      <c r="I29" s="23">
        <v>215688</v>
      </c>
    </row>
    <row r="30" spans="1:9" s="17" customFormat="1" x14ac:dyDescent="0.25">
      <c r="A30" s="14">
        <v>44651</v>
      </c>
      <c r="B30" s="15" t="s">
        <v>260</v>
      </c>
      <c r="C30" s="15" t="s">
        <v>123</v>
      </c>
      <c r="D30" s="15" t="s">
        <v>232</v>
      </c>
      <c r="E30" s="16">
        <v>53470</v>
      </c>
      <c r="F30" s="16">
        <v>53470</v>
      </c>
      <c r="G30" s="15">
        <v>1552</v>
      </c>
      <c r="H30" s="15" t="s">
        <v>233</v>
      </c>
      <c r="I30" s="23">
        <v>53470</v>
      </c>
    </row>
    <row r="31" spans="1:9" s="17" customFormat="1" x14ac:dyDescent="0.25">
      <c r="A31" s="14">
        <v>44651</v>
      </c>
      <c r="B31" s="15" t="s">
        <v>261</v>
      </c>
      <c r="C31" s="15" t="s">
        <v>123</v>
      </c>
      <c r="D31" s="15" t="s">
        <v>232</v>
      </c>
      <c r="E31" s="16">
        <v>61600.35</v>
      </c>
      <c r="F31" s="16">
        <v>61600.35</v>
      </c>
      <c r="G31" s="15">
        <v>1552</v>
      </c>
      <c r="H31" s="15" t="s">
        <v>233</v>
      </c>
      <c r="I31" s="23">
        <v>61600.35</v>
      </c>
    </row>
    <row r="32" spans="1:9" s="17" customFormat="1" x14ac:dyDescent="0.25">
      <c r="A32" s="14">
        <v>44651</v>
      </c>
      <c r="B32" s="15" t="s">
        <v>262</v>
      </c>
      <c r="C32" s="15" t="s">
        <v>123</v>
      </c>
      <c r="D32" s="15" t="s">
        <v>232</v>
      </c>
      <c r="E32" s="16">
        <v>54779.55</v>
      </c>
      <c r="F32" s="16">
        <v>54779.55</v>
      </c>
      <c r="G32" s="15">
        <v>1552</v>
      </c>
      <c r="H32" s="15" t="s">
        <v>233</v>
      </c>
      <c r="I32" s="23">
        <v>54779.55</v>
      </c>
    </row>
    <row r="33" spans="1:9" s="17" customFormat="1" x14ac:dyDescent="0.25">
      <c r="A33" s="14">
        <v>44681</v>
      </c>
      <c r="B33" s="15" t="s">
        <v>263</v>
      </c>
      <c r="C33" s="15" t="s">
        <v>122</v>
      </c>
      <c r="D33" s="15" t="s">
        <v>253</v>
      </c>
      <c r="E33" s="16">
        <v>63037</v>
      </c>
      <c r="F33" s="16">
        <v>63037</v>
      </c>
      <c r="G33" s="15">
        <v>1522</v>
      </c>
      <c r="H33" s="15" t="s">
        <v>233</v>
      </c>
      <c r="I33" s="23">
        <v>63037</v>
      </c>
    </row>
    <row r="34" spans="1:9" s="17" customFormat="1" x14ac:dyDescent="0.25">
      <c r="A34" s="14">
        <v>44681</v>
      </c>
      <c r="B34" s="15" t="s">
        <v>264</v>
      </c>
      <c r="C34" s="15" t="s">
        <v>122</v>
      </c>
      <c r="D34" s="15" t="s">
        <v>253</v>
      </c>
      <c r="E34" s="16">
        <v>13315</v>
      </c>
      <c r="F34" s="16">
        <v>13315</v>
      </c>
      <c r="G34" s="15">
        <v>1522</v>
      </c>
      <c r="H34" s="15" t="s">
        <v>233</v>
      </c>
      <c r="I34" s="23">
        <v>13315</v>
      </c>
    </row>
    <row r="35" spans="1:9" s="17" customFormat="1" x14ac:dyDescent="0.25">
      <c r="A35" s="14">
        <v>44681</v>
      </c>
      <c r="B35" s="15" t="s">
        <v>265</v>
      </c>
      <c r="C35" s="15" t="s">
        <v>122</v>
      </c>
      <c r="D35" s="15" t="s">
        <v>253</v>
      </c>
      <c r="E35" s="16">
        <v>56770</v>
      </c>
      <c r="F35" s="16">
        <v>56770</v>
      </c>
      <c r="G35" s="15">
        <v>1522</v>
      </c>
      <c r="H35" s="15" t="s">
        <v>233</v>
      </c>
      <c r="I35" s="23">
        <v>56770</v>
      </c>
    </row>
    <row r="36" spans="1:9" s="17" customFormat="1" x14ac:dyDescent="0.25">
      <c r="A36" s="14">
        <v>44681</v>
      </c>
      <c r="B36" s="15" t="s">
        <v>266</v>
      </c>
      <c r="C36" s="15" t="s">
        <v>122</v>
      </c>
      <c r="D36" s="15" t="s">
        <v>253</v>
      </c>
      <c r="E36" s="16">
        <v>13453</v>
      </c>
      <c r="F36" s="16">
        <v>13453</v>
      </c>
      <c r="G36" s="15">
        <v>1522</v>
      </c>
      <c r="H36" s="15" t="s">
        <v>233</v>
      </c>
      <c r="I36" s="23">
        <v>13453</v>
      </c>
    </row>
    <row r="37" spans="1:9" s="17" customFormat="1" x14ac:dyDescent="0.25">
      <c r="A37" s="14">
        <v>44681</v>
      </c>
      <c r="B37" s="15" t="s">
        <v>267</v>
      </c>
      <c r="C37" s="15" t="s">
        <v>122</v>
      </c>
      <c r="D37" s="15" t="s">
        <v>253</v>
      </c>
      <c r="E37" s="16">
        <v>66432</v>
      </c>
      <c r="F37" s="16">
        <v>66432</v>
      </c>
      <c r="G37" s="15">
        <v>1522</v>
      </c>
      <c r="H37" s="15" t="s">
        <v>233</v>
      </c>
      <c r="I37" s="23">
        <v>66432</v>
      </c>
    </row>
    <row r="38" spans="1:9" s="17" customFormat="1" x14ac:dyDescent="0.25">
      <c r="A38" s="14">
        <v>44689</v>
      </c>
      <c r="B38" s="15" t="s">
        <v>268</v>
      </c>
      <c r="C38" s="15" t="s">
        <v>122</v>
      </c>
      <c r="D38" s="15" t="s">
        <v>259</v>
      </c>
      <c r="E38" s="16">
        <v>221011.12</v>
      </c>
      <c r="F38" s="16">
        <v>221011.12</v>
      </c>
      <c r="G38" s="15">
        <v>1514</v>
      </c>
      <c r="H38" s="15" t="s">
        <v>233</v>
      </c>
      <c r="I38" s="23">
        <v>221011.12</v>
      </c>
    </row>
    <row r="39" spans="1:9" s="17" customFormat="1" x14ac:dyDescent="0.25">
      <c r="A39" s="14">
        <v>44694</v>
      </c>
      <c r="B39" s="15" t="s">
        <v>269</v>
      </c>
      <c r="C39" s="15" t="s">
        <v>122</v>
      </c>
      <c r="D39" s="15" t="s">
        <v>259</v>
      </c>
      <c r="E39" s="16">
        <v>52105.52</v>
      </c>
      <c r="F39" s="16">
        <v>52105.52</v>
      </c>
      <c r="G39" s="15">
        <v>1509</v>
      </c>
      <c r="H39" s="15" t="s">
        <v>233</v>
      </c>
      <c r="I39" s="23">
        <v>52105.52</v>
      </c>
    </row>
    <row r="40" spans="1:9" s="17" customFormat="1" x14ac:dyDescent="0.25">
      <c r="A40" s="14">
        <v>44694</v>
      </c>
      <c r="B40" s="15" t="s">
        <v>270</v>
      </c>
      <c r="C40" s="15" t="s">
        <v>122</v>
      </c>
      <c r="D40" s="15" t="s">
        <v>259</v>
      </c>
      <c r="E40" s="16">
        <v>51381.54</v>
      </c>
      <c r="F40" s="16">
        <v>51381.54</v>
      </c>
      <c r="G40" s="15">
        <v>1509</v>
      </c>
      <c r="H40" s="15" t="s">
        <v>233</v>
      </c>
      <c r="I40" s="23">
        <v>51381.54</v>
      </c>
    </row>
    <row r="41" spans="1:9" s="17" customFormat="1" x14ac:dyDescent="0.25">
      <c r="A41" s="14">
        <v>44694</v>
      </c>
      <c r="B41" s="15" t="s">
        <v>271</v>
      </c>
      <c r="C41" s="15" t="s">
        <v>122</v>
      </c>
      <c r="D41" s="15" t="s">
        <v>259</v>
      </c>
      <c r="E41" s="16">
        <v>44989.88</v>
      </c>
      <c r="F41" s="16">
        <v>44989.88</v>
      </c>
      <c r="G41" s="15">
        <v>1509</v>
      </c>
      <c r="H41" s="15" t="s">
        <v>233</v>
      </c>
      <c r="I41" s="23">
        <v>44989.88</v>
      </c>
    </row>
    <row r="42" spans="1:9" s="17" customFormat="1" x14ac:dyDescent="0.25">
      <c r="A42" s="14">
        <v>44698</v>
      </c>
      <c r="B42" s="15" t="s">
        <v>272</v>
      </c>
      <c r="C42" s="15" t="s">
        <v>122</v>
      </c>
      <c r="D42" s="15" t="s">
        <v>253</v>
      </c>
      <c r="E42" s="16">
        <v>154193.34</v>
      </c>
      <c r="F42" s="16">
        <v>154193.34</v>
      </c>
      <c r="G42" s="15">
        <v>1505</v>
      </c>
      <c r="H42" s="15" t="s">
        <v>233</v>
      </c>
      <c r="I42" s="23">
        <v>154193.34</v>
      </c>
    </row>
    <row r="43" spans="1:9" s="17" customFormat="1" x14ac:dyDescent="0.25">
      <c r="A43" s="14">
        <v>44703</v>
      </c>
      <c r="B43" s="15" t="s">
        <v>273</v>
      </c>
      <c r="C43" s="15" t="s">
        <v>122</v>
      </c>
      <c r="D43" s="15" t="s">
        <v>259</v>
      </c>
      <c r="E43" s="16">
        <v>55022.1</v>
      </c>
      <c r="F43" s="16">
        <v>55022.1</v>
      </c>
      <c r="G43" s="15">
        <v>1500</v>
      </c>
      <c r="H43" s="15" t="s">
        <v>233</v>
      </c>
      <c r="I43" s="23">
        <v>55022.1</v>
      </c>
    </row>
    <row r="44" spans="1:9" s="17" customFormat="1" x14ac:dyDescent="0.25">
      <c r="A44" s="14">
        <v>44706</v>
      </c>
      <c r="B44" s="15" t="s">
        <v>274</v>
      </c>
      <c r="C44" s="15" t="s">
        <v>122</v>
      </c>
      <c r="D44" s="15" t="s">
        <v>253</v>
      </c>
      <c r="E44" s="16">
        <v>68985</v>
      </c>
      <c r="F44" s="16">
        <v>68985</v>
      </c>
      <c r="G44" s="15">
        <v>1497</v>
      </c>
      <c r="H44" s="15" t="s">
        <v>233</v>
      </c>
      <c r="I44" s="23">
        <v>68985</v>
      </c>
    </row>
    <row r="45" spans="1:9" s="17" customFormat="1" x14ac:dyDescent="0.25">
      <c r="A45" s="14">
        <v>44739</v>
      </c>
      <c r="B45" s="15" t="s">
        <v>275</v>
      </c>
      <c r="C45" s="15" t="s">
        <v>122</v>
      </c>
      <c r="D45" s="15" t="s">
        <v>259</v>
      </c>
      <c r="E45" s="16">
        <v>21465.68</v>
      </c>
      <c r="F45" s="16">
        <v>21465.68</v>
      </c>
      <c r="G45" s="15">
        <v>1464</v>
      </c>
      <c r="H45" s="15" t="s">
        <v>233</v>
      </c>
      <c r="I45" s="23">
        <v>21465.68</v>
      </c>
    </row>
    <row r="46" spans="1:9" s="17" customFormat="1" x14ac:dyDescent="0.25">
      <c r="A46" s="14">
        <v>44741</v>
      </c>
      <c r="B46" s="15" t="s">
        <v>276</v>
      </c>
      <c r="C46" s="15" t="s">
        <v>122</v>
      </c>
      <c r="D46" s="15" t="s">
        <v>259</v>
      </c>
      <c r="E46" s="16">
        <v>16849.14</v>
      </c>
      <c r="F46" s="16">
        <v>16849.14</v>
      </c>
      <c r="G46" s="15">
        <v>1462</v>
      </c>
      <c r="H46" s="15" t="s">
        <v>233</v>
      </c>
      <c r="I46" s="23">
        <v>16849.14</v>
      </c>
    </row>
    <row r="47" spans="1:9" s="17" customFormat="1" x14ac:dyDescent="0.25">
      <c r="A47" s="14">
        <v>44834</v>
      </c>
      <c r="B47" s="15" t="s">
        <v>277</v>
      </c>
      <c r="C47" s="15" t="s">
        <v>122</v>
      </c>
      <c r="D47" s="15" t="s">
        <v>259</v>
      </c>
      <c r="E47" s="16">
        <v>1417765.39</v>
      </c>
      <c r="F47" s="16">
        <v>1417765.39</v>
      </c>
      <c r="G47" s="15">
        <v>1369</v>
      </c>
      <c r="H47" s="15" t="s">
        <v>233</v>
      </c>
      <c r="I47" s="23">
        <v>1417765.39</v>
      </c>
    </row>
    <row r="48" spans="1:9" s="17" customFormat="1" x14ac:dyDescent="0.25">
      <c r="A48" s="14">
        <v>44865</v>
      </c>
      <c r="B48" s="15" t="s">
        <v>278</v>
      </c>
      <c r="C48" s="15" t="s">
        <v>122</v>
      </c>
      <c r="D48" s="15" t="s">
        <v>259</v>
      </c>
      <c r="E48" s="16">
        <v>980052</v>
      </c>
      <c r="F48" s="16">
        <v>980052</v>
      </c>
      <c r="G48" s="15">
        <v>1338</v>
      </c>
      <c r="H48" s="15" t="s">
        <v>233</v>
      </c>
      <c r="I48" s="23">
        <v>980052</v>
      </c>
    </row>
    <row r="49" spans="1:9" s="17" customFormat="1" x14ac:dyDescent="0.25">
      <c r="A49" s="14">
        <v>44922</v>
      </c>
      <c r="B49" s="15" t="s">
        <v>279</v>
      </c>
      <c r="C49" s="15" t="s">
        <v>76</v>
      </c>
      <c r="D49" s="15" t="s">
        <v>280</v>
      </c>
      <c r="E49" s="16">
        <v>494217</v>
      </c>
      <c r="F49" s="16">
        <v>494217</v>
      </c>
      <c r="G49" s="15">
        <v>1281</v>
      </c>
      <c r="H49" s="15" t="s">
        <v>233</v>
      </c>
      <c r="I49" s="23">
        <v>-494217</v>
      </c>
    </row>
    <row r="50" spans="1:9" s="17" customFormat="1" x14ac:dyDescent="0.25">
      <c r="A50" s="14">
        <v>44925</v>
      </c>
      <c r="B50" s="15" t="s">
        <v>281</v>
      </c>
      <c r="C50" s="15" t="s">
        <v>122</v>
      </c>
      <c r="D50" s="15" t="s">
        <v>259</v>
      </c>
      <c r="E50" s="16">
        <v>462914.76</v>
      </c>
      <c r="F50" s="16">
        <v>462914.76</v>
      </c>
      <c r="G50" s="15">
        <v>1278</v>
      </c>
      <c r="H50" s="15" t="s">
        <v>233</v>
      </c>
      <c r="I50" s="23">
        <v>462914.76</v>
      </c>
    </row>
    <row r="51" spans="1:9" s="17" customFormat="1" x14ac:dyDescent="0.25">
      <c r="A51" s="14">
        <v>44926</v>
      </c>
      <c r="B51" s="15" t="s">
        <v>282</v>
      </c>
      <c r="C51" s="15" t="s">
        <v>122</v>
      </c>
      <c r="D51" s="15" t="s">
        <v>259</v>
      </c>
      <c r="E51" s="16">
        <v>596067</v>
      </c>
      <c r="F51" s="16">
        <v>596067</v>
      </c>
      <c r="G51" s="15">
        <v>1277</v>
      </c>
      <c r="H51" s="15" t="s">
        <v>233</v>
      </c>
      <c r="I51" s="23">
        <v>596067</v>
      </c>
    </row>
    <row r="52" spans="1:9" s="17" customFormat="1" x14ac:dyDescent="0.25">
      <c r="A52" s="14">
        <v>44926</v>
      </c>
      <c r="B52" s="15" t="s">
        <v>283</v>
      </c>
      <c r="C52" s="15" t="s">
        <v>201</v>
      </c>
      <c r="D52" s="15" t="s">
        <v>284</v>
      </c>
      <c r="E52" s="16">
        <v>79500</v>
      </c>
      <c r="F52" s="16">
        <v>79500</v>
      </c>
      <c r="G52" s="15">
        <v>1277</v>
      </c>
      <c r="H52" s="15" t="s">
        <v>233</v>
      </c>
      <c r="I52" s="23">
        <v>79500</v>
      </c>
    </row>
    <row r="53" spans="1:9" s="17" customFormat="1" x14ac:dyDescent="0.25">
      <c r="A53" s="14">
        <v>44957</v>
      </c>
      <c r="B53" s="15" t="s">
        <v>285</v>
      </c>
      <c r="C53" s="15" t="s">
        <v>122</v>
      </c>
      <c r="D53" s="15" t="s">
        <v>259</v>
      </c>
      <c r="E53" s="16">
        <v>612588.31999999995</v>
      </c>
      <c r="F53" s="16">
        <v>612588.31999999995</v>
      </c>
      <c r="G53" s="15">
        <v>1246</v>
      </c>
      <c r="H53" s="15" t="s">
        <v>233</v>
      </c>
      <c r="I53" s="23">
        <v>612588.31999999995</v>
      </c>
    </row>
    <row r="54" spans="1:9" s="17" customFormat="1" x14ac:dyDescent="0.25">
      <c r="A54" s="14">
        <v>44981</v>
      </c>
      <c r="B54" s="15" t="s">
        <v>286</v>
      </c>
      <c r="C54" s="15" t="s">
        <v>76</v>
      </c>
      <c r="D54" s="15" t="s">
        <v>280</v>
      </c>
      <c r="E54" s="16">
        <v>1530000</v>
      </c>
      <c r="F54" s="16">
        <v>1530000</v>
      </c>
      <c r="G54" s="15">
        <v>1222</v>
      </c>
      <c r="H54" s="15" t="s">
        <v>233</v>
      </c>
      <c r="I54" s="23">
        <v>-1530000</v>
      </c>
    </row>
    <row r="55" spans="1:9" s="17" customFormat="1" x14ac:dyDescent="0.25">
      <c r="A55" s="14">
        <v>44985</v>
      </c>
      <c r="B55" s="15" t="s">
        <v>287</v>
      </c>
      <c r="C55" s="15" t="s">
        <v>122</v>
      </c>
      <c r="D55" s="15" t="s">
        <v>259</v>
      </c>
      <c r="E55" s="16">
        <v>733184</v>
      </c>
      <c r="F55" s="16">
        <v>733184</v>
      </c>
      <c r="G55" s="15">
        <v>1218</v>
      </c>
      <c r="H55" s="15" t="s">
        <v>233</v>
      </c>
      <c r="I55" s="23">
        <v>733184</v>
      </c>
    </row>
    <row r="56" spans="1:9" s="17" customFormat="1" x14ac:dyDescent="0.25">
      <c r="A56" s="14">
        <v>45016</v>
      </c>
      <c r="B56" s="15" t="s">
        <v>288</v>
      </c>
      <c r="C56" s="15" t="s">
        <v>122</v>
      </c>
      <c r="D56" s="15" t="s">
        <v>259</v>
      </c>
      <c r="E56" s="16">
        <v>1005523</v>
      </c>
      <c r="F56" s="16">
        <v>1005523</v>
      </c>
      <c r="G56" s="15">
        <v>1187</v>
      </c>
      <c r="H56" s="15" t="s">
        <v>233</v>
      </c>
      <c r="I56" s="23">
        <v>1005523</v>
      </c>
    </row>
    <row r="57" spans="1:9" s="17" customFormat="1" x14ac:dyDescent="0.25">
      <c r="A57" s="14">
        <v>45034</v>
      </c>
      <c r="B57" s="15" t="s">
        <v>289</v>
      </c>
      <c r="C57" s="15" t="s">
        <v>76</v>
      </c>
      <c r="D57" s="15" t="s">
        <v>280</v>
      </c>
      <c r="E57" s="16">
        <v>2468140</v>
      </c>
      <c r="F57" s="16">
        <v>2468140</v>
      </c>
      <c r="G57" s="15">
        <v>1169</v>
      </c>
      <c r="H57" s="15" t="s">
        <v>233</v>
      </c>
      <c r="I57" s="23">
        <v>-2468140</v>
      </c>
    </row>
    <row r="58" spans="1:9" s="17" customFormat="1" x14ac:dyDescent="0.25">
      <c r="A58" s="14">
        <v>45046</v>
      </c>
      <c r="B58" s="15" t="s">
        <v>290</v>
      </c>
      <c r="C58" s="15" t="s">
        <v>122</v>
      </c>
      <c r="D58" s="15" t="s">
        <v>259</v>
      </c>
      <c r="E58" s="16">
        <v>923351.47</v>
      </c>
      <c r="F58" s="16">
        <v>923351.47</v>
      </c>
      <c r="G58" s="15">
        <v>1157</v>
      </c>
      <c r="H58" s="15" t="s">
        <v>233</v>
      </c>
      <c r="I58" s="23">
        <v>923351.47</v>
      </c>
    </row>
    <row r="59" spans="1:9" s="17" customFormat="1" x14ac:dyDescent="0.25">
      <c r="A59" s="14">
        <v>45077</v>
      </c>
      <c r="B59" s="15" t="s">
        <v>291</v>
      </c>
      <c r="C59" s="15" t="s">
        <v>122</v>
      </c>
      <c r="D59" s="15" t="s">
        <v>259</v>
      </c>
      <c r="E59" s="16">
        <v>77672.600000000006</v>
      </c>
      <c r="F59" s="16">
        <v>77672.600000000006</v>
      </c>
      <c r="G59" s="15">
        <v>1126</v>
      </c>
      <c r="H59" s="15" t="s">
        <v>233</v>
      </c>
      <c r="I59" s="23">
        <v>77672.600000000006</v>
      </c>
    </row>
    <row r="60" spans="1:9" s="17" customFormat="1" x14ac:dyDescent="0.25">
      <c r="A60" s="14">
        <v>45104</v>
      </c>
      <c r="B60" s="15" t="s">
        <v>292</v>
      </c>
      <c r="C60" s="15" t="s">
        <v>67</v>
      </c>
      <c r="D60" s="15" t="s">
        <v>232</v>
      </c>
      <c r="E60" s="16">
        <v>1800000</v>
      </c>
      <c r="F60" s="16">
        <v>1800000</v>
      </c>
      <c r="G60" s="15">
        <v>1099</v>
      </c>
      <c r="H60" s="15" t="s">
        <v>233</v>
      </c>
      <c r="I60" s="23">
        <v>1800000</v>
      </c>
    </row>
    <row r="61" spans="1:9" s="17" customFormat="1" x14ac:dyDescent="0.25">
      <c r="A61" s="14">
        <v>45107</v>
      </c>
      <c r="B61" s="15" t="s">
        <v>293</v>
      </c>
      <c r="C61" s="15" t="s">
        <v>122</v>
      </c>
      <c r="D61" s="15" t="s">
        <v>259</v>
      </c>
      <c r="E61" s="16">
        <v>262783</v>
      </c>
      <c r="F61" s="16">
        <v>262783</v>
      </c>
      <c r="G61" s="15">
        <v>1096</v>
      </c>
      <c r="H61" s="15" t="s">
        <v>233</v>
      </c>
      <c r="I61" s="23">
        <v>262783</v>
      </c>
    </row>
    <row r="62" spans="1:9" s="17" customFormat="1" x14ac:dyDescent="0.25">
      <c r="A62" s="14">
        <v>45138</v>
      </c>
      <c r="B62" s="15" t="s">
        <v>294</v>
      </c>
      <c r="C62" s="15" t="s">
        <v>122</v>
      </c>
      <c r="D62" s="15" t="s">
        <v>259</v>
      </c>
      <c r="E62" s="16">
        <v>427811</v>
      </c>
      <c r="F62" s="16">
        <v>427811</v>
      </c>
      <c r="G62" s="15">
        <v>1065</v>
      </c>
      <c r="H62" s="15" t="s">
        <v>233</v>
      </c>
      <c r="I62" s="23">
        <v>427811</v>
      </c>
    </row>
    <row r="63" spans="1:9" s="17" customFormat="1" x14ac:dyDescent="0.25">
      <c r="A63" s="14">
        <v>45169</v>
      </c>
      <c r="B63" s="15" t="s">
        <v>295</v>
      </c>
      <c r="C63" s="15" t="s">
        <v>122</v>
      </c>
      <c r="D63" s="15" t="s">
        <v>259</v>
      </c>
      <c r="E63" s="16">
        <v>323254</v>
      </c>
      <c r="F63" s="16">
        <v>323254</v>
      </c>
      <c r="G63" s="15">
        <v>1034</v>
      </c>
      <c r="H63" s="15" t="s">
        <v>233</v>
      </c>
      <c r="I63" s="23">
        <v>323254</v>
      </c>
    </row>
    <row r="64" spans="1:9" s="17" customFormat="1" x14ac:dyDescent="0.25">
      <c r="A64" s="14">
        <v>45199</v>
      </c>
      <c r="B64" s="15" t="s">
        <v>296</v>
      </c>
      <c r="C64" s="15" t="s">
        <v>122</v>
      </c>
      <c r="D64" s="15" t="s">
        <v>259</v>
      </c>
      <c r="E64" s="16">
        <v>224431</v>
      </c>
      <c r="F64" s="16">
        <v>224431</v>
      </c>
      <c r="G64" s="15">
        <v>1004</v>
      </c>
      <c r="H64" s="15" t="s">
        <v>233</v>
      </c>
      <c r="I64" s="23">
        <v>224431</v>
      </c>
    </row>
    <row r="65" spans="1:9" s="17" customFormat="1" x14ac:dyDescent="0.25">
      <c r="A65" s="14">
        <v>45230</v>
      </c>
      <c r="B65" s="15" t="s">
        <v>297</v>
      </c>
      <c r="C65" s="15" t="s">
        <v>122</v>
      </c>
      <c r="D65" s="15" t="s">
        <v>259</v>
      </c>
      <c r="E65" s="16">
        <v>402829</v>
      </c>
      <c r="F65" s="16">
        <v>402829</v>
      </c>
      <c r="G65" s="15">
        <v>973</v>
      </c>
      <c r="H65" s="15" t="s">
        <v>233</v>
      </c>
      <c r="I65" s="23">
        <v>402829</v>
      </c>
    </row>
    <row r="66" spans="1:9" s="17" customFormat="1" x14ac:dyDescent="0.25">
      <c r="A66" s="14">
        <v>45260</v>
      </c>
      <c r="B66" s="15" t="s">
        <v>298</v>
      </c>
      <c r="C66" s="15" t="s">
        <v>122</v>
      </c>
      <c r="D66" s="15" t="s">
        <v>259</v>
      </c>
      <c r="E66" s="16">
        <v>25684</v>
      </c>
      <c r="F66" s="16">
        <v>25684</v>
      </c>
      <c r="G66" s="15">
        <v>943</v>
      </c>
      <c r="H66" s="15" t="s">
        <v>233</v>
      </c>
      <c r="I66" s="23">
        <v>25684</v>
      </c>
    </row>
    <row r="67" spans="1:9" s="17" customFormat="1" x14ac:dyDescent="0.25">
      <c r="A67" s="14">
        <v>45291</v>
      </c>
      <c r="B67" s="15" t="s">
        <v>299</v>
      </c>
      <c r="C67" s="15" t="s">
        <v>122</v>
      </c>
      <c r="D67" s="15" t="s">
        <v>259</v>
      </c>
      <c r="E67" s="16">
        <v>173274</v>
      </c>
      <c r="F67" s="16">
        <v>173274</v>
      </c>
      <c r="G67" s="15">
        <v>912</v>
      </c>
      <c r="H67" s="15" t="s">
        <v>233</v>
      </c>
      <c r="I67" s="23">
        <v>173274</v>
      </c>
    </row>
    <row r="68" spans="1:9" s="17" customFormat="1" x14ac:dyDescent="0.25">
      <c r="A68" s="14">
        <v>45316</v>
      </c>
      <c r="B68" s="15" t="s">
        <v>300</v>
      </c>
      <c r="C68" s="15" t="s">
        <v>76</v>
      </c>
      <c r="D68" s="15" t="s">
        <v>280</v>
      </c>
      <c r="E68" s="16">
        <v>200000</v>
      </c>
      <c r="F68" s="16">
        <v>200000</v>
      </c>
      <c r="G68" s="15">
        <v>887</v>
      </c>
      <c r="H68" s="15" t="s">
        <v>233</v>
      </c>
      <c r="I68" s="23">
        <v>-200000</v>
      </c>
    </row>
    <row r="69" spans="1:9" s="17" customFormat="1" x14ac:dyDescent="0.25">
      <c r="A69" s="14">
        <v>45322</v>
      </c>
      <c r="B69" s="15" t="s">
        <v>301</v>
      </c>
      <c r="C69" s="15" t="s">
        <v>122</v>
      </c>
      <c r="D69" s="15" t="s">
        <v>259</v>
      </c>
      <c r="E69" s="16">
        <v>293047.34000000003</v>
      </c>
      <c r="F69" s="16">
        <v>293047.34000000003</v>
      </c>
      <c r="G69" s="15">
        <v>881</v>
      </c>
      <c r="H69" s="15" t="s">
        <v>233</v>
      </c>
      <c r="I69" s="23">
        <v>293047.34000000003</v>
      </c>
    </row>
    <row r="70" spans="1:9" s="17" customFormat="1" x14ac:dyDescent="0.25">
      <c r="A70" s="14">
        <v>45351</v>
      </c>
      <c r="B70" s="15" t="s">
        <v>302</v>
      </c>
      <c r="C70" s="15" t="s">
        <v>122</v>
      </c>
      <c r="D70" s="15" t="s">
        <v>259</v>
      </c>
      <c r="E70" s="16">
        <v>119823</v>
      </c>
      <c r="F70" s="16">
        <v>119823</v>
      </c>
      <c r="G70" s="15">
        <v>852</v>
      </c>
      <c r="H70" s="15" t="s">
        <v>233</v>
      </c>
      <c r="I70" s="23">
        <v>119823</v>
      </c>
    </row>
    <row r="71" spans="1:9" s="17" customFormat="1" x14ac:dyDescent="0.25">
      <c r="A71" s="14">
        <v>45382</v>
      </c>
      <c r="B71" s="15" t="s">
        <v>303</v>
      </c>
      <c r="C71" s="15" t="s">
        <v>122</v>
      </c>
      <c r="D71" s="15" t="s">
        <v>259</v>
      </c>
      <c r="E71" s="16">
        <v>356279.65</v>
      </c>
      <c r="F71" s="16">
        <v>356279.65</v>
      </c>
      <c r="G71" s="15">
        <v>821</v>
      </c>
      <c r="H71" s="15" t="s">
        <v>233</v>
      </c>
      <c r="I71" s="23">
        <v>356279.65</v>
      </c>
    </row>
    <row r="72" spans="1:9" s="17" customFormat="1" x14ac:dyDescent="0.25">
      <c r="A72" s="14">
        <v>45412</v>
      </c>
      <c r="B72" s="15" t="s">
        <v>304</v>
      </c>
      <c r="C72" s="15" t="s">
        <v>122</v>
      </c>
      <c r="D72" s="15" t="s">
        <v>259</v>
      </c>
      <c r="E72" s="16">
        <v>172903.44</v>
      </c>
      <c r="F72" s="16">
        <v>172903.44</v>
      </c>
      <c r="G72" s="15">
        <v>791</v>
      </c>
      <c r="H72" s="15" t="s">
        <v>233</v>
      </c>
      <c r="I72" s="23">
        <v>172903.44</v>
      </c>
    </row>
    <row r="73" spans="1:9" s="17" customFormat="1" x14ac:dyDescent="0.25">
      <c r="A73" s="14">
        <v>45434</v>
      </c>
      <c r="B73" s="15" t="s">
        <v>305</v>
      </c>
      <c r="C73" s="15" t="s">
        <v>131</v>
      </c>
      <c r="D73" s="15" t="s">
        <v>306</v>
      </c>
      <c r="E73" s="16">
        <v>2369490</v>
      </c>
      <c r="F73" s="16">
        <v>913160</v>
      </c>
      <c r="G73" s="15">
        <v>769</v>
      </c>
      <c r="H73" s="15" t="s">
        <v>233</v>
      </c>
      <c r="I73" s="23">
        <v>913160</v>
      </c>
    </row>
    <row r="74" spans="1:9" s="17" customFormat="1" x14ac:dyDescent="0.25">
      <c r="A74" s="14">
        <v>45444</v>
      </c>
      <c r="B74" s="15" t="s">
        <v>307</v>
      </c>
      <c r="C74" s="15" t="s">
        <v>122</v>
      </c>
      <c r="D74" s="15" t="s">
        <v>259</v>
      </c>
      <c r="E74" s="16">
        <v>286461.15999999997</v>
      </c>
      <c r="F74" s="16">
        <v>286461.15999999997</v>
      </c>
      <c r="G74" s="15">
        <v>759</v>
      </c>
      <c r="H74" s="15" t="s">
        <v>233</v>
      </c>
      <c r="I74" s="23">
        <v>286461.15999999997</v>
      </c>
    </row>
    <row r="75" spans="1:9" s="17" customFormat="1" x14ac:dyDescent="0.25">
      <c r="A75" s="14">
        <v>45474</v>
      </c>
      <c r="B75" s="15" t="s">
        <v>308</v>
      </c>
      <c r="C75" s="15" t="s">
        <v>122</v>
      </c>
      <c r="D75" s="15" t="s">
        <v>259</v>
      </c>
      <c r="E75" s="16">
        <v>448716.52</v>
      </c>
      <c r="F75" s="16">
        <v>448716.52</v>
      </c>
      <c r="G75" s="15">
        <v>729</v>
      </c>
      <c r="H75" s="15" t="s">
        <v>233</v>
      </c>
      <c r="I75" s="23">
        <v>448716.52</v>
      </c>
    </row>
    <row r="76" spans="1:9" s="17" customFormat="1" x14ac:dyDescent="0.25">
      <c r="A76" s="14">
        <v>45504</v>
      </c>
      <c r="B76" s="15" t="s">
        <v>309</v>
      </c>
      <c r="C76" s="15" t="s">
        <v>122</v>
      </c>
      <c r="D76" s="15" t="s">
        <v>259</v>
      </c>
      <c r="E76" s="16">
        <v>745154.61</v>
      </c>
      <c r="F76" s="16">
        <v>745154.61</v>
      </c>
      <c r="G76" s="15">
        <v>699</v>
      </c>
      <c r="H76" s="15" t="s">
        <v>233</v>
      </c>
      <c r="I76" s="23">
        <v>745154.61</v>
      </c>
    </row>
    <row r="77" spans="1:9" s="17" customFormat="1" x14ac:dyDescent="0.25">
      <c r="A77" s="14">
        <v>45512</v>
      </c>
      <c r="B77" s="15" t="s">
        <v>310</v>
      </c>
      <c r="C77" s="15" t="s">
        <v>191</v>
      </c>
      <c r="D77" s="15" t="s">
        <v>306</v>
      </c>
      <c r="E77" s="16">
        <v>350000</v>
      </c>
      <c r="F77" s="16">
        <v>350000</v>
      </c>
      <c r="G77" s="15">
        <v>691</v>
      </c>
      <c r="H77" s="15" t="s">
        <v>233</v>
      </c>
      <c r="I77" s="23">
        <v>-350000</v>
      </c>
    </row>
    <row r="78" spans="1:9" s="17" customFormat="1" x14ac:dyDescent="0.25">
      <c r="A78" s="14">
        <v>45594</v>
      </c>
      <c r="B78" s="15" t="s">
        <v>311</v>
      </c>
      <c r="C78" s="15" t="s">
        <v>96</v>
      </c>
      <c r="D78" s="15" t="s">
        <v>312</v>
      </c>
      <c r="E78" s="16">
        <v>786935</v>
      </c>
      <c r="F78" s="16">
        <v>786935</v>
      </c>
      <c r="G78" s="15">
        <v>609</v>
      </c>
      <c r="H78" s="15" t="s">
        <v>233</v>
      </c>
      <c r="I78" s="23">
        <v>786935</v>
      </c>
    </row>
    <row r="79" spans="1:9" s="17" customFormat="1" x14ac:dyDescent="0.25">
      <c r="A79" s="14">
        <v>45692</v>
      </c>
      <c r="B79" s="15" t="s">
        <v>313</v>
      </c>
      <c r="C79" s="15" t="s">
        <v>23</v>
      </c>
      <c r="D79" s="15" t="s">
        <v>1666</v>
      </c>
      <c r="E79" s="16">
        <v>800000</v>
      </c>
      <c r="F79" s="16">
        <v>13127.04</v>
      </c>
      <c r="G79" s="15">
        <v>511</v>
      </c>
      <c r="H79" s="15" t="s">
        <v>233</v>
      </c>
      <c r="I79" s="23">
        <v>-13127.04</v>
      </c>
    </row>
    <row r="80" spans="1:9" s="17" customFormat="1" x14ac:dyDescent="0.25">
      <c r="A80" s="14">
        <v>45722</v>
      </c>
      <c r="B80" s="15" t="s">
        <v>314</v>
      </c>
      <c r="C80" s="15" t="s">
        <v>186</v>
      </c>
      <c r="D80" s="15" t="s">
        <v>306</v>
      </c>
      <c r="E80" s="16">
        <v>875733.94</v>
      </c>
      <c r="F80" s="16">
        <v>1529560.02</v>
      </c>
      <c r="G80" s="15">
        <v>481</v>
      </c>
      <c r="H80" s="15" t="s">
        <v>233</v>
      </c>
      <c r="I80" s="23">
        <v>1529560.02</v>
      </c>
    </row>
    <row r="81" spans="1:9" s="17" customFormat="1" x14ac:dyDescent="0.25">
      <c r="A81" s="14">
        <v>45747</v>
      </c>
      <c r="B81" s="15" t="s">
        <v>315</v>
      </c>
      <c r="C81" s="15" t="s">
        <v>212</v>
      </c>
      <c r="D81" s="15" t="s">
        <v>1666</v>
      </c>
      <c r="E81" s="16">
        <v>1318560.75</v>
      </c>
      <c r="F81" s="16">
        <v>819292.57</v>
      </c>
      <c r="G81" s="15">
        <v>456</v>
      </c>
      <c r="H81" s="15" t="s">
        <v>233</v>
      </c>
      <c r="I81" s="23">
        <v>819292.57</v>
      </c>
    </row>
    <row r="82" spans="1:9" s="17" customFormat="1" x14ac:dyDescent="0.25">
      <c r="A82" s="14">
        <v>45777</v>
      </c>
      <c r="B82" s="15" t="s">
        <v>316</v>
      </c>
      <c r="C82" s="15" t="s">
        <v>146</v>
      </c>
      <c r="D82" s="15" t="s">
        <v>317</v>
      </c>
      <c r="E82" s="16">
        <v>943113.04</v>
      </c>
      <c r="F82" s="16">
        <v>1736215.04</v>
      </c>
      <c r="G82" s="15">
        <v>426</v>
      </c>
      <c r="H82" s="15" t="s">
        <v>233</v>
      </c>
      <c r="I82" s="23">
        <v>1736215.04</v>
      </c>
    </row>
    <row r="83" spans="1:9" s="17" customFormat="1" x14ac:dyDescent="0.25">
      <c r="A83" s="14">
        <v>45798</v>
      </c>
      <c r="B83" s="15" t="s">
        <v>318</v>
      </c>
      <c r="C83" s="15" t="s">
        <v>88</v>
      </c>
      <c r="D83" s="15" t="s">
        <v>319</v>
      </c>
      <c r="E83" s="16">
        <v>1503348</v>
      </c>
      <c r="F83" s="16">
        <v>300000.7</v>
      </c>
      <c r="G83" s="15">
        <v>405</v>
      </c>
      <c r="H83" s="15" t="s">
        <v>233</v>
      </c>
      <c r="I83" s="23">
        <v>300000.7</v>
      </c>
    </row>
    <row r="84" spans="1:9" s="17" customFormat="1" x14ac:dyDescent="0.25">
      <c r="A84" s="14">
        <v>45806</v>
      </c>
      <c r="B84" s="15" t="s">
        <v>320</v>
      </c>
      <c r="C84" s="15" t="s">
        <v>188</v>
      </c>
      <c r="D84" s="15" t="s">
        <v>321</v>
      </c>
      <c r="E84" s="16">
        <v>247299</v>
      </c>
      <c r="F84" s="16">
        <v>172046</v>
      </c>
      <c r="G84" s="15">
        <v>397</v>
      </c>
      <c r="H84" s="15" t="s">
        <v>233</v>
      </c>
      <c r="I84" s="23">
        <v>172046</v>
      </c>
    </row>
    <row r="85" spans="1:9" s="17" customFormat="1" x14ac:dyDescent="0.25">
      <c r="A85" s="14">
        <v>45808</v>
      </c>
      <c r="B85" s="15" t="s">
        <v>322</v>
      </c>
      <c r="C85" s="15" t="s">
        <v>146</v>
      </c>
      <c r="D85" s="15" t="s">
        <v>317</v>
      </c>
      <c r="E85" s="16">
        <v>834281.26</v>
      </c>
      <c r="F85" s="16">
        <v>834281.26</v>
      </c>
      <c r="G85" s="15">
        <v>395</v>
      </c>
      <c r="H85" s="15" t="s">
        <v>233</v>
      </c>
      <c r="I85" s="23">
        <v>834281.26</v>
      </c>
    </row>
    <row r="86" spans="1:9" s="17" customFormat="1" x14ac:dyDescent="0.25">
      <c r="A86" s="14">
        <v>45808</v>
      </c>
      <c r="B86" s="15" t="s">
        <v>324</v>
      </c>
      <c r="C86" s="15" t="s">
        <v>199</v>
      </c>
      <c r="D86" s="15" t="s">
        <v>306</v>
      </c>
      <c r="E86" s="16">
        <v>292918.56</v>
      </c>
      <c r="F86" s="16">
        <v>346127.76</v>
      </c>
      <c r="G86" s="15">
        <v>395</v>
      </c>
      <c r="H86" s="15" t="s">
        <v>233</v>
      </c>
      <c r="I86" s="23">
        <v>346127.76</v>
      </c>
    </row>
    <row r="87" spans="1:9" s="17" customFormat="1" x14ac:dyDescent="0.25">
      <c r="A87" s="14">
        <v>45811</v>
      </c>
      <c r="B87" s="15" t="s">
        <v>325</v>
      </c>
      <c r="C87" s="15" t="s">
        <v>49</v>
      </c>
      <c r="D87" s="15" t="s">
        <v>312</v>
      </c>
      <c r="E87" s="16">
        <v>5610552.2000000002</v>
      </c>
      <c r="F87" s="16">
        <v>310552.2</v>
      </c>
      <c r="G87" s="15">
        <v>392</v>
      </c>
      <c r="H87" s="15" t="s">
        <v>233</v>
      </c>
      <c r="I87" s="23">
        <v>310552.2</v>
      </c>
    </row>
    <row r="88" spans="1:9" s="17" customFormat="1" x14ac:dyDescent="0.25">
      <c r="A88" s="14">
        <v>45812</v>
      </c>
      <c r="B88" s="15" t="s">
        <v>326</v>
      </c>
      <c r="C88" s="15" t="s">
        <v>191</v>
      </c>
      <c r="D88" s="15" t="s">
        <v>1666</v>
      </c>
      <c r="E88" s="16">
        <v>300000</v>
      </c>
      <c r="F88" s="16">
        <v>300000</v>
      </c>
      <c r="G88" s="15">
        <v>391</v>
      </c>
      <c r="H88" s="15" t="s">
        <v>233</v>
      </c>
      <c r="I88" s="23">
        <v>-300000</v>
      </c>
    </row>
    <row r="89" spans="1:9" s="17" customFormat="1" x14ac:dyDescent="0.25">
      <c r="A89" s="14">
        <v>45813</v>
      </c>
      <c r="B89" s="15" t="s">
        <v>327</v>
      </c>
      <c r="C89" s="15" t="s">
        <v>193</v>
      </c>
      <c r="D89" s="15" t="s">
        <v>1666</v>
      </c>
      <c r="E89" s="16">
        <v>110487.82</v>
      </c>
      <c r="F89" s="16">
        <v>110487.82</v>
      </c>
      <c r="G89" s="15">
        <v>390</v>
      </c>
      <c r="H89" s="15" t="s">
        <v>233</v>
      </c>
      <c r="I89" s="23">
        <v>110487.82</v>
      </c>
    </row>
    <row r="90" spans="1:9" s="17" customFormat="1" x14ac:dyDescent="0.25">
      <c r="A90" s="14">
        <v>45814</v>
      </c>
      <c r="B90" s="15" t="s">
        <v>328</v>
      </c>
      <c r="C90" s="15" t="s">
        <v>193</v>
      </c>
      <c r="D90" s="15" t="s">
        <v>1666</v>
      </c>
      <c r="E90" s="16">
        <v>100716</v>
      </c>
      <c r="F90" s="16">
        <v>100716</v>
      </c>
      <c r="G90" s="15">
        <v>389</v>
      </c>
      <c r="H90" s="15" t="s">
        <v>233</v>
      </c>
      <c r="I90" s="23">
        <v>100716</v>
      </c>
    </row>
    <row r="91" spans="1:9" s="17" customFormat="1" x14ac:dyDescent="0.25">
      <c r="A91" s="14">
        <v>45818</v>
      </c>
      <c r="B91" s="15" t="s">
        <v>329</v>
      </c>
      <c r="C91" s="15" t="s">
        <v>193</v>
      </c>
      <c r="D91" s="15" t="s">
        <v>1666</v>
      </c>
      <c r="E91" s="16">
        <v>106677.9</v>
      </c>
      <c r="F91" s="16">
        <v>106677.9</v>
      </c>
      <c r="G91" s="15">
        <v>385</v>
      </c>
      <c r="H91" s="15" t="s">
        <v>233</v>
      </c>
      <c r="I91" s="23">
        <v>106677.9</v>
      </c>
    </row>
    <row r="92" spans="1:9" s="17" customFormat="1" x14ac:dyDescent="0.25">
      <c r="A92" s="14">
        <v>45825</v>
      </c>
      <c r="B92" s="15" t="s">
        <v>330</v>
      </c>
      <c r="C92" s="15" t="s">
        <v>193</v>
      </c>
      <c r="D92" s="15" t="s">
        <v>1666</v>
      </c>
      <c r="E92" s="16">
        <v>108055.5</v>
      </c>
      <c r="F92" s="16">
        <v>108055.5</v>
      </c>
      <c r="G92" s="15">
        <v>378</v>
      </c>
      <c r="H92" s="15" t="s">
        <v>233</v>
      </c>
      <c r="I92" s="23">
        <v>108055.5</v>
      </c>
    </row>
    <row r="93" spans="1:9" s="17" customFormat="1" x14ac:dyDescent="0.25">
      <c r="A93" s="14">
        <v>45826</v>
      </c>
      <c r="B93" s="15" t="s">
        <v>331</v>
      </c>
      <c r="C93" s="15" t="s">
        <v>22</v>
      </c>
      <c r="D93" s="15" t="s">
        <v>1666</v>
      </c>
      <c r="E93" s="16">
        <v>537661</v>
      </c>
      <c r="F93" s="16">
        <v>64759.02</v>
      </c>
      <c r="G93" s="15">
        <v>377</v>
      </c>
      <c r="H93" s="15" t="s">
        <v>233</v>
      </c>
      <c r="I93" s="23">
        <v>64759.02</v>
      </c>
    </row>
    <row r="94" spans="1:9" s="17" customFormat="1" x14ac:dyDescent="0.25">
      <c r="A94" s="14">
        <v>45838</v>
      </c>
      <c r="B94" s="15" t="s">
        <v>333</v>
      </c>
      <c r="C94" s="15" t="s">
        <v>22</v>
      </c>
      <c r="D94" s="15" t="s">
        <v>1666</v>
      </c>
      <c r="E94" s="16">
        <v>246403.27</v>
      </c>
      <c r="F94" s="16">
        <v>246403.27</v>
      </c>
      <c r="G94" s="15">
        <v>365</v>
      </c>
      <c r="H94" s="15" t="s">
        <v>323</v>
      </c>
      <c r="I94" s="23">
        <v>246403.27</v>
      </c>
    </row>
    <row r="95" spans="1:9" s="17" customFormat="1" x14ac:dyDescent="0.25">
      <c r="A95" s="14">
        <v>45838</v>
      </c>
      <c r="B95" s="15" t="s">
        <v>334</v>
      </c>
      <c r="C95" s="15" t="s">
        <v>147</v>
      </c>
      <c r="D95" s="15" t="s">
        <v>335</v>
      </c>
      <c r="E95" s="16">
        <v>3092863.66</v>
      </c>
      <c r="F95" s="16">
        <v>3022863.66</v>
      </c>
      <c r="G95" s="15">
        <v>365</v>
      </c>
      <c r="H95" s="15" t="s">
        <v>323</v>
      </c>
      <c r="I95" s="23">
        <v>3022863.66</v>
      </c>
    </row>
    <row r="96" spans="1:9" s="17" customFormat="1" x14ac:dyDescent="0.25">
      <c r="A96" s="14">
        <v>45838</v>
      </c>
      <c r="B96" s="15" t="s">
        <v>336</v>
      </c>
      <c r="C96" s="15" t="s">
        <v>147</v>
      </c>
      <c r="D96" s="15" t="s">
        <v>306</v>
      </c>
      <c r="E96" s="16">
        <v>1279904.3400000001</v>
      </c>
      <c r="F96" s="16">
        <v>1276850.75</v>
      </c>
      <c r="G96" s="15">
        <v>365</v>
      </c>
      <c r="H96" s="15" t="s">
        <v>323</v>
      </c>
      <c r="I96" s="23">
        <v>1276850.75</v>
      </c>
    </row>
    <row r="97" spans="1:9" s="17" customFormat="1" x14ac:dyDescent="0.25">
      <c r="A97" s="14">
        <v>45839</v>
      </c>
      <c r="B97" s="15" t="s">
        <v>337</v>
      </c>
      <c r="C97" s="15" t="s">
        <v>146</v>
      </c>
      <c r="D97" s="15" t="s">
        <v>1666</v>
      </c>
      <c r="E97" s="16">
        <v>740750</v>
      </c>
      <c r="F97" s="16">
        <v>740750</v>
      </c>
      <c r="G97" s="15">
        <v>364</v>
      </c>
      <c r="H97" s="15" t="s">
        <v>323</v>
      </c>
      <c r="I97" s="23">
        <v>740750</v>
      </c>
    </row>
    <row r="98" spans="1:9" s="17" customFormat="1" x14ac:dyDescent="0.25">
      <c r="A98" s="14">
        <v>45839</v>
      </c>
      <c r="B98" s="15" t="s">
        <v>338</v>
      </c>
      <c r="C98" s="15" t="s">
        <v>170</v>
      </c>
      <c r="D98" s="15" t="s">
        <v>1666</v>
      </c>
      <c r="E98" s="16">
        <v>649762.84</v>
      </c>
      <c r="F98" s="16">
        <v>649762.84</v>
      </c>
      <c r="G98" s="15">
        <v>364</v>
      </c>
      <c r="H98" s="15" t="s">
        <v>323</v>
      </c>
      <c r="I98" s="23">
        <v>-649762.84</v>
      </c>
    </row>
    <row r="99" spans="1:9" s="17" customFormat="1" x14ac:dyDescent="0.25">
      <c r="A99" s="14">
        <v>45858</v>
      </c>
      <c r="B99" s="15" t="s">
        <v>339</v>
      </c>
      <c r="C99" s="15" t="s">
        <v>22</v>
      </c>
      <c r="D99" s="15" t="s">
        <v>1666</v>
      </c>
      <c r="E99" s="16">
        <v>99570</v>
      </c>
      <c r="F99" s="16">
        <v>99570</v>
      </c>
      <c r="G99" s="15">
        <v>345</v>
      </c>
      <c r="H99" s="15" t="s">
        <v>323</v>
      </c>
      <c r="I99" s="23">
        <v>99570</v>
      </c>
    </row>
    <row r="100" spans="1:9" s="17" customFormat="1" x14ac:dyDescent="0.25">
      <c r="A100" s="14">
        <v>45863</v>
      </c>
      <c r="B100" s="15" t="s">
        <v>340</v>
      </c>
      <c r="C100" s="15" t="s">
        <v>22</v>
      </c>
      <c r="D100" s="15" t="s">
        <v>1666</v>
      </c>
      <c r="E100" s="16">
        <v>150479</v>
      </c>
      <c r="F100" s="16">
        <v>150479</v>
      </c>
      <c r="G100" s="15">
        <v>340</v>
      </c>
      <c r="H100" s="15" t="s">
        <v>323</v>
      </c>
      <c r="I100" s="23">
        <v>150479</v>
      </c>
    </row>
    <row r="101" spans="1:9" s="17" customFormat="1" x14ac:dyDescent="0.25">
      <c r="A101" s="14">
        <v>45869</v>
      </c>
      <c r="B101" s="15" t="s">
        <v>341</v>
      </c>
      <c r="C101" s="15" t="s">
        <v>71</v>
      </c>
      <c r="D101" s="15" t="s">
        <v>1666</v>
      </c>
      <c r="E101" s="16">
        <v>1214662.68</v>
      </c>
      <c r="F101" s="16">
        <v>1214662.68</v>
      </c>
      <c r="G101" s="15">
        <v>334</v>
      </c>
      <c r="H101" s="15" t="s">
        <v>323</v>
      </c>
      <c r="I101" s="23">
        <v>1214662.68</v>
      </c>
    </row>
    <row r="102" spans="1:9" s="17" customFormat="1" x14ac:dyDescent="0.25">
      <c r="A102" s="14">
        <v>45869</v>
      </c>
      <c r="B102" s="15" t="s">
        <v>342</v>
      </c>
      <c r="C102" s="15" t="s">
        <v>146</v>
      </c>
      <c r="D102" s="15" t="s">
        <v>1666</v>
      </c>
      <c r="E102" s="16">
        <v>821726.7</v>
      </c>
      <c r="F102" s="16">
        <v>821726.7</v>
      </c>
      <c r="G102" s="15">
        <v>334</v>
      </c>
      <c r="H102" s="15" t="s">
        <v>323</v>
      </c>
      <c r="I102" s="23">
        <v>821726.7</v>
      </c>
    </row>
    <row r="103" spans="1:9" s="17" customFormat="1" x14ac:dyDescent="0.25">
      <c r="A103" s="14">
        <v>45869</v>
      </c>
      <c r="B103" s="15" t="s">
        <v>343</v>
      </c>
      <c r="C103" s="15" t="s">
        <v>147</v>
      </c>
      <c r="D103" s="15" t="s">
        <v>1666</v>
      </c>
      <c r="E103" s="16">
        <v>470229.2</v>
      </c>
      <c r="F103" s="16">
        <v>540132.82999999996</v>
      </c>
      <c r="G103" s="15">
        <v>334</v>
      </c>
      <c r="H103" s="15" t="s">
        <v>323</v>
      </c>
      <c r="I103" s="23">
        <v>540132.82999999996</v>
      </c>
    </row>
    <row r="104" spans="1:9" s="17" customFormat="1" x14ac:dyDescent="0.25">
      <c r="A104" s="14">
        <v>45869</v>
      </c>
      <c r="B104" s="15" t="s">
        <v>344</v>
      </c>
      <c r="C104" s="15" t="s">
        <v>151</v>
      </c>
      <c r="D104" s="15" t="s">
        <v>1666</v>
      </c>
      <c r="E104" s="16">
        <v>78487.5</v>
      </c>
      <c r="F104" s="16">
        <v>78487.5</v>
      </c>
      <c r="G104" s="15">
        <v>334</v>
      </c>
      <c r="H104" s="15" t="s">
        <v>323</v>
      </c>
      <c r="I104" s="23">
        <v>78487.5</v>
      </c>
    </row>
    <row r="105" spans="1:9" s="17" customFormat="1" x14ac:dyDescent="0.25">
      <c r="A105" s="14">
        <v>45869</v>
      </c>
      <c r="B105" s="15" t="s">
        <v>345</v>
      </c>
      <c r="C105" s="15" t="s">
        <v>157</v>
      </c>
      <c r="D105" s="15" t="s">
        <v>1666</v>
      </c>
      <c r="E105" s="16">
        <v>1537000</v>
      </c>
      <c r="F105" s="16">
        <v>1462209.04</v>
      </c>
      <c r="G105" s="15">
        <v>334</v>
      </c>
      <c r="H105" s="15" t="s">
        <v>323</v>
      </c>
      <c r="I105" s="23">
        <v>1462209.04</v>
      </c>
    </row>
    <row r="106" spans="1:9" s="17" customFormat="1" x14ac:dyDescent="0.25">
      <c r="A106" s="14">
        <v>45869</v>
      </c>
      <c r="B106" s="15" t="s">
        <v>346</v>
      </c>
      <c r="C106" s="15" t="s">
        <v>157</v>
      </c>
      <c r="D106" s="15" t="s">
        <v>1666</v>
      </c>
      <c r="E106" s="16">
        <v>87000</v>
      </c>
      <c r="F106" s="16">
        <v>87000</v>
      </c>
      <c r="G106" s="15">
        <v>334</v>
      </c>
      <c r="H106" s="15" t="s">
        <v>323</v>
      </c>
      <c r="I106" s="23">
        <v>87000</v>
      </c>
    </row>
    <row r="107" spans="1:9" s="17" customFormat="1" x14ac:dyDescent="0.25">
      <c r="A107" s="14">
        <v>45874</v>
      </c>
      <c r="B107" s="15" t="s">
        <v>348</v>
      </c>
      <c r="C107" s="15" t="s">
        <v>143</v>
      </c>
      <c r="D107" s="15" t="s">
        <v>1666</v>
      </c>
      <c r="E107" s="16">
        <v>23600</v>
      </c>
      <c r="F107" s="16">
        <v>23600</v>
      </c>
      <c r="G107" s="15">
        <v>329</v>
      </c>
      <c r="H107" s="15" t="s">
        <v>323</v>
      </c>
      <c r="I107" s="23">
        <v>23600</v>
      </c>
    </row>
    <row r="108" spans="1:9" s="17" customFormat="1" x14ac:dyDescent="0.25">
      <c r="A108" s="14">
        <v>45884</v>
      </c>
      <c r="B108" s="15" t="s">
        <v>349</v>
      </c>
      <c r="C108" s="15" t="s">
        <v>29</v>
      </c>
      <c r="D108" s="15" t="s">
        <v>306</v>
      </c>
      <c r="E108" s="16">
        <v>315544</v>
      </c>
      <c r="F108" s="16">
        <v>315544</v>
      </c>
      <c r="G108" s="15">
        <v>319</v>
      </c>
      <c r="H108" s="15" t="s">
        <v>323</v>
      </c>
      <c r="I108" s="23">
        <v>315544</v>
      </c>
    </row>
    <row r="109" spans="1:9" s="17" customFormat="1" x14ac:dyDescent="0.25">
      <c r="A109" s="14">
        <v>45889</v>
      </c>
      <c r="B109" s="15" t="s">
        <v>350</v>
      </c>
      <c r="C109" s="15" t="s">
        <v>186</v>
      </c>
      <c r="D109" s="15" t="s">
        <v>1666</v>
      </c>
      <c r="E109" s="16">
        <v>329692</v>
      </c>
      <c r="F109" s="16">
        <v>297042</v>
      </c>
      <c r="G109" s="15">
        <v>314</v>
      </c>
      <c r="H109" s="15" t="s">
        <v>323</v>
      </c>
      <c r="I109" s="23">
        <v>297042</v>
      </c>
    </row>
    <row r="110" spans="1:9" s="17" customFormat="1" x14ac:dyDescent="0.25">
      <c r="A110" s="14">
        <v>45891</v>
      </c>
      <c r="B110" s="15" t="s">
        <v>351</v>
      </c>
      <c r="C110" s="15" t="s">
        <v>22</v>
      </c>
      <c r="D110" s="15" t="s">
        <v>1666</v>
      </c>
      <c r="E110" s="16">
        <v>148183.88</v>
      </c>
      <c r="F110" s="16">
        <v>148183.88</v>
      </c>
      <c r="G110" s="15">
        <v>312</v>
      </c>
      <c r="H110" s="15" t="s">
        <v>323</v>
      </c>
      <c r="I110" s="23">
        <v>148183.88</v>
      </c>
    </row>
    <row r="111" spans="1:9" s="17" customFormat="1" x14ac:dyDescent="0.25">
      <c r="A111" s="14">
        <v>45895</v>
      </c>
      <c r="B111" s="15" t="s">
        <v>352</v>
      </c>
      <c r="C111" s="15" t="s">
        <v>29</v>
      </c>
      <c r="D111" s="15" t="s">
        <v>1666</v>
      </c>
      <c r="E111" s="16">
        <v>381352</v>
      </c>
      <c r="F111" s="16">
        <v>381352</v>
      </c>
      <c r="G111" s="15">
        <v>308</v>
      </c>
      <c r="H111" s="15" t="s">
        <v>323</v>
      </c>
      <c r="I111" s="23">
        <v>381352</v>
      </c>
    </row>
    <row r="112" spans="1:9" s="17" customFormat="1" x14ac:dyDescent="0.25">
      <c r="A112" s="14">
        <v>45895</v>
      </c>
      <c r="B112" s="15" t="s">
        <v>353</v>
      </c>
      <c r="C112" s="15" t="s">
        <v>29</v>
      </c>
      <c r="D112" s="15" t="s">
        <v>1666</v>
      </c>
      <c r="E112" s="16">
        <v>261936</v>
      </c>
      <c r="F112" s="16">
        <v>261936</v>
      </c>
      <c r="G112" s="15">
        <v>308</v>
      </c>
      <c r="H112" s="15" t="s">
        <v>323</v>
      </c>
      <c r="I112" s="23">
        <v>261936</v>
      </c>
    </row>
    <row r="113" spans="1:9" s="17" customFormat="1" x14ac:dyDescent="0.25">
      <c r="A113" s="14">
        <v>45900</v>
      </c>
      <c r="B113" s="15" t="s">
        <v>354</v>
      </c>
      <c r="C113" s="15" t="s">
        <v>22</v>
      </c>
      <c r="D113" s="15" t="s">
        <v>1666</v>
      </c>
      <c r="E113" s="16">
        <v>315051.48</v>
      </c>
      <c r="F113" s="16">
        <v>315051.48</v>
      </c>
      <c r="G113" s="15">
        <v>303</v>
      </c>
      <c r="H113" s="15" t="s">
        <v>323</v>
      </c>
      <c r="I113" s="23">
        <v>315051.48</v>
      </c>
    </row>
    <row r="114" spans="1:9" s="17" customFormat="1" x14ac:dyDescent="0.25">
      <c r="A114" s="14">
        <v>45900</v>
      </c>
      <c r="B114" s="15" t="s">
        <v>355</v>
      </c>
      <c r="C114" s="15" t="s">
        <v>146</v>
      </c>
      <c r="D114" s="15" t="s">
        <v>1666</v>
      </c>
      <c r="E114" s="16">
        <v>836447.59</v>
      </c>
      <c r="F114" s="16">
        <v>836447.59</v>
      </c>
      <c r="G114" s="15">
        <v>303</v>
      </c>
      <c r="H114" s="15" t="s">
        <v>323</v>
      </c>
      <c r="I114" s="23">
        <v>836447.59</v>
      </c>
    </row>
    <row r="115" spans="1:9" s="17" customFormat="1" x14ac:dyDescent="0.25">
      <c r="A115" s="14">
        <v>45900</v>
      </c>
      <c r="B115" s="15" t="s">
        <v>356</v>
      </c>
      <c r="C115" s="15" t="s">
        <v>147</v>
      </c>
      <c r="D115" s="15" t="s">
        <v>1666</v>
      </c>
      <c r="E115" s="16">
        <v>470229.2</v>
      </c>
      <c r="F115" s="16">
        <v>470229.2</v>
      </c>
      <c r="G115" s="15">
        <v>303</v>
      </c>
      <c r="H115" s="15" t="s">
        <v>323</v>
      </c>
      <c r="I115" s="23">
        <v>470229.2</v>
      </c>
    </row>
    <row r="116" spans="1:9" s="17" customFormat="1" x14ac:dyDescent="0.25">
      <c r="A116" s="14">
        <v>45900</v>
      </c>
      <c r="B116" s="15" t="s">
        <v>357</v>
      </c>
      <c r="C116" s="15" t="s">
        <v>147</v>
      </c>
      <c r="D116" s="15" t="s">
        <v>1666</v>
      </c>
      <c r="E116" s="16">
        <v>371831.28</v>
      </c>
      <c r="F116" s="16">
        <v>371831.28</v>
      </c>
      <c r="G116" s="15">
        <v>303</v>
      </c>
      <c r="H116" s="15" t="s">
        <v>323</v>
      </c>
      <c r="I116" s="23">
        <v>371831.28</v>
      </c>
    </row>
    <row r="117" spans="1:9" s="17" customFormat="1" x14ac:dyDescent="0.25">
      <c r="A117" s="14">
        <v>45900</v>
      </c>
      <c r="B117" s="15" t="s">
        <v>358</v>
      </c>
      <c r="C117" s="15" t="s">
        <v>151</v>
      </c>
      <c r="D117" s="15" t="s">
        <v>1666</v>
      </c>
      <c r="E117" s="16">
        <v>39243.75</v>
      </c>
      <c r="F117" s="16">
        <v>39243.75</v>
      </c>
      <c r="G117" s="15">
        <v>303</v>
      </c>
      <c r="H117" s="15" t="s">
        <v>323</v>
      </c>
      <c r="I117" s="23">
        <v>39243.75</v>
      </c>
    </row>
    <row r="118" spans="1:9" s="17" customFormat="1" x14ac:dyDescent="0.25">
      <c r="A118" s="14">
        <v>45900</v>
      </c>
      <c r="B118" s="15" t="s">
        <v>359</v>
      </c>
      <c r="C118" s="15" t="s">
        <v>212</v>
      </c>
      <c r="D118" s="15" t="s">
        <v>1666</v>
      </c>
      <c r="E118" s="16">
        <v>474690.06</v>
      </c>
      <c r="F118" s="16">
        <v>474690.06</v>
      </c>
      <c r="G118" s="15">
        <v>303</v>
      </c>
      <c r="H118" s="15" t="s">
        <v>323</v>
      </c>
      <c r="I118" s="23">
        <v>474690.06</v>
      </c>
    </row>
    <row r="119" spans="1:9" s="17" customFormat="1" x14ac:dyDescent="0.25">
      <c r="A119" s="14">
        <v>45901</v>
      </c>
      <c r="B119" s="15" t="s">
        <v>360</v>
      </c>
      <c r="C119" s="15" t="s">
        <v>186</v>
      </c>
      <c r="D119" s="15" t="s">
        <v>1666</v>
      </c>
      <c r="E119" s="16">
        <v>516200</v>
      </c>
      <c r="F119" s="16">
        <v>516200</v>
      </c>
      <c r="G119" s="15">
        <v>302</v>
      </c>
      <c r="H119" s="15" t="s">
        <v>323</v>
      </c>
      <c r="I119" s="23">
        <v>516200</v>
      </c>
    </row>
    <row r="120" spans="1:9" s="17" customFormat="1" x14ac:dyDescent="0.25">
      <c r="A120" s="14">
        <v>45902</v>
      </c>
      <c r="B120" s="15" t="s">
        <v>361</v>
      </c>
      <c r="C120" s="15" t="s">
        <v>186</v>
      </c>
      <c r="D120" s="15" t="s">
        <v>1666</v>
      </c>
      <c r="E120" s="16">
        <v>516200</v>
      </c>
      <c r="F120" s="16">
        <v>1032400</v>
      </c>
      <c r="G120" s="15">
        <v>301</v>
      </c>
      <c r="H120" s="15" t="s">
        <v>323</v>
      </c>
      <c r="I120" s="23">
        <v>1032400</v>
      </c>
    </row>
    <row r="121" spans="1:9" s="17" customFormat="1" x14ac:dyDescent="0.25">
      <c r="A121" s="14">
        <v>45903</v>
      </c>
      <c r="B121" s="15" t="s">
        <v>362</v>
      </c>
      <c r="C121" s="15" t="s">
        <v>29</v>
      </c>
      <c r="D121" s="15" t="s">
        <v>306</v>
      </c>
      <c r="E121" s="16">
        <v>359676</v>
      </c>
      <c r="F121" s="16">
        <v>359676</v>
      </c>
      <c r="G121" s="15">
        <v>300</v>
      </c>
      <c r="H121" s="15" t="s">
        <v>323</v>
      </c>
      <c r="I121" s="23">
        <v>359676</v>
      </c>
    </row>
    <row r="122" spans="1:9" s="17" customFormat="1" x14ac:dyDescent="0.25">
      <c r="A122" s="14">
        <v>45904</v>
      </c>
      <c r="B122" s="15" t="s">
        <v>363</v>
      </c>
      <c r="C122" s="15" t="s">
        <v>186</v>
      </c>
      <c r="D122" s="15" t="s">
        <v>1666</v>
      </c>
      <c r="E122" s="16">
        <v>516200</v>
      </c>
      <c r="F122" s="16">
        <v>516200</v>
      </c>
      <c r="G122" s="15">
        <v>299</v>
      </c>
      <c r="H122" s="15" t="s">
        <v>323</v>
      </c>
      <c r="I122" s="23">
        <v>516200</v>
      </c>
    </row>
    <row r="123" spans="1:9" s="17" customFormat="1" x14ac:dyDescent="0.25">
      <c r="A123" s="14">
        <v>45905</v>
      </c>
      <c r="B123" s="15" t="s">
        <v>364</v>
      </c>
      <c r="C123" s="15" t="s">
        <v>186</v>
      </c>
      <c r="D123" s="15" t="s">
        <v>1666</v>
      </c>
      <c r="E123" s="16">
        <v>516199.76</v>
      </c>
      <c r="F123" s="16">
        <v>516199.76</v>
      </c>
      <c r="G123" s="15">
        <v>298</v>
      </c>
      <c r="H123" s="15" t="s">
        <v>323</v>
      </c>
      <c r="I123" s="23">
        <v>516199.76</v>
      </c>
    </row>
    <row r="124" spans="1:9" s="17" customFormat="1" x14ac:dyDescent="0.25">
      <c r="A124" s="14">
        <v>45906</v>
      </c>
      <c r="B124" s="15" t="s">
        <v>365</v>
      </c>
      <c r="C124" s="15" t="s">
        <v>29</v>
      </c>
      <c r="D124" s="15" t="s">
        <v>1666</v>
      </c>
      <c r="E124" s="16">
        <v>333716</v>
      </c>
      <c r="F124" s="16">
        <v>333716</v>
      </c>
      <c r="G124" s="15">
        <v>297</v>
      </c>
      <c r="H124" s="15" t="s">
        <v>323</v>
      </c>
      <c r="I124" s="23">
        <v>333716</v>
      </c>
    </row>
    <row r="125" spans="1:9" s="17" customFormat="1" x14ac:dyDescent="0.25">
      <c r="A125" s="14">
        <v>45909</v>
      </c>
      <c r="B125" s="15" t="s">
        <v>366</v>
      </c>
      <c r="C125" s="15" t="s">
        <v>29</v>
      </c>
      <c r="D125" s="15" t="s">
        <v>1666</v>
      </c>
      <c r="E125" s="16">
        <v>353965</v>
      </c>
      <c r="F125" s="16">
        <v>353965</v>
      </c>
      <c r="G125" s="15">
        <v>294</v>
      </c>
      <c r="H125" s="15" t="s">
        <v>323</v>
      </c>
      <c r="I125" s="23">
        <v>353965</v>
      </c>
    </row>
    <row r="126" spans="1:9" s="17" customFormat="1" x14ac:dyDescent="0.25">
      <c r="A126" s="14">
        <v>45919</v>
      </c>
      <c r="B126" s="15" t="s">
        <v>367</v>
      </c>
      <c r="C126" s="15" t="s">
        <v>23</v>
      </c>
      <c r="D126" s="15" t="s">
        <v>1666</v>
      </c>
      <c r="E126" s="16">
        <v>150000</v>
      </c>
      <c r="F126" s="16">
        <v>150000</v>
      </c>
      <c r="G126" s="15">
        <v>284</v>
      </c>
      <c r="H126" s="15" t="s">
        <v>323</v>
      </c>
      <c r="I126" s="23">
        <v>-150000</v>
      </c>
    </row>
    <row r="127" spans="1:9" s="17" customFormat="1" x14ac:dyDescent="0.25">
      <c r="A127" s="14">
        <v>45919</v>
      </c>
      <c r="B127" s="15" t="s">
        <v>368</v>
      </c>
      <c r="C127" s="15" t="s">
        <v>115</v>
      </c>
      <c r="D127" s="15" t="s">
        <v>1666</v>
      </c>
      <c r="E127" s="16">
        <v>1600000</v>
      </c>
      <c r="F127" s="16">
        <v>600000</v>
      </c>
      <c r="G127" s="15">
        <v>284</v>
      </c>
      <c r="H127" s="15" t="s">
        <v>323</v>
      </c>
      <c r="I127" s="23">
        <v>-600000</v>
      </c>
    </row>
    <row r="128" spans="1:9" s="17" customFormat="1" x14ac:dyDescent="0.25">
      <c r="A128" s="14">
        <v>45929</v>
      </c>
      <c r="B128" s="15" t="s">
        <v>369</v>
      </c>
      <c r="C128" s="15" t="s">
        <v>151</v>
      </c>
      <c r="D128" s="15" t="s">
        <v>1666</v>
      </c>
      <c r="E128" s="16">
        <v>78487.5</v>
      </c>
      <c r="F128" s="16">
        <v>78487.5</v>
      </c>
      <c r="G128" s="15">
        <v>274</v>
      </c>
      <c r="H128" s="15" t="s">
        <v>323</v>
      </c>
      <c r="I128" s="23">
        <v>78487.5</v>
      </c>
    </row>
    <row r="129" spans="1:9" s="17" customFormat="1" x14ac:dyDescent="0.25">
      <c r="A129" s="14">
        <v>45930</v>
      </c>
      <c r="B129" s="15" t="s">
        <v>370</v>
      </c>
      <c r="C129" s="15" t="s">
        <v>78</v>
      </c>
      <c r="D129" s="15" t="s">
        <v>312</v>
      </c>
      <c r="E129" s="16">
        <v>31320</v>
      </c>
      <c r="F129" s="16">
        <v>14265.9</v>
      </c>
      <c r="G129" s="15">
        <v>273</v>
      </c>
      <c r="H129" s="15" t="s">
        <v>323</v>
      </c>
      <c r="I129" s="23">
        <v>14265.9</v>
      </c>
    </row>
    <row r="130" spans="1:9" s="17" customFormat="1" x14ac:dyDescent="0.25">
      <c r="A130" s="14">
        <v>45930</v>
      </c>
      <c r="B130" s="15" t="s">
        <v>371</v>
      </c>
      <c r="C130" s="15" t="s">
        <v>143</v>
      </c>
      <c r="D130" s="15" t="s">
        <v>1666</v>
      </c>
      <c r="E130" s="16">
        <v>63720</v>
      </c>
      <c r="F130" s="16">
        <v>63720</v>
      </c>
      <c r="G130" s="15">
        <v>273</v>
      </c>
      <c r="H130" s="15" t="s">
        <v>323</v>
      </c>
      <c r="I130" s="23">
        <v>63720</v>
      </c>
    </row>
    <row r="131" spans="1:9" s="17" customFormat="1" x14ac:dyDescent="0.25">
      <c r="A131" s="14">
        <v>45930</v>
      </c>
      <c r="B131" s="15" t="s">
        <v>372</v>
      </c>
      <c r="C131" s="15" t="s">
        <v>146</v>
      </c>
      <c r="D131" s="15" t="s">
        <v>1666</v>
      </c>
      <c r="E131" s="16">
        <v>927486</v>
      </c>
      <c r="F131" s="16">
        <v>927486</v>
      </c>
      <c r="G131" s="15">
        <v>273</v>
      </c>
      <c r="H131" s="15" t="s">
        <v>323</v>
      </c>
      <c r="I131" s="23">
        <v>927486</v>
      </c>
    </row>
    <row r="132" spans="1:9" s="17" customFormat="1" x14ac:dyDescent="0.25">
      <c r="A132" s="14">
        <v>45930</v>
      </c>
      <c r="B132" s="15" t="s">
        <v>373</v>
      </c>
      <c r="C132" s="15" t="s">
        <v>147</v>
      </c>
      <c r="D132" s="15" t="s">
        <v>1666</v>
      </c>
      <c r="E132" s="16">
        <v>311495.64</v>
      </c>
      <c r="F132" s="16">
        <v>311495.64</v>
      </c>
      <c r="G132" s="15">
        <v>273</v>
      </c>
      <c r="H132" s="15" t="s">
        <v>323</v>
      </c>
      <c r="I132" s="23">
        <v>311495.64</v>
      </c>
    </row>
    <row r="133" spans="1:9" s="17" customFormat="1" x14ac:dyDescent="0.25">
      <c r="A133" s="14">
        <v>45930</v>
      </c>
      <c r="B133" s="15" t="s">
        <v>374</v>
      </c>
      <c r="C133" s="15" t="s">
        <v>147</v>
      </c>
      <c r="D133" s="15" t="s">
        <v>1666</v>
      </c>
      <c r="E133" s="16">
        <v>470229.6</v>
      </c>
      <c r="F133" s="16">
        <v>470229.6</v>
      </c>
      <c r="G133" s="15">
        <v>273</v>
      </c>
      <c r="H133" s="15" t="s">
        <v>323</v>
      </c>
      <c r="I133" s="23">
        <v>470229.6</v>
      </c>
    </row>
    <row r="134" spans="1:9" s="17" customFormat="1" x14ac:dyDescent="0.25">
      <c r="A134" s="14">
        <v>45930</v>
      </c>
      <c r="B134" s="15" t="s">
        <v>375</v>
      </c>
      <c r="C134" s="15" t="s">
        <v>151</v>
      </c>
      <c r="D134" s="15" t="s">
        <v>1666</v>
      </c>
      <c r="E134" s="16">
        <v>180521.26</v>
      </c>
      <c r="F134" s="16">
        <v>180521.26</v>
      </c>
      <c r="G134" s="15">
        <v>273</v>
      </c>
      <c r="H134" s="15" t="s">
        <v>323</v>
      </c>
      <c r="I134" s="23">
        <v>180521.26</v>
      </c>
    </row>
    <row r="135" spans="1:9" s="17" customFormat="1" x14ac:dyDescent="0.25">
      <c r="A135" s="14">
        <v>45930</v>
      </c>
      <c r="B135" s="15" t="s">
        <v>376</v>
      </c>
      <c r="C135" s="15" t="s">
        <v>151</v>
      </c>
      <c r="D135" s="15" t="s">
        <v>1666</v>
      </c>
      <c r="E135" s="16">
        <v>78487.5</v>
      </c>
      <c r="F135" s="16">
        <v>78487.5</v>
      </c>
      <c r="G135" s="15">
        <v>273</v>
      </c>
      <c r="H135" s="15" t="s">
        <v>323</v>
      </c>
      <c r="I135" s="23">
        <v>78487.5</v>
      </c>
    </row>
    <row r="136" spans="1:9" s="17" customFormat="1" x14ac:dyDescent="0.25">
      <c r="A136" s="14">
        <v>45930</v>
      </c>
      <c r="B136" s="15" t="s">
        <v>377</v>
      </c>
      <c r="C136" s="15" t="s">
        <v>157</v>
      </c>
      <c r="D136" s="15" t="s">
        <v>1666</v>
      </c>
      <c r="E136" s="16">
        <v>1537000</v>
      </c>
      <c r="F136" s="16">
        <v>1537000</v>
      </c>
      <c r="G136" s="15">
        <v>273</v>
      </c>
      <c r="H136" s="15" t="s">
        <v>323</v>
      </c>
      <c r="I136" s="23">
        <v>1537000</v>
      </c>
    </row>
    <row r="137" spans="1:9" s="17" customFormat="1" x14ac:dyDescent="0.25">
      <c r="A137" s="14">
        <v>45930</v>
      </c>
      <c r="B137" s="15" t="s">
        <v>378</v>
      </c>
      <c r="C137" s="15" t="s">
        <v>157</v>
      </c>
      <c r="D137" s="15" t="s">
        <v>1666</v>
      </c>
      <c r="E137" s="16">
        <v>87000</v>
      </c>
      <c r="F137" s="16">
        <v>87000</v>
      </c>
      <c r="G137" s="15">
        <v>273</v>
      </c>
      <c r="H137" s="15" t="s">
        <v>323</v>
      </c>
      <c r="I137" s="23">
        <v>87000</v>
      </c>
    </row>
    <row r="138" spans="1:9" s="17" customFormat="1" x14ac:dyDescent="0.25">
      <c r="A138" s="14">
        <v>45931</v>
      </c>
      <c r="B138" s="15" t="s">
        <v>379</v>
      </c>
      <c r="C138" s="15" t="s">
        <v>144</v>
      </c>
      <c r="D138" s="15" t="s">
        <v>1666</v>
      </c>
      <c r="E138" s="16">
        <v>41919.5</v>
      </c>
      <c r="F138" s="16">
        <v>41919.5</v>
      </c>
      <c r="G138" s="15">
        <v>272</v>
      </c>
      <c r="H138" s="15" t="s">
        <v>323</v>
      </c>
      <c r="I138" s="23">
        <v>41919.5</v>
      </c>
    </row>
    <row r="139" spans="1:9" s="17" customFormat="1" x14ac:dyDescent="0.25">
      <c r="A139" s="14">
        <v>45931</v>
      </c>
      <c r="B139" s="15" t="s">
        <v>380</v>
      </c>
      <c r="C139" s="15" t="s">
        <v>144</v>
      </c>
      <c r="D139" s="15" t="s">
        <v>1666</v>
      </c>
      <c r="E139" s="16">
        <v>35931</v>
      </c>
      <c r="F139" s="16">
        <v>35931</v>
      </c>
      <c r="G139" s="15">
        <v>272</v>
      </c>
      <c r="H139" s="15" t="s">
        <v>323</v>
      </c>
      <c r="I139" s="23">
        <v>35931</v>
      </c>
    </row>
    <row r="140" spans="1:9" s="17" customFormat="1" x14ac:dyDescent="0.25">
      <c r="A140" s="14">
        <v>45931</v>
      </c>
      <c r="B140" s="15" t="s">
        <v>381</v>
      </c>
      <c r="C140" s="15" t="s">
        <v>182</v>
      </c>
      <c r="D140" s="15" t="s">
        <v>1666</v>
      </c>
      <c r="E140" s="16">
        <v>81264.240000000005</v>
      </c>
      <c r="F140" s="16">
        <v>81264.240000000005</v>
      </c>
      <c r="G140" s="15">
        <v>272</v>
      </c>
      <c r="H140" s="15" t="s">
        <v>323</v>
      </c>
      <c r="I140" s="23">
        <v>81264.240000000005</v>
      </c>
    </row>
    <row r="141" spans="1:9" s="17" customFormat="1" x14ac:dyDescent="0.25">
      <c r="A141" s="14">
        <v>45931</v>
      </c>
      <c r="B141" s="15" t="s">
        <v>382</v>
      </c>
      <c r="C141" s="15" t="s">
        <v>182</v>
      </c>
      <c r="D141" s="15" t="s">
        <v>1666</v>
      </c>
      <c r="E141" s="16">
        <v>81257.240000000005</v>
      </c>
      <c r="F141" s="16">
        <v>51455.360000000001</v>
      </c>
      <c r="G141" s="15">
        <v>272</v>
      </c>
      <c r="H141" s="15" t="s">
        <v>323</v>
      </c>
      <c r="I141" s="23">
        <v>51455.360000000001</v>
      </c>
    </row>
    <row r="142" spans="1:9" s="17" customFormat="1" x14ac:dyDescent="0.25">
      <c r="A142" s="14">
        <v>45943</v>
      </c>
      <c r="B142" s="15" t="s">
        <v>383</v>
      </c>
      <c r="C142" s="15" t="s">
        <v>142</v>
      </c>
      <c r="D142" s="15" t="s">
        <v>1666</v>
      </c>
      <c r="E142" s="16">
        <v>590000</v>
      </c>
      <c r="F142" s="16">
        <v>590000</v>
      </c>
      <c r="G142" s="15">
        <v>260</v>
      </c>
      <c r="H142" s="15" t="s">
        <v>323</v>
      </c>
      <c r="I142" s="23">
        <v>590000</v>
      </c>
    </row>
    <row r="143" spans="1:9" s="17" customFormat="1" x14ac:dyDescent="0.25">
      <c r="A143" s="14">
        <v>45943</v>
      </c>
      <c r="B143" s="15" t="s">
        <v>384</v>
      </c>
      <c r="C143" s="15" t="s">
        <v>143</v>
      </c>
      <c r="D143" s="15" t="s">
        <v>1666</v>
      </c>
      <c r="E143" s="16">
        <v>118000</v>
      </c>
      <c r="F143" s="16">
        <v>118000</v>
      </c>
      <c r="G143" s="15">
        <v>260</v>
      </c>
      <c r="H143" s="15" t="s">
        <v>323</v>
      </c>
      <c r="I143" s="23">
        <v>118000</v>
      </c>
    </row>
    <row r="144" spans="1:9" s="17" customFormat="1" x14ac:dyDescent="0.25">
      <c r="A144" s="14">
        <v>45943</v>
      </c>
      <c r="B144" s="15" t="s">
        <v>385</v>
      </c>
      <c r="C144" s="15" t="s">
        <v>147</v>
      </c>
      <c r="D144" s="15" t="s">
        <v>1666</v>
      </c>
      <c r="E144" s="16">
        <v>100300</v>
      </c>
      <c r="F144" s="16">
        <v>100300</v>
      </c>
      <c r="G144" s="15">
        <v>260</v>
      </c>
      <c r="H144" s="15" t="s">
        <v>323</v>
      </c>
      <c r="I144" s="23">
        <v>100300</v>
      </c>
    </row>
    <row r="145" spans="1:9" s="17" customFormat="1" x14ac:dyDescent="0.25">
      <c r="A145" s="14">
        <v>45943</v>
      </c>
      <c r="B145" s="15" t="s">
        <v>386</v>
      </c>
      <c r="C145" s="15" t="s">
        <v>148</v>
      </c>
      <c r="D145" s="15" t="s">
        <v>1666</v>
      </c>
      <c r="E145" s="16">
        <v>370425.59999999998</v>
      </c>
      <c r="F145" s="16">
        <v>370425.59999999998</v>
      </c>
      <c r="G145" s="15">
        <v>260</v>
      </c>
      <c r="H145" s="15" t="s">
        <v>323</v>
      </c>
      <c r="I145" s="23">
        <v>370425.59999999998</v>
      </c>
    </row>
    <row r="146" spans="1:9" s="17" customFormat="1" x14ac:dyDescent="0.25">
      <c r="A146" s="14">
        <v>45943</v>
      </c>
      <c r="B146" s="15" t="s">
        <v>387</v>
      </c>
      <c r="C146" s="15" t="s">
        <v>149</v>
      </c>
      <c r="D146" s="15" t="s">
        <v>1666</v>
      </c>
      <c r="E146" s="16">
        <v>98600</v>
      </c>
      <c r="F146" s="16">
        <v>98600</v>
      </c>
      <c r="G146" s="15">
        <v>260</v>
      </c>
      <c r="H146" s="15" t="s">
        <v>323</v>
      </c>
      <c r="I146" s="23">
        <v>98600</v>
      </c>
    </row>
    <row r="147" spans="1:9" s="17" customFormat="1" x14ac:dyDescent="0.25">
      <c r="A147" s="14">
        <v>45943</v>
      </c>
      <c r="B147" s="15" t="s">
        <v>388</v>
      </c>
      <c r="C147" s="15" t="s">
        <v>149</v>
      </c>
      <c r="D147" s="15" t="s">
        <v>1666</v>
      </c>
      <c r="E147" s="16">
        <v>153946</v>
      </c>
      <c r="F147" s="16">
        <v>153946</v>
      </c>
      <c r="G147" s="15">
        <v>260</v>
      </c>
      <c r="H147" s="15" t="s">
        <v>323</v>
      </c>
      <c r="I147" s="23">
        <v>153946</v>
      </c>
    </row>
    <row r="148" spans="1:9" s="17" customFormat="1" x14ac:dyDescent="0.25">
      <c r="A148" s="14">
        <v>45943</v>
      </c>
      <c r="B148" s="15" t="s">
        <v>389</v>
      </c>
      <c r="C148" s="15" t="s">
        <v>150</v>
      </c>
      <c r="D148" s="15" t="s">
        <v>1666</v>
      </c>
      <c r="E148" s="16">
        <v>30680</v>
      </c>
      <c r="F148" s="16">
        <v>30680</v>
      </c>
      <c r="G148" s="15">
        <v>260</v>
      </c>
      <c r="H148" s="15" t="s">
        <v>323</v>
      </c>
      <c r="I148" s="23">
        <v>30680</v>
      </c>
    </row>
    <row r="149" spans="1:9" s="17" customFormat="1" x14ac:dyDescent="0.25">
      <c r="A149" s="14">
        <v>45943</v>
      </c>
      <c r="B149" s="15" t="s">
        <v>390</v>
      </c>
      <c r="C149" s="15" t="s">
        <v>151</v>
      </c>
      <c r="D149" s="15" t="s">
        <v>1666</v>
      </c>
      <c r="E149" s="16">
        <v>156975</v>
      </c>
      <c r="F149" s="16">
        <v>156975</v>
      </c>
      <c r="G149" s="15">
        <v>260</v>
      </c>
      <c r="H149" s="15" t="s">
        <v>323</v>
      </c>
      <c r="I149" s="23">
        <v>156975</v>
      </c>
    </row>
    <row r="150" spans="1:9" s="17" customFormat="1" x14ac:dyDescent="0.25">
      <c r="A150" s="14">
        <v>45948</v>
      </c>
      <c r="B150" s="15" t="s">
        <v>391</v>
      </c>
      <c r="C150" s="15" t="s">
        <v>52</v>
      </c>
      <c r="D150" s="15" t="s">
        <v>1666</v>
      </c>
      <c r="E150" s="16">
        <v>13962953.220000001</v>
      </c>
      <c r="F150" s="16">
        <v>13962953.220000001</v>
      </c>
      <c r="G150" s="15">
        <v>255</v>
      </c>
      <c r="H150" s="15" t="s">
        <v>323</v>
      </c>
      <c r="I150" s="23">
        <v>-13962953.220000001</v>
      </c>
    </row>
    <row r="151" spans="1:9" s="17" customFormat="1" x14ac:dyDescent="0.25">
      <c r="A151" s="14">
        <v>45948</v>
      </c>
      <c r="B151" s="15" t="s">
        <v>391</v>
      </c>
      <c r="C151" s="15" t="s">
        <v>206</v>
      </c>
      <c r="D151" s="15" t="s">
        <v>1666</v>
      </c>
      <c r="E151" s="16">
        <v>10987124.32</v>
      </c>
      <c r="F151" s="16">
        <v>9481609.8000000007</v>
      </c>
      <c r="G151" s="15">
        <v>255</v>
      </c>
      <c r="H151" s="15" t="s">
        <v>323</v>
      </c>
      <c r="I151" s="23">
        <v>-9481609.8000000007</v>
      </c>
    </row>
    <row r="152" spans="1:9" s="17" customFormat="1" x14ac:dyDescent="0.25">
      <c r="A152" s="14">
        <v>45950</v>
      </c>
      <c r="B152" s="15" t="s">
        <v>392</v>
      </c>
      <c r="C152" s="15" t="s">
        <v>162</v>
      </c>
      <c r="D152" s="15" t="s">
        <v>1666</v>
      </c>
      <c r="E152" s="16">
        <v>793659</v>
      </c>
      <c r="F152" s="16">
        <v>141655</v>
      </c>
      <c r="G152" s="15">
        <v>253</v>
      </c>
      <c r="H152" s="15" t="s">
        <v>323</v>
      </c>
      <c r="I152" s="23">
        <v>-141655</v>
      </c>
    </row>
    <row r="153" spans="1:9" s="17" customFormat="1" x14ac:dyDescent="0.25">
      <c r="A153" s="14">
        <v>45953</v>
      </c>
      <c r="B153" s="15" t="s">
        <v>393</v>
      </c>
      <c r="C153" s="15" t="s">
        <v>29</v>
      </c>
      <c r="D153" s="15" t="s">
        <v>1666</v>
      </c>
      <c r="E153" s="16">
        <v>308405</v>
      </c>
      <c r="F153" s="16">
        <v>308405</v>
      </c>
      <c r="G153" s="15">
        <v>250</v>
      </c>
      <c r="H153" s="15" t="s">
        <v>323</v>
      </c>
      <c r="I153" s="23">
        <v>308405</v>
      </c>
    </row>
    <row r="154" spans="1:9" s="17" customFormat="1" x14ac:dyDescent="0.25">
      <c r="A154" s="14">
        <v>45953</v>
      </c>
      <c r="B154" s="15" t="s">
        <v>394</v>
      </c>
      <c r="C154" s="15" t="s">
        <v>72</v>
      </c>
      <c r="D154" s="15" t="s">
        <v>1666</v>
      </c>
      <c r="E154" s="16">
        <v>305235</v>
      </c>
      <c r="F154" s="16">
        <v>19032.8</v>
      </c>
      <c r="G154" s="15">
        <v>250</v>
      </c>
      <c r="H154" s="15" t="s">
        <v>323</v>
      </c>
      <c r="I154" s="23">
        <v>-19032.8</v>
      </c>
    </row>
    <row r="155" spans="1:9" s="17" customFormat="1" x14ac:dyDescent="0.25">
      <c r="A155" s="14">
        <v>45961</v>
      </c>
      <c r="B155" s="15" t="s">
        <v>395</v>
      </c>
      <c r="C155" s="15" t="s">
        <v>22</v>
      </c>
      <c r="D155" s="15" t="s">
        <v>1666</v>
      </c>
      <c r="E155" s="16">
        <v>1220804.04</v>
      </c>
      <c r="F155" s="16">
        <v>1220804.04</v>
      </c>
      <c r="G155" s="15">
        <v>242</v>
      </c>
      <c r="H155" s="15" t="s">
        <v>323</v>
      </c>
      <c r="I155" s="23">
        <v>1220804.04</v>
      </c>
    </row>
    <row r="156" spans="1:9" s="17" customFormat="1" x14ac:dyDescent="0.25">
      <c r="A156" s="14">
        <v>45961</v>
      </c>
      <c r="B156" s="15" t="s">
        <v>396</v>
      </c>
      <c r="C156" s="15" t="s">
        <v>98</v>
      </c>
      <c r="D156" s="15" t="s">
        <v>306</v>
      </c>
      <c r="E156" s="16">
        <v>972689.57</v>
      </c>
      <c r="F156" s="16">
        <v>627771.51</v>
      </c>
      <c r="G156" s="15">
        <v>242</v>
      </c>
      <c r="H156" s="15" t="s">
        <v>323</v>
      </c>
      <c r="I156" s="23">
        <v>627771.51</v>
      </c>
    </row>
    <row r="157" spans="1:9" s="17" customFormat="1" x14ac:dyDescent="0.25">
      <c r="A157" s="14">
        <v>45961</v>
      </c>
      <c r="B157" s="15" t="s">
        <v>397</v>
      </c>
      <c r="C157" s="15" t="s">
        <v>143</v>
      </c>
      <c r="D157" s="15" t="s">
        <v>1666</v>
      </c>
      <c r="E157" s="16">
        <v>63720</v>
      </c>
      <c r="F157" s="16">
        <v>63720</v>
      </c>
      <c r="G157" s="15">
        <v>242</v>
      </c>
      <c r="H157" s="15" t="s">
        <v>323</v>
      </c>
      <c r="I157" s="23">
        <v>63720</v>
      </c>
    </row>
    <row r="158" spans="1:9" s="17" customFormat="1" x14ac:dyDescent="0.25">
      <c r="A158" s="14">
        <v>45961</v>
      </c>
      <c r="B158" s="15" t="s">
        <v>398</v>
      </c>
      <c r="C158" s="15" t="s">
        <v>146</v>
      </c>
      <c r="D158" s="15" t="s">
        <v>1666</v>
      </c>
      <c r="E158" s="16">
        <v>912752.5</v>
      </c>
      <c r="F158" s="16">
        <v>912752.5</v>
      </c>
      <c r="G158" s="15">
        <v>242</v>
      </c>
      <c r="H158" s="15" t="s">
        <v>323</v>
      </c>
      <c r="I158" s="23">
        <v>912752.5</v>
      </c>
    </row>
    <row r="159" spans="1:9" s="17" customFormat="1" x14ac:dyDescent="0.25">
      <c r="A159" s="14">
        <v>45961</v>
      </c>
      <c r="B159" s="15" t="s">
        <v>399</v>
      </c>
      <c r="C159" s="15" t="s">
        <v>147</v>
      </c>
      <c r="D159" s="15" t="s">
        <v>1666</v>
      </c>
      <c r="E159" s="16">
        <v>470229.6</v>
      </c>
      <c r="F159" s="16">
        <v>470229.6</v>
      </c>
      <c r="G159" s="15">
        <v>242</v>
      </c>
      <c r="H159" s="15" t="s">
        <v>323</v>
      </c>
      <c r="I159" s="23">
        <v>470229.6</v>
      </c>
    </row>
    <row r="160" spans="1:9" s="17" customFormat="1" x14ac:dyDescent="0.25">
      <c r="A160" s="14">
        <v>45961</v>
      </c>
      <c r="B160" s="15" t="s">
        <v>400</v>
      </c>
      <c r="C160" s="15" t="s">
        <v>147</v>
      </c>
      <c r="D160" s="15" t="s">
        <v>1666</v>
      </c>
      <c r="E160" s="16">
        <v>316850.64</v>
      </c>
      <c r="F160" s="16">
        <v>316850.64</v>
      </c>
      <c r="G160" s="15">
        <v>242</v>
      </c>
      <c r="H160" s="15" t="s">
        <v>323</v>
      </c>
      <c r="I160" s="23">
        <v>316850.64</v>
      </c>
    </row>
    <row r="161" spans="1:9" s="17" customFormat="1" x14ac:dyDescent="0.25">
      <c r="A161" s="14">
        <v>45961</v>
      </c>
      <c r="B161" s="15" t="s">
        <v>401</v>
      </c>
      <c r="C161" s="15" t="s">
        <v>151</v>
      </c>
      <c r="D161" s="15" t="s">
        <v>1666</v>
      </c>
      <c r="E161" s="16">
        <v>78487.5</v>
      </c>
      <c r="F161" s="16">
        <v>78487.5</v>
      </c>
      <c r="G161" s="15">
        <v>242</v>
      </c>
      <c r="H161" s="15" t="s">
        <v>323</v>
      </c>
      <c r="I161" s="23">
        <v>78487.5</v>
      </c>
    </row>
    <row r="162" spans="1:9" s="17" customFormat="1" x14ac:dyDescent="0.25">
      <c r="A162" s="14">
        <v>45961</v>
      </c>
      <c r="B162" s="15" t="s">
        <v>402</v>
      </c>
      <c r="C162" s="15" t="s">
        <v>157</v>
      </c>
      <c r="D162" s="15" t="s">
        <v>1666</v>
      </c>
      <c r="E162" s="16">
        <v>1537000</v>
      </c>
      <c r="F162" s="16">
        <v>1537000</v>
      </c>
      <c r="G162" s="15">
        <v>242</v>
      </c>
      <c r="H162" s="15" t="s">
        <v>323</v>
      </c>
      <c r="I162" s="23">
        <v>1537000</v>
      </c>
    </row>
    <row r="163" spans="1:9" s="17" customFormat="1" x14ac:dyDescent="0.25">
      <c r="A163" s="14">
        <v>45961</v>
      </c>
      <c r="B163" s="15" t="s">
        <v>403</v>
      </c>
      <c r="C163" s="15" t="s">
        <v>157</v>
      </c>
      <c r="D163" s="15" t="s">
        <v>1666</v>
      </c>
      <c r="E163" s="16">
        <v>87000</v>
      </c>
      <c r="F163" s="16">
        <v>87000</v>
      </c>
      <c r="G163" s="15">
        <v>242</v>
      </c>
      <c r="H163" s="15" t="s">
        <v>323</v>
      </c>
      <c r="I163" s="23">
        <v>87000</v>
      </c>
    </row>
    <row r="164" spans="1:9" s="17" customFormat="1" x14ac:dyDescent="0.25">
      <c r="A164" s="14">
        <v>45961</v>
      </c>
      <c r="B164" s="15" t="s">
        <v>404</v>
      </c>
      <c r="C164" s="15" t="s">
        <v>157</v>
      </c>
      <c r="D164" s="15" t="s">
        <v>1666</v>
      </c>
      <c r="E164" s="16">
        <v>1537000</v>
      </c>
      <c r="F164" s="16">
        <v>1537000</v>
      </c>
      <c r="G164" s="15">
        <v>242</v>
      </c>
      <c r="H164" s="15" t="s">
        <v>323</v>
      </c>
      <c r="I164" s="23">
        <v>1537000</v>
      </c>
    </row>
    <row r="165" spans="1:9" s="17" customFormat="1" x14ac:dyDescent="0.25">
      <c r="A165" s="14">
        <v>45961</v>
      </c>
      <c r="B165" s="15" t="s">
        <v>405</v>
      </c>
      <c r="C165" s="15" t="s">
        <v>186</v>
      </c>
      <c r="D165" s="15" t="s">
        <v>1666</v>
      </c>
      <c r="E165" s="16">
        <v>412960</v>
      </c>
      <c r="F165" s="16">
        <v>412960</v>
      </c>
      <c r="G165" s="15">
        <v>242</v>
      </c>
      <c r="H165" s="15" t="s">
        <v>323</v>
      </c>
      <c r="I165" s="23">
        <v>412960</v>
      </c>
    </row>
    <row r="166" spans="1:9" s="17" customFormat="1" x14ac:dyDescent="0.25">
      <c r="A166" s="14">
        <v>45961</v>
      </c>
      <c r="B166" s="15" t="s">
        <v>406</v>
      </c>
      <c r="C166" s="15" t="s">
        <v>186</v>
      </c>
      <c r="D166" s="15" t="s">
        <v>1666</v>
      </c>
      <c r="E166" s="16">
        <v>412960</v>
      </c>
      <c r="F166" s="16">
        <v>412960</v>
      </c>
      <c r="G166" s="15">
        <v>242</v>
      </c>
      <c r="H166" s="15" t="s">
        <v>323</v>
      </c>
      <c r="I166" s="23">
        <v>412960</v>
      </c>
    </row>
    <row r="167" spans="1:9" s="17" customFormat="1" x14ac:dyDescent="0.25">
      <c r="A167" s="14">
        <v>45962</v>
      </c>
      <c r="B167" s="15" t="s">
        <v>407</v>
      </c>
      <c r="C167" s="15" t="s">
        <v>15</v>
      </c>
      <c r="D167" s="15" t="s">
        <v>1666</v>
      </c>
      <c r="E167" s="16">
        <v>977175.5</v>
      </c>
      <c r="F167" s="16">
        <v>300000.02</v>
      </c>
      <c r="G167" s="15">
        <v>241</v>
      </c>
      <c r="H167" s="15" t="s">
        <v>323</v>
      </c>
      <c r="I167" s="23">
        <v>300000.02</v>
      </c>
    </row>
    <row r="168" spans="1:9" s="17" customFormat="1" x14ac:dyDescent="0.25">
      <c r="A168" s="14">
        <v>45962</v>
      </c>
      <c r="B168" s="15" t="s">
        <v>408</v>
      </c>
      <c r="C168" s="15" t="s">
        <v>77</v>
      </c>
      <c r="D168" s="15" t="s">
        <v>1666</v>
      </c>
      <c r="E168" s="16">
        <v>653396</v>
      </c>
      <c r="F168" s="16">
        <v>653396</v>
      </c>
      <c r="G168" s="15">
        <v>241</v>
      </c>
      <c r="H168" s="15" t="s">
        <v>323</v>
      </c>
      <c r="I168" s="23">
        <v>-653396</v>
      </c>
    </row>
    <row r="169" spans="1:9" s="17" customFormat="1" x14ac:dyDescent="0.25">
      <c r="A169" s="14">
        <v>45962</v>
      </c>
      <c r="B169" s="15" t="s">
        <v>409</v>
      </c>
      <c r="C169" s="15" t="s">
        <v>182</v>
      </c>
      <c r="D169" s="15" t="s">
        <v>1666</v>
      </c>
      <c r="E169" s="16">
        <v>78635.81</v>
      </c>
      <c r="F169" s="16">
        <v>78635.81</v>
      </c>
      <c r="G169" s="15">
        <v>241</v>
      </c>
      <c r="H169" s="15" t="s">
        <v>323</v>
      </c>
      <c r="I169" s="23">
        <v>78635.81</v>
      </c>
    </row>
    <row r="170" spans="1:9" s="17" customFormat="1" x14ac:dyDescent="0.25">
      <c r="A170" s="14">
        <v>45962</v>
      </c>
      <c r="B170" s="15" t="s">
        <v>410</v>
      </c>
      <c r="C170" s="15" t="s">
        <v>182</v>
      </c>
      <c r="D170" s="15" t="s">
        <v>1666</v>
      </c>
      <c r="E170" s="16">
        <v>3435.24</v>
      </c>
      <c r="F170" s="16">
        <v>3435.24</v>
      </c>
      <c r="G170" s="15">
        <v>241</v>
      </c>
      <c r="H170" s="15" t="s">
        <v>323</v>
      </c>
      <c r="I170" s="23">
        <v>3435.24</v>
      </c>
    </row>
    <row r="171" spans="1:9" s="17" customFormat="1" x14ac:dyDescent="0.25">
      <c r="A171" s="14">
        <v>45962</v>
      </c>
      <c r="B171" s="15" t="s">
        <v>411</v>
      </c>
      <c r="C171" s="15" t="s">
        <v>186</v>
      </c>
      <c r="D171" s="15" t="s">
        <v>1666</v>
      </c>
      <c r="E171" s="16">
        <v>103240</v>
      </c>
      <c r="F171" s="16">
        <v>103240</v>
      </c>
      <c r="G171" s="15">
        <v>241</v>
      </c>
      <c r="H171" s="15" t="s">
        <v>323</v>
      </c>
      <c r="I171" s="23">
        <v>103240</v>
      </c>
    </row>
    <row r="172" spans="1:9" s="17" customFormat="1" x14ac:dyDescent="0.25">
      <c r="A172" s="14">
        <v>45962</v>
      </c>
      <c r="B172" s="15" t="s">
        <v>412</v>
      </c>
      <c r="C172" s="15" t="s">
        <v>186</v>
      </c>
      <c r="D172" s="15" t="s">
        <v>1666</v>
      </c>
      <c r="E172" s="16">
        <v>103240</v>
      </c>
      <c r="F172" s="16">
        <v>103240</v>
      </c>
      <c r="G172" s="15">
        <v>241</v>
      </c>
      <c r="H172" s="15" t="s">
        <v>323</v>
      </c>
      <c r="I172" s="23">
        <v>103240</v>
      </c>
    </row>
    <row r="173" spans="1:9" s="17" customFormat="1" x14ac:dyDescent="0.25">
      <c r="A173" s="14">
        <v>45965</v>
      </c>
      <c r="B173" s="15" t="s">
        <v>413</v>
      </c>
      <c r="C173" s="15" t="s">
        <v>29</v>
      </c>
      <c r="D173" s="15" t="s">
        <v>1666</v>
      </c>
      <c r="E173" s="16">
        <v>313078</v>
      </c>
      <c r="F173" s="16">
        <v>313078</v>
      </c>
      <c r="G173" s="15">
        <v>238</v>
      </c>
      <c r="H173" s="15" t="s">
        <v>323</v>
      </c>
      <c r="I173" s="23">
        <v>313078</v>
      </c>
    </row>
    <row r="174" spans="1:9" s="17" customFormat="1" x14ac:dyDescent="0.25">
      <c r="A174" s="14">
        <v>45967</v>
      </c>
      <c r="B174" s="15" t="s">
        <v>414</v>
      </c>
      <c r="C174" s="15" t="s">
        <v>29</v>
      </c>
      <c r="D174" s="15" t="s">
        <v>1666</v>
      </c>
      <c r="E174" s="16">
        <v>327745</v>
      </c>
      <c r="F174" s="16">
        <v>327745</v>
      </c>
      <c r="G174" s="15">
        <v>236</v>
      </c>
      <c r="H174" s="15" t="s">
        <v>323</v>
      </c>
      <c r="I174" s="23">
        <v>327745</v>
      </c>
    </row>
    <row r="175" spans="1:9" s="17" customFormat="1" x14ac:dyDescent="0.25">
      <c r="A175" s="14">
        <v>45967</v>
      </c>
      <c r="B175" s="15" t="s">
        <v>415</v>
      </c>
      <c r="C175" s="15" t="s">
        <v>151</v>
      </c>
      <c r="D175" s="15" t="s">
        <v>1666</v>
      </c>
      <c r="E175" s="16">
        <v>156975</v>
      </c>
      <c r="F175" s="16">
        <v>156975</v>
      </c>
      <c r="G175" s="15">
        <v>236</v>
      </c>
      <c r="H175" s="15" t="s">
        <v>323</v>
      </c>
      <c r="I175" s="23">
        <v>156975</v>
      </c>
    </row>
    <row r="176" spans="1:9" s="17" customFormat="1" x14ac:dyDescent="0.25">
      <c r="A176" s="14">
        <v>45969</v>
      </c>
      <c r="B176" s="15" t="s">
        <v>417</v>
      </c>
      <c r="C176" s="15" t="s">
        <v>29</v>
      </c>
      <c r="D176" s="15" t="s">
        <v>1666</v>
      </c>
      <c r="E176" s="16">
        <v>347864</v>
      </c>
      <c r="F176" s="16">
        <v>347864</v>
      </c>
      <c r="G176" s="15">
        <v>234</v>
      </c>
      <c r="H176" s="15" t="s">
        <v>323</v>
      </c>
      <c r="I176" s="23">
        <v>347864</v>
      </c>
    </row>
    <row r="177" spans="1:9" s="17" customFormat="1" x14ac:dyDescent="0.25">
      <c r="A177" s="14">
        <v>45971</v>
      </c>
      <c r="B177" s="15" t="s">
        <v>418</v>
      </c>
      <c r="C177" s="15" t="s">
        <v>182</v>
      </c>
      <c r="D177" s="15" t="s">
        <v>1666</v>
      </c>
      <c r="E177" s="16">
        <v>79891.240000000005</v>
      </c>
      <c r="F177" s="16">
        <v>78968.320000000007</v>
      </c>
      <c r="G177" s="15">
        <v>232</v>
      </c>
      <c r="H177" s="15" t="s">
        <v>323</v>
      </c>
      <c r="I177" s="23">
        <v>78968.320000000007</v>
      </c>
    </row>
    <row r="178" spans="1:9" s="17" customFormat="1" x14ac:dyDescent="0.25">
      <c r="A178" s="14">
        <v>45972</v>
      </c>
      <c r="B178" s="15" t="s">
        <v>419</v>
      </c>
      <c r="C178" s="15" t="s">
        <v>182</v>
      </c>
      <c r="D178" s="15" t="s">
        <v>1666</v>
      </c>
      <c r="E178" s="16">
        <v>79887.240000000005</v>
      </c>
      <c r="F178" s="16">
        <v>79887.240000000005</v>
      </c>
      <c r="G178" s="15">
        <v>231</v>
      </c>
      <c r="H178" s="15" t="s">
        <v>323</v>
      </c>
      <c r="I178" s="23">
        <v>79887.240000000005</v>
      </c>
    </row>
    <row r="179" spans="1:9" s="17" customFormat="1" x14ac:dyDescent="0.25">
      <c r="A179" s="14">
        <v>45972</v>
      </c>
      <c r="B179" s="15" t="s">
        <v>420</v>
      </c>
      <c r="C179" s="15" t="s">
        <v>182</v>
      </c>
      <c r="D179" s="15" t="s">
        <v>1666</v>
      </c>
      <c r="E179" s="16">
        <v>51538.400000000001</v>
      </c>
      <c r="F179" s="16">
        <v>51538.400000000001</v>
      </c>
      <c r="G179" s="15">
        <v>231</v>
      </c>
      <c r="H179" s="15" t="s">
        <v>323</v>
      </c>
      <c r="I179" s="23">
        <v>51538.400000000001</v>
      </c>
    </row>
    <row r="180" spans="1:9" s="17" customFormat="1" x14ac:dyDescent="0.25">
      <c r="A180" s="14">
        <v>45973</v>
      </c>
      <c r="B180" s="15" t="s">
        <v>421</v>
      </c>
      <c r="C180" s="15" t="s">
        <v>29</v>
      </c>
      <c r="D180" s="15" t="s">
        <v>1666</v>
      </c>
      <c r="E180" s="16">
        <v>202488</v>
      </c>
      <c r="F180" s="16">
        <v>202488</v>
      </c>
      <c r="G180" s="15">
        <v>230</v>
      </c>
      <c r="H180" s="15" t="s">
        <v>323</v>
      </c>
      <c r="I180" s="23">
        <v>202488</v>
      </c>
    </row>
    <row r="181" spans="1:9" s="17" customFormat="1" x14ac:dyDescent="0.25">
      <c r="A181" s="14">
        <v>45977</v>
      </c>
      <c r="B181" s="15" t="s">
        <v>422</v>
      </c>
      <c r="C181" s="15" t="s">
        <v>29</v>
      </c>
      <c r="D181" s="15" t="s">
        <v>1666</v>
      </c>
      <c r="E181" s="16">
        <v>306847.2</v>
      </c>
      <c r="F181" s="16">
        <v>306847.2</v>
      </c>
      <c r="G181" s="15">
        <v>226</v>
      </c>
      <c r="H181" s="15" t="s">
        <v>323</v>
      </c>
      <c r="I181" s="23">
        <v>306847.2</v>
      </c>
    </row>
    <row r="182" spans="1:9" s="17" customFormat="1" x14ac:dyDescent="0.25">
      <c r="A182" s="14">
        <v>45979</v>
      </c>
      <c r="B182" s="15" t="s">
        <v>423</v>
      </c>
      <c r="C182" s="15" t="s">
        <v>151</v>
      </c>
      <c r="D182" s="15" t="s">
        <v>1666</v>
      </c>
      <c r="E182" s="16">
        <v>78487.5</v>
      </c>
      <c r="F182" s="16">
        <v>78487.5</v>
      </c>
      <c r="G182" s="15">
        <v>224</v>
      </c>
      <c r="H182" s="15" t="s">
        <v>323</v>
      </c>
      <c r="I182" s="23">
        <v>78487.5</v>
      </c>
    </row>
    <row r="183" spans="1:9" s="17" customFormat="1" x14ac:dyDescent="0.25">
      <c r="A183" s="14">
        <v>45985</v>
      </c>
      <c r="B183" s="15" t="s">
        <v>424</v>
      </c>
      <c r="C183" s="15" t="s">
        <v>151</v>
      </c>
      <c r="D183" s="15" t="s">
        <v>1666</v>
      </c>
      <c r="E183" s="16">
        <v>47092.5</v>
      </c>
      <c r="F183" s="16">
        <v>47092.5</v>
      </c>
      <c r="G183" s="15">
        <v>218</v>
      </c>
      <c r="H183" s="15" t="s">
        <v>323</v>
      </c>
      <c r="I183" s="23">
        <v>47092.5</v>
      </c>
    </row>
    <row r="184" spans="1:9" s="17" customFormat="1" x14ac:dyDescent="0.25">
      <c r="A184" s="14">
        <v>45985</v>
      </c>
      <c r="B184" s="15" t="s">
        <v>425</v>
      </c>
      <c r="C184" s="15" t="s">
        <v>151</v>
      </c>
      <c r="D184" s="15" t="s">
        <v>1666</v>
      </c>
      <c r="E184" s="16">
        <v>188370</v>
      </c>
      <c r="F184" s="16">
        <v>188370</v>
      </c>
      <c r="G184" s="15">
        <v>218</v>
      </c>
      <c r="H184" s="15" t="s">
        <v>323</v>
      </c>
      <c r="I184" s="23">
        <v>188370</v>
      </c>
    </row>
    <row r="185" spans="1:9" s="17" customFormat="1" x14ac:dyDescent="0.25">
      <c r="A185" s="14">
        <v>45985</v>
      </c>
      <c r="B185" s="15" t="s">
        <v>426</v>
      </c>
      <c r="C185" s="15" t="s">
        <v>151</v>
      </c>
      <c r="D185" s="15" t="s">
        <v>1666</v>
      </c>
      <c r="E185" s="16">
        <v>72600.929999999993</v>
      </c>
      <c r="F185" s="16">
        <v>72600.929999999993</v>
      </c>
      <c r="G185" s="15">
        <v>218</v>
      </c>
      <c r="H185" s="15" t="s">
        <v>323</v>
      </c>
      <c r="I185" s="23">
        <v>72600.929999999993</v>
      </c>
    </row>
    <row r="186" spans="1:9" s="17" customFormat="1" x14ac:dyDescent="0.25">
      <c r="A186" s="14">
        <v>45985</v>
      </c>
      <c r="B186" s="15" t="s">
        <v>427</v>
      </c>
      <c r="C186" s="15" t="s">
        <v>151</v>
      </c>
      <c r="D186" s="15" t="s">
        <v>1666</v>
      </c>
      <c r="E186" s="16">
        <v>123303.87</v>
      </c>
      <c r="F186" s="16">
        <v>123303.87</v>
      </c>
      <c r="G186" s="15">
        <v>218</v>
      </c>
      <c r="H186" s="15" t="s">
        <v>323</v>
      </c>
      <c r="I186" s="23">
        <v>123303.87</v>
      </c>
    </row>
    <row r="187" spans="1:9" s="17" customFormat="1" x14ac:dyDescent="0.25">
      <c r="A187" s="14">
        <v>45985</v>
      </c>
      <c r="B187" s="15" t="s">
        <v>428</v>
      </c>
      <c r="C187" s="15" t="s">
        <v>151</v>
      </c>
      <c r="D187" s="15" t="s">
        <v>1666</v>
      </c>
      <c r="E187" s="16">
        <v>62790</v>
      </c>
      <c r="F187" s="16">
        <v>62790</v>
      </c>
      <c r="G187" s="15">
        <v>218</v>
      </c>
      <c r="H187" s="15" t="s">
        <v>323</v>
      </c>
      <c r="I187" s="23">
        <v>62790</v>
      </c>
    </row>
    <row r="188" spans="1:9" s="17" customFormat="1" x14ac:dyDescent="0.25">
      <c r="A188" s="14">
        <v>45987</v>
      </c>
      <c r="B188" s="15" t="s">
        <v>429</v>
      </c>
      <c r="C188" s="15" t="s">
        <v>29</v>
      </c>
      <c r="D188" s="15" t="s">
        <v>1666</v>
      </c>
      <c r="E188" s="16">
        <v>318659</v>
      </c>
      <c r="F188" s="16">
        <v>318659</v>
      </c>
      <c r="G188" s="15">
        <v>216</v>
      </c>
      <c r="H188" s="15" t="s">
        <v>323</v>
      </c>
      <c r="I188" s="23">
        <v>318659</v>
      </c>
    </row>
    <row r="189" spans="1:9" s="17" customFormat="1" x14ac:dyDescent="0.25">
      <c r="A189" s="14">
        <v>45990</v>
      </c>
      <c r="B189" s="15" t="s">
        <v>430</v>
      </c>
      <c r="C189" s="15" t="s">
        <v>186</v>
      </c>
      <c r="D189" s="15" t="s">
        <v>1666</v>
      </c>
      <c r="E189" s="16">
        <v>412960</v>
      </c>
      <c r="F189" s="16">
        <v>412960</v>
      </c>
      <c r="G189" s="15">
        <v>213</v>
      </c>
      <c r="H189" s="15" t="s">
        <v>323</v>
      </c>
      <c r="I189" s="23">
        <v>412960</v>
      </c>
    </row>
    <row r="190" spans="1:9" s="17" customFormat="1" x14ac:dyDescent="0.25">
      <c r="A190" s="14">
        <v>45991</v>
      </c>
      <c r="B190" s="15" t="s">
        <v>431</v>
      </c>
      <c r="C190" s="15" t="s">
        <v>141</v>
      </c>
      <c r="D190" s="15" t="s">
        <v>1666</v>
      </c>
      <c r="E190" s="16">
        <v>215334</v>
      </c>
      <c r="F190" s="16">
        <v>215334</v>
      </c>
      <c r="G190" s="15">
        <v>212</v>
      </c>
      <c r="H190" s="15" t="s">
        <v>323</v>
      </c>
      <c r="I190" s="23">
        <v>215334</v>
      </c>
    </row>
    <row r="191" spans="1:9" s="17" customFormat="1" x14ac:dyDescent="0.25">
      <c r="A191" s="14">
        <v>45991</v>
      </c>
      <c r="B191" s="15" t="s">
        <v>432</v>
      </c>
      <c r="C191" s="15" t="s">
        <v>146</v>
      </c>
      <c r="D191" s="15" t="s">
        <v>1666</v>
      </c>
      <c r="E191" s="16">
        <v>942269</v>
      </c>
      <c r="F191" s="16">
        <v>942269</v>
      </c>
      <c r="G191" s="15">
        <v>212</v>
      </c>
      <c r="H191" s="15" t="s">
        <v>323</v>
      </c>
      <c r="I191" s="23">
        <v>942269</v>
      </c>
    </row>
    <row r="192" spans="1:9" s="17" customFormat="1" x14ac:dyDescent="0.25">
      <c r="A192" s="14">
        <v>45991</v>
      </c>
      <c r="B192" s="15" t="s">
        <v>433</v>
      </c>
      <c r="C192" s="15" t="s">
        <v>147</v>
      </c>
      <c r="D192" s="15" t="s">
        <v>1666</v>
      </c>
      <c r="E192" s="16">
        <v>262684</v>
      </c>
      <c r="F192" s="16">
        <v>262684</v>
      </c>
      <c r="G192" s="15">
        <v>212</v>
      </c>
      <c r="H192" s="15" t="s">
        <v>323</v>
      </c>
      <c r="I192" s="23">
        <v>262684</v>
      </c>
    </row>
    <row r="193" spans="1:9" s="17" customFormat="1" x14ac:dyDescent="0.25">
      <c r="A193" s="14">
        <v>45993</v>
      </c>
      <c r="B193" s="15" t="s">
        <v>434</v>
      </c>
      <c r="C193" s="15" t="s">
        <v>29</v>
      </c>
      <c r="D193" s="15" t="s">
        <v>1666</v>
      </c>
      <c r="E193" s="16">
        <v>322293</v>
      </c>
      <c r="F193" s="16">
        <v>322293</v>
      </c>
      <c r="G193" s="15">
        <v>210</v>
      </c>
      <c r="H193" s="15" t="s">
        <v>323</v>
      </c>
      <c r="I193" s="23">
        <v>322293</v>
      </c>
    </row>
    <row r="194" spans="1:9" s="17" customFormat="1" x14ac:dyDescent="0.25">
      <c r="A194" s="14">
        <v>46000</v>
      </c>
      <c r="B194" s="15" t="s">
        <v>436</v>
      </c>
      <c r="C194" s="15" t="s">
        <v>129</v>
      </c>
      <c r="D194" s="15" t="s">
        <v>280</v>
      </c>
      <c r="E194" s="16">
        <v>1031733</v>
      </c>
      <c r="F194" s="16">
        <v>231733</v>
      </c>
      <c r="G194" s="15">
        <v>203</v>
      </c>
      <c r="H194" s="15" t="s">
        <v>323</v>
      </c>
      <c r="I194" s="23">
        <v>231733</v>
      </c>
    </row>
    <row r="195" spans="1:9" s="17" customFormat="1" x14ac:dyDescent="0.25">
      <c r="A195" s="14">
        <v>46000</v>
      </c>
      <c r="B195" s="15" t="s">
        <v>437</v>
      </c>
      <c r="C195" s="15" t="s">
        <v>151</v>
      </c>
      <c r="D195" s="15" t="s">
        <v>1666</v>
      </c>
      <c r="E195" s="16">
        <v>78487.5</v>
      </c>
      <c r="F195" s="16">
        <v>78487.5</v>
      </c>
      <c r="G195" s="15">
        <v>203</v>
      </c>
      <c r="H195" s="15" t="s">
        <v>323</v>
      </c>
      <c r="I195" s="23">
        <v>78487.5</v>
      </c>
    </row>
    <row r="196" spans="1:9" s="17" customFormat="1" x14ac:dyDescent="0.25">
      <c r="A196" s="14">
        <v>46002</v>
      </c>
      <c r="B196" s="15" t="s">
        <v>438</v>
      </c>
      <c r="C196" s="15" t="s">
        <v>29</v>
      </c>
      <c r="D196" s="15" t="s">
        <v>1666</v>
      </c>
      <c r="E196" s="16">
        <v>334624</v>
      </c>
      <c r="F196" s="16">
        <v>334624</v>
      </c>
      <c r="G196" s="15">
        <v>201</v>
      </c>
      <c r="H196" s="15" t="s">
        <v>323</v>
      </c>
      <c r="I196" s="23">
        <v>334624</v>
      </c>
    </row>
    <row r="197" spans="1:9" s="17" customFormat="1" x14ac:dyDescent="0.25">
      <c r="A197" s="14">
        <v>46007</v>
      </c>
      <c r="B197" s="15" t="s">
        <v>439</v>
      </c>
      <c r="C197" s="15" t="s">
        <v>151</v>
      </c>
      <c r="D197" s="15" t="s">
        <v>1666</v>
      </c>
      <c r="E197" s="16">
        <v>78487.5</v>
      </c>
      <c r="F197" s="16">
        <v>78487.5</v>
      </c>
      <c r="G197" s="15">
        <v>196</v>
      </c>
      <c r="H197" s="15" t="s">
        <v>323</v>
      </c>
      <c r="I197" s="23">
        <v>78487.5</v>
      </c>
    </row>
    <row r="198" spans="1:9" s="17" customFormat="1" x14ac:dyDescent="0.25">
      <c r="A198" s="14">
        <v>46009</v>
      </c>
      <c r="B198" s="15" t="s">
        <v>440</v>
      </c>
      <c r="C198" s="15" t="s">
        <v>29</v>
      </c>
      <c r="D198" s="15" t="s">
        <v>347</v>
      </c>
      <c r="E198" s="16">
        <v>329432</v>
      </c>
      <c r="F198" s="16">
        <v>329432</v>
      </c>
      <c r="G198" s="15">
        <v>194</v>
      </c>
      <c r="H198" s="15" t="s">
        <v>323</v>
      </c>
      <c r="I198" s="23">
        <v>329432</v>
      </c>
    </row>
    <row r="199" spans="1:9" s="17" customFormat="1" x14ac:dyDescent="0.25">
      <c r="A199" s="14">
        <v>46011</v>
      </c>
      <c r="B199" s="15" t="s">
        <v>441</v>
      </c>
      <c r="C199" s="15" t="s">
        <v>151</v>
      </c>
      <c r="D199" s="15" t="s">
        <v>1666</v>
      </c>
      <c r="E199" s="16">
        <v>47092.5</v>
      </c>
      <c r="F199" s="16">
        <v>47092.5</v>
      </c>
      <c r="G199" s="15">
        <v>192</v>
      </c>
      <c r="H199" s="15" t="s">
        <v>323</v>
      </c>
      <c r="I199" s="23">
        <v>47092.5</v>
      </c>
    </row>
    <row r="200" spans="1:9" s="17" customFormat="1" x14ac:dyDescent="0.25">
      <c r="A200" s="14">
        <v>46020</v>
      </c>
      <c r="B200" s="15" t="s">
        <v>442</v>
      </c>
      <c r="C200" s="15" t="s">
        <v>29</v>
      </c>
      <c r="D200" s="15" t="s">
        <v>1666</v>
      </c>
      <c r="E200" s="16">
        <v>403418</v>
      </c>
      <c r="F200" s="16">
        <v>403418</v>
      </c>
      <c r="G200" s="15">
        <v>183</v>
      </c>
      <c r="H200" s="15" t="s">
        <v>323</v>
      </c>
      <c r="I200" s="23">
        <v>403418</v>
      </c>
    </row>
    <row r="201" spans="1:9" s="17" customFormat="1" x14ac:dyDescent="0.25">
      <c r="A201" s="14">
        <v>46020</v>
      </c>
      <c r="B201" s="15" t="s">
        <v>443</v>
      </c>
      <c r="C201" s="15" t="s">
        <v>146</v>
      </c>
      <c r="D201" s="15" t="s">
        <v>1666</v>
      </c>
      <c r="E201" s="16">
        <v>5000000</v>
      </c>
      <c r="F201" s="16">
        <v>5000000</v>
      </c>
      <c r="G201" s="15">
        <v>183</v>
      </c>
      <c r="H201" s="15" t="s">
        <v>323</v>
      </c>
      <c r="I201" s="23">
        <v>5000000</v>
      </c>
    </row>
    <row r="202" spans="1:9" s="17" customFormat="1" x14ac:dyDescent="0.25">
      <c r="A202" s="14">
        <v>46020</v>
      </c>
      <c r="B202" s="15" t="s">
        <v>444</v>
      </c>
      <c r="C202" s="15" t="s">
        <v>151</v>
      </c>
      <c r="D202" s="15" t="s">
        <v>1666</v>
      </c>
      <c r="E202" s="16">
        <v>156975</v>
      </c>
      <c r="F202" s="16">
        <v>156975</v>
      </c>
      <c r="G202" s="15">
        <v>183</v>
      </c>
      <c r="H202" s="15" t="s">
        <v>323</v>
      </c>
      <c r="I202" s="23">
        <v>156975</v>
      </c>
    </row>
    <row r="203" spans="1:9" s="17" customFormat="1" x14ac:dyDescent="0.25">
      <c r="A203" s="14">
        <v>46020</v>
      </c>
      <c r="B203" s="15" t="s">
        <v>445</v>
      </c>
      <c r="C203" s="15" t="s">
        <v>151</v>
      </c>
      <c r="D203" s="15" t="s">
        <v>1666</v>
      </c>
      <c r="E203" s="16">
        <v>78487.5</v>
      </c>
      <c r="F203" s="16">
        <v>78487.5</v>
      </c>
      <c r="G203" s="15">
        <v>183</v>
      </c>
      <c r="H203" s="15" t="s">
        <v>323</v>
      </c>
      <c r="I203" s="23">
        <v>78487.5</v>
      </c>
    </row>
    <row r="204" spans="1:9" s="17" customFormat="1" x14ac:dyDescent="0.25">
      <c r="A204" s="14">
        <v>46022</v>
      </c>
      <c r="B204" s="15" t="s">
        <v>446</v>
      </c>
      <c r="C204" s="15" t="s">
        <v>22</v>
      </c>
      <c r="D204" s="15" t="s">
        <v>1666</v>
      </c>
      <c r="E204" s="16">
        <v>413287.38</v>
      </c>
      <c r="F204" s="16">
        <v>413287.38</v>
      </c>
      <c r="G204" s="15">
        <v>181</v>
      </c>
      <c r="H204" s="15" t="s">
        <v>323</v>
      </c>
      <c r="I204" s="23">
        <v>413287.38</v>
      </c>
    </row>
    <row r="205" spans="1:9" s="17" customFormat="1" x14ac:dyDescent="0.25">
      <c r="A205" s="14">
        <v>46022</v>
      </c>
      <c r="B205" s="15" t="s">
        <v>447</v>
      </c>
      <c r="C205" s="15" t="s">
        <v>22</v>
      </c>
      <c r="D205" s="15" t="s">
        <v>1666</v>
      </c>
      <c r="E205" s="16">
        <v>258691.14</v>
      </c>
      <c r="F205" s="16">
        <v>258691.14</v>
      </c>
      <c r="G205" s="15">
        <v>181</v>
      </c>
      <c r="H205" s="15" t="s">
        <v>323</v>
      </c>
      <c r="I205" s="23">
        <v>258691.14</v>
      </c>
    </row>
    <row r="206" spans="1:9" s="17" customFormat="1" x14ac:dyDescent="0.25">
      <c r="A206" s="14">
        <v>46022</v>
      </c>
      <c r="B206" s="15" t="s">
        <v>448</v>
      </c>
      <c r="C206" s="15" t="s">
        <v>143</v>
      </c>
      <c r="D206" s="15" t="s">
        <v>1666</v>
      </c>
      <c r="E206" s="16">
        <v>42480</v>
      </c>
      <c r="F206" s="16">
        <v>42480</v>
      </c>
      <c r="G206" s="15">
        <v>181</v>
      </c>
      <c r="H206" s="15" t="s">
        <v>323</v>
      </c>
      <c r="I206" s="23">
        <v>42480</v>
      </c>
    </row>
    <row r="207" spans="1:9" s="17" customFormat="1" x14ac:dyDescent="0.25">
      <c r="A207" s="14">
        <v>46022</v>
      </c>
      <c r="B207" s="15" t="s">
        <v>449</v>
      </c>
      <c r="C207" s="15" t="s">
        <v>143</v>
      </c>
      <c r="D207" s="15" t="s">
        <v>1666</v>
      </c>
      <c r="E207" s="16">
        <v>42480</v>
      </c>
      <c r="F207" s="16">
        <v>42480</v>
      </c>
      <c r="G207" s="15">
        <v>181</v>
      </c>
      <c r="H207" s="15" t="s">
        <v>323</v>
      </c>
      <c r="I207" s="23">
        <v>42480</v>
      </c>
    </row>
    <row r="208" spans="1:9" s="17" customFormat="1" x14ac:dyDescent="0.25">
      <c r="A208" s="14">
        <v>46022</v>
      </c>
      <c r="B208" s="15" t="s">
        <v>450</v>
      </c>
      <c r="C208" s="15" t="s">
        <v>143</v>
      </c>
      <c r="D208" s="15" t="s">
        <v>1666</v>
      </c>
      <c r="E208" s="16">
        <v>42480</v>
      </c>
      <c r="F208" s="16">
        <v>42480</v>
      </c>
      <c r="G208" s="15">
        <v>181</v>
      </c>
      <c r="H208" s="15" t="s">
        <v>323</v>
      </c>
      <c r="I208" s="23">
        <v>42480</v>
      </c>
    </row>
    <row r="209" spans="1:9" s="17" customFormat="1" x14ac:dyDescent="0.25">
      <c r="A209" s="14">
        <v>46022</v>
      </c>
      <c r="B209" s="15" t="s">
        <v>451</v>
      </c>
      <c r="C209" s="15" t="s">
        <v>146</v>
      </c>
      <c r="D209" s="15" t="s">
        <v>1666</v>
      </c>
      <c r="E209" s="16">
        <v>985730</v>
      </c>
      <c r="F209" s="16">
        <v>985730</v>
      </c>
      <c r="G209" s="15">
        <v>181</v>
      </c>
      <c r="H209" s="15" t="s">
        <v>323</v>
      </c>
      <c r="I209" s="23">
        <v>985730</v>
      </c>
    </row>
    <row r="210" spans="1:9" s="17" customFormat="1" x14ac:dyDescent="0.25">
      <c r="A210" s="14">
        <v>46022</v>
      </c>
      <c r="B210" s="15" t="s">
        <v>452</v>
      </c>
      <c r="C210" s="15" t="s">
        <v>147</v>
      </c>
      <c r="D210" s="15" t="s">
        <v>1666</v>
      </c>
      <c r="E210" s="16">
        <v>375991.9</v>
      </c>
      <c r="F210" s="16">
        <v>375991.9</v>
      </c>
      <c r="G210" s="15">
        <v>181</v>
      </c>
      <c r="H210" s="15" t="s">
        <v>323</v>
      </c>
      <c r="I210" s="23">
        <v>375991.9</v>
      </c>
    </row>
    <row r="211" spans="1:9" s="17" customFormat="1" x14ac:dyDescent="0.25">
      <c r="A211" s="14">
        <v>46022</v>
      </c>
      <c r="B211" s="15" t="s">
        <v>453</v>
      </c>
      <c r="C211" s="15" t="s">
        <v>147</v>
      </c>
      <c r="D211" s="15" t="s">
        <v>1666</v>
      </c>
      <c r="E211" s="16">
        <v>470229.6</v>
      </c>
      <c r="F211" s="16">
        <v>470229.6</v>
      </c>
      <c r="G211" s="15">
        <v>181</v>
      </c>
      <c r="H211" s="15" t="s">
        <v>323</v>
      </c>
      <c r="I211" s="23">
        <v>470229.6</v>
      </c>
    </row>
    <row r="212" spans="1:9" s="17" customFormat="1" x14ac:dyDescent="0.25">
      <c r="A212" s="14">
        <v>46022</v>
      </c>
      <c r="B212" s="15" t="s">
        <v>454</v>
      </c>
      <c r="C212" s="15" t="s">
        <v>147</v>
      </c>
      <c r="D212" s="15" t="s">
        <v>1666</v>
      </c>
      <c r="E212" s="16">
        <v>22680</v>
      </c>
      <c r="F212" s="16">
        <v>19100.88</v>
      </c>
      <c r="G212" s="15">
        <v>181</v>
      </c>
      <c r="H212" s="15" t="s">
        <v>323</v>
      </c>
      <c r="I212" s="23">
        <v>19100.88</v>
      </c>
    </row>
    <row r="213" spans="1:9" s="17" customFormat="1" x14ac:dyDescent="0.25">
      <c r="A213" s="14">
        <v>46022</v>
      </c>
      <c r="B213" s="15" t="s">
        <v>455</v>
      </c>
      <c r="C213" s="15" t="s">
        <v>151</v>
      </c>
      <c r="D213" s="15" t="s">
        <v>1666</v>
      </c>
      <c r="E213" s="16">
        <v>78487.5</v>
      </c>
      <c r="F213" s="16">
        <v>78487.5</v>
      </c>
      <c r="G213" s="15">
        <v>181</v>
      </c>
      <c r="H213" s="15" t="s">
        <v>323</v>
      </c>
      <c r="I213" s="23">
        <v>78487.5</v>
      </c>
    </row>
    <row r="214" spans="1:9" s="17" customFormat="1" x14ac:dyDescent="0.25">
      <c r="A214" s="14">
        <v>46022</v>
      </c>
      <c r="B214" s="15" t="s">
        <v>456</v>
      </c>
      <c r="C214" s="15" t="s">
        <v>151</v>
      </c>
      <c r="D214" s="15" t="s">
        <v>1666</v>
      </c>
      <c r="E214" s="16">
        <v>180521.26</v>
      </c>
      <c r="F214" s="16">
        <v>180521.26</v>
      </c>
      <c r="G214" s="15">
        <v>181</v>
      </c>
      <c r="H214" s="15" t="s">
        <v>323</v>
      </c>
      <c r="I214" s="23">
        <v>180521.26</v>
      </c>
    </row>
    <row r="215" spans="1:9" s="17" customFormat="1" x14ac:dyDescent="0.25">
      <c r="A215" s="14">
        <v>46022</v>
      </c>
      <c r="B215" s="15" t="s">
        <v>457</v>
      </c>
      <c r="C215" s="15" t="s">
        <v>151</v>
      </c>
      <c r="D215" s="15" t="s">
        <v>1666</v>
      </c>
      <c r="E215" s="16">
        <v>47092.5</v>
      </c>
      <c r="F215" s="16">
        <v>47092.5</v>
      </c>
      <c r="G215" s="15">
        <v>181</v>
      </c>
      <c r="H215" s="15" t="s">
        <v>323</v>
      </c>
      <c r="I215" s="23">
        <v>47092.5</v>
      </c>
    </row>
    <row r="216" spans="1:9" s="17" customFormat="1" x14ac:dyDescent="0.25">
      <c r="A216" s="14">
        <v>46022</v>
      </c>
      <c r="B216" s="15" t="s">
        <v>458</v>
      </c>
      <c r="C216" s="15" t="s">
        <v>151</v>
      </c>
      <c r="D216" s="15" t="s">
        <v>1666</v>
      </c>
      <c r="E216" s="16">
        <v>156975</v>
      </c>
      <c r="F216" s="16">
        <v>156975</v>
      </c>
      <c r="G216" s="15">
        <v>181</v>
      </c>
      <c r="H216" s="15" t="s">
        <v>323</v>
      </c>
      <c r="I216" s="23">
        <v>156975</v>
      </c>
    </row>
    <row r="217" spans="1:9" s="17" customFormat="1" x14ac:dyDescent="0.25">
      <c r="A217" s="14">
        <v>46022</v>
      </c>
      <c r="B217" s="15" t="s">
        <v>459</v>
      </c>
      <c r="C217" s="15" t="s">
        <v>151</v>
      </c>
      <c r="D217" s="15" t="s">
        <v>1666</v>
      </c>
      <c r="E217" s="16">
        <v>350839.12</v>
      </c>
      <c r="F217" s="16">
        <v>350839.12</v>
      </c>
      <c r="G217" s="15">
        <v>181</v>
      </c>
      <c r="H217" s="15" t="s">
        <v>323</v>
      </c>
      <c r="I217" s="23">
        <v>350839.12</v>
      </c>
    </row>
    <row r="218" spans="1:9" s="17" customFormat="1" x14ac:dyDescent="0.25">
      <c r="A218" s="14">
        <v>46022</v>
      </c>
      <c r="B218" s="15" t="s">
        <v>460</v>
      </c>
      <c r="C218" s="15" t="s">
        <v>461</v>
      </c>
      <c r="D218" s="15" t="s">
        <v>1666</v>
      </c>
      <c r="E218" s="16">
        <v>46135.360000000001</v>
      </c>
      <c r="F218" s="16">
        <v>46135.360000000001</v>
      </c>
      <c r="G218" s="15">
        <v>181</v>
      </c>
      <c r="H218" s="15" t="s">
        <v>323</v>
      </c>
      <c r="I218" s="23">
        <v>-46135.360000000001</v>
      </c>
    </row>
    <row r="219" spans="1:9" s="17" customFormat="1" x14ac:dyDescent="0.25">
      <c r="A219" s="14">
        <v>46022</v>
      </c>
      <c r="B219" s="15" t="s">
        <v>462</v>
      </c>
      <c r="C219" s="15" t="s">
        <v>157</v>
      </c>
      <c r="D219" s="15" t="s">
        <v>1666</v>
      </c>
      <c r="E219" s="16">
        <v>1537000</v>
      </c>
      <c r="F219" s="16">
        <v>1537000</v>
      </c>
      <c r="G219" s="15">
        <v>181</v>
      </c>
      <c r="H219" s="15" t="s">
        <v>323</v>
      </c>
      <c r="I219" s="23">
        <v>1537000</v>
      </c>
    </row>
    <row r="220" spans="1:9" s="17" customFormat="1" x14ac:dyDescent="0.25">
      <c r="A220" s="14">
        <v>46022</v>
      </c>
      <c r="B220" s="15" t="s">
        <v>463</v>
      </c>
      <c r="C220" s="15" t="s">
        <v>157</v>
      </c>
      <c r="D220" s="15" t="s">
        <v>1666</v>
      </c>
      <c r="E220" s="16">
        <v>1537000</v>
      </c>
      <c r="F220" s="16">
        <v>1537000</v>
      </c>
      <c r="G220" s="15">
        <v>181</v>
      </c>
      <c r="H220" s="15" t="s">
        <v>323</v>
      </c>
      <c r="I220" s="23">
        <v>1537000</v>
      </c>
    </row>
    <row r="221" spans="1:9" s="17" customFormat="1" x14ac:dyDescent="0.25">
      <c r="A221" s="14">
        <v>46022</v>
      </c>
      <c r="B221" s="15" t="s">
        <v>464</v>
      </c>
      <c r="C221" s="15" t="s">
        <v>186</v>
      </c>
      <c r="D221" s="15" t="s">
        <v>1666</v>
      </c>
      <c r="E221" s="16">
        <v>412960</v>
      </c>
      <c r="F221" s="16">
        <v>412960</v>
      </c>
      <c r="G221" s="15">
        <v>181</v>
      </c>
      <c r="H221" s="15" t="s">
        <v>323</v>
      </c>
      <c r="I221" s="23">
        <v>412960</v>
      </c>
    </row>
    <row r="222" spans="1:9" s="17" customFormat="1" x14ac:dyDescent="0.25">
      <c r="A222" s="14">
        <v>46022</v>
      </c>
      <c r="B222" s="15" t="s">
        <v>465</v>
      </c>
      <c r="C222" s="15" t="s">
        <v>193</v>
      </c>
      <c r="D222" s="15" t="s">
        <v>1666</v>
      </c>
      <c r="E222" s="16">
        <v>125155.8</v>
      </c>
      <c r="F222" s="16">
        <v>125155.8</v>
      </c>
      <c r="G222" s="15">
        <v>181</v>
      </c>
      <c r="H222" s="15" t="s">
        <v>323</v>
      </c>
      <c r="I222" s="23">
        <v>125155.8</v>
      </c>
    </row>
    <row r="223" spans="1:9" s="17" customFormat="1" x14ac:dyDescent="0.25">
      <c r="A223" s="14">
        <v>46023</v>
      </c>
      <c r="B223" s="15" t="s">
        <v>466</v>
      </c>
      <c r="C223" s="15" t="s">
        <v>157</v>
      </c>
      <c r="D223" s="15" t="s">
        <v>1666</v>
      </c>
      <c r="E223" s="16">
        <v>31752</v>
      </c>
      <c r="F223" s="16">
        <v>31752</v>
      </c>
      <c r="G223" s="15">
        <v>180</v>
      </c>
      <c r="H223" s="15" t="s">
        <v>435</v>
      </c>
      <c r="I223" s="23">
        <v>31752</v>
      </c>
    </row>
    <row r="224" spans="1:9" s="17" customFormat="1" x14ac:dyDescent="0.25">
      <c r="A224" s="14">
        <v>46023</v>
      </c>
      <c r="B224" s="15" t="s">
        <v>468</v>
      </c>
      <c r="C224" s="15" t="s">
        <v>157</v>
      </c>
      <c r="D224" s="15" t="s">
        <v>1666</v>
      </c>
      <c r="E224" s="16">
        <v>16247.58</v>
      </c>
      <c r="F224" s="16">
        <v>16247.58</v>
      </c>
      <c r="G224" s="15">
        <v>180</v>
      </c>
      <c r="H224" s="15" t="s">
        <v>435</v>
      </c>
      <c r="I224" s="23">
        <v>16247.58</v>
      </c>
    </row>
    <row r="225" spans="1:9" s="17" customFormat="1" x14ac:dyDescent="0.25">
      <c r="A225" s="14">
        <v>46023</v>
      </c>
      <c r="B225" s="15" t="s">
        <v>469</v>
      </c>
      <c r="C225" s="15" t="s">
        <v>157</v>
      </c>
      <c r="D225" s="15" t="s">
        <v>1666</v>
      </c>
      <c r="E225" s="16">
        <v>17106.96</v>
      </c>
      <c r="F225" s="16">
        <v>17106.96</v>
      </c>
      <c r="G225" s="15">
        <v>180</v>
      </c>
      <c r="H225" s="15" t="s">
        <v>435</v>
      </c>
      <c r="I225" s="23">
        <v>17106.96</v>
      </c>
    </row>
    <row r="226" spans="1:9" s="17" customFormat="1" x14ac:dyDescent="0.25">
      <c r="A226" s="14">
        <v>46023</v>
      </c>
      <c r="B226" s="15" t="s">
        <v>470</v>
      </c>
      <c r="C226" s="15" t="s">
        <v>157</v>
      </c>
      <c r="D226" s="15" t="s">
        <v>1666</v>
      </c>
      <c r="E226" s="16">
        <v>26536</v>
      </c>
      <c r="F226" s="16">
        <v>26536</v>
      </c>
      <c r="G226" s="15">
        <v>180</v>
      </c>
      <c r="H226" s="15" t="s">
        <v>435</v>
      </c>
      <c r="I226" s="23">
        <v>26536</v>
      </c>
    </row>
    <row r="227" spans="1:9" s="17" customFormat="1" x14ac:dyDescent="0.25">
      <c r="A227" s="14">
        <v>46023</v>
      </c>
      <c r="B227" s="15" t="s">
        <v>471</v>
      </c>
      <c r="C227" s="15" t="s">
        <v>157</v>
      </c>
      <c r="D227" s="15" t="s">
        <v>1666</v>
      </c>
      <c r="E227" s="16">
        <v>28539</v>
      </c>
      <c r="F227" s="16">
        <v>28539</v>
      </c>
      <c r="G227" s="15">
        <v>180</v>
      </c>
      <c r="H227" s="15" t="s">
        <v>435</v>
      </c>
      <c r="I227" s="23">
        <v>28539</v>
      </c>
    </row>
    <row r="228" spans="1:9" s="17" customFormat="1" x14ac:dyDescent="0.25">
      <c r="A228" s="14">
        <v>46023</v>
      </c>
      <c r="B228" s="15" t="s">
        <v>472</v>
      </c>
      <c r="C228" s="15" t="s">
        <v>157</v>
      </c>
      <c r="D228" s="15" t="s">
        <v>1666</v>
      </c>
      <c r="E228" s="16">
        <v>31826</v>
      </c>
      <c r="F228" s="16">
        <v>31826</v>
      </c>
      <c r="G228" s="15">
        <v>180</v>
      </c>
      <c r="H228" s="15" t="s">
        <v>435</v>
      </c>
      <c r="I228" s="23">
        <v>31826</v>
      </c>
    </row>
    <row r="229" spans="1:9" s="17" customFormat="1" x14ac:dyDescent="0.25">
      <c r="A229" s="14">
        <v>46023</v>
      </c>
      <c r="B229" s="15" t="s">
        <v>473</v>
      </c>
      <c r="C229" s="15" t="s">
        <v>157</v>
      </c>
      <c r="D229" s="15" t="s">
        <v>1666</v>
      </c>
      <c r="E229" s="16">
        <v>30157</v>
      </c>
      <c r="F229" s="16">
        <v>30157</v>
      </c>
      <c r="G229" s="15">
        <v>180</v>
      </c>
      <c r="H229" s="15" t="s">
        <v>435</v>
      </c>
      <c r="I229" s="23">
        <v>30157</v>
      </c>
    </row>
    <row r="230" spans="1:9" s="17" customFormat="1" x14ac:dyDescent="0.25">
      <c r="A230" s="14">
        <v>46023</v>
      </c>
      <c r="B230" s="15" t="s">
        <v>474</v>
      </c>
      <c r="C230" s="15" t="s">
        <v>157</v>
      </c>
      <c r="D230" s="15" t="s">
        <v>1666</v>
      </c>
      <c r="E230" s="16">
        <v>34251</v>
      </c>
      <c r="F230" s="16">
        <v>34251</v>
      </c>
      <c r="G230" s="15">
        <v>180</v>
      </c>
      <c r="H230" s="15" t="s">
        <v>435</v>
      </c>
      <c r="I230" s="23">
        <v>34251</v>
      </c>
    </row>
    <row r="231" spans="1:9" s="17" customFormat="1" x14ac:dyDescent="0.25">
      <c r="A231" s="14">
        <v>46023</v>
      </c>
      <c r="B231" s="15" t="s">
        <v>475</v>
      </c>
      <c r="C231" s="15" t="s">
        <v>157</v>
      </c>
      <c r="D231" s="15" t="s">
        <v>1666</v>
      </c>
      <c r="E231" s="16">
        <v>26975</v>
      </c>
      <c r="F231" s="16">
        <v>26975</v>
      </c>
      <c r="G231" s="15">
        <v>180</v>
      </c>
      <c r="H231" s="15" t="s">
        <v>435</v>
      </c>
      <c r="I231" s="23">
        <v>26975</v>
      </c>
    </row>
    <row r="232" spans="1:9" s="17" customFormat="1" x14ac:dyDescent="0.25">
      <c r="A232" s="14">
        <v>46023</v>
      </c>
      <c r="B232" s="15" t="s">
        <v>476</v>
      </c>
      <c r="C232" s="15" t="s">
        <v>157</v>
      </c>
      <c r="D232" s="15" t="s">
        <v>1666</v>
      </c>
      <c r="E232" s="16">
        <v>30885</v>
      </c>
      <c r="F232" s="16">
        <v>30885</v>
      </c>
      <c r="G232" s="15">
        <v>180</v>
      </c>
      <c r="H232" s="15" t="s">
        <v>435</v>
      </c>
      <c r="I232" s="23">
        <v>30885</v>
      </c>
    </row>
    <row r="233" spans="1:9" s="17" customFormat="1" x14ac:dyDescent="0.25">
      <c r="A233" s="14">
        <v>46023</v>
      </c>
      <c r="B233" s="15" t="s">
        <v>477</v>
      </c>
      <c r="C233" s="15" t="s">
        <v>157</v>
      </c>
      <c r="D233" s="15" t="s">
        <v>1666</v>
      </c>
      <c r="E233" s="16">
        <v>16679.740000000002</v>
      </c>
      <c r="F233" s="16">
        <v>16679.740000000002</v>
      </c>
      <c r="G233" s="15">
        <v>180</v>
      </c>
      <c r="H233" s="15" t="s">
        <v>435</v>
      </c>
      <c r="I233" s="23">
        <v>16679.740000000002</v>
      </c>
    </row>
    <row r="234" spans="1:9" s="17" customFormat="1" x14ac:dyDescent="0.25">
      <c r="A234" s="14">
        <v>46023</v>
      </c>
      <c r="B234" s="15" t="s">
        <v>478</v>
      </c>
      <c r="C234" s="15" t="s">
        <v>157</v>
      </c>
      <c r="D234" s="15" t="s">
        <v>1666</v>
      </c>
      <c r="E234" s="16">
        <v>17938.84</v>
      </c>
      <c r="F234" s="16">
        <v>17938.84</v>
      </c>
      <c r="G234" s="15">
        <v>180</v>
      </c>
      <c r="H234" s="15" t="s">
        <v>435</v>
      </c>
      <c r="I234" s="23">
        <v>17938.84</v>
      </c>
    </row>
    <row r="235" spans="1:9" s="17" customFormat="1" x14ac:dyDescent="0.25">
      <c r="A235" s="14">
        <v>46023</v>
      </c>
      <c r="B235" s="15" t="s">
        <v>479</v>
      </c>
      <c r="C235" s="15" t="s">
        <v>157</v>
      </c>
      <c r="D235" s="15" t="s">
        <v>1666</v>
      </c>
      <c r="E235" s="16">
        <v>17147.240000000002</v>
      </c>
      <c r="F235" s="16">
        <v>17147.240000000002</v>
      </c>
      <c r="G235" s="15">
        <v>180</v>
      </c>
      <c r="H235" s="15" t="s">
        <v>435</v>
      </c>
      <c r="I235" s="23">
        <v>17147.240000000002</v>
      </c>
    </row>
    <row r="236" spans="1:9" s="17" customFormat="1" x14ac:dyDescent="0.25">
      <c r="A236" s="14">
        <v>46023</v>
      </c>
      <c r="B236" s="15" t="s">
        <v>480</v>
      </c>
      <c r="C236" s="15" t="s">
        <v>157</v>
      </c>
      <c r="D236" s="15" t="s">
        <v>1666</v>
      </c>
      <c r="E236" s="16">
        <v>18453.48</v>
      </c>
      <c r="F236" s="16">
        <v>18453.48</v>
      </c>
      <c r="G236" s="15">
        <v>180</v>
      </c>
      <c r="H236" s="15" t="s">
        <v>435</v>
      </c>
      <c r="I236" s="23">
        <v>18453.48</v>
      </c>
    </row>
    <row r="237" spans="1:9" s="17" customFormat="1" x14ac:dyDescent="0.25">
      <c r="A237" s="14">
        <v>46023</v>
      </c>
      <c r="B237" s="15" t="s">
        <v>481</v>
      </c>
      <c r="C237" s="15" t="s">
        <v>157</v>
      </c>
      <c r="D237" s="15" t="s">
        <v>1666</v>
      </c>
      <c r="E237" s="16">
        <v>14532.76</v>
      </c>
      <c r="F237" s="16">
        <v>14532.76</v>
      </c>
      <c r="G237" s="15">
        <v>180</v>
      </c>
      <c r="H237" s="15" t="s">
        <v>435</v>
      </c>
      <c r="I237" s="23">
        <v>14532.76</v>
      </c>
    </row>
    <row r="238" spans="1:9" s="17" customFormat="1" x14ac:dyDescent="0.25">
      <c r="A238" s="14">
        <v>46023</v>
      </c>
      <c r="B238" s="15" t="s">
        <v>482</v>
      </c>
      <c r="C238" s="15" t="s">
        <v>157</v>
      </c>
      <c r="D238" s="15" t="s">
        <v>1666</v>
      </c>
      <c r="E238" s="16">
        <v>16639.46</v>
      </c>
      <c r="F238" s="16">
        <v>16639.46</v>
      </c>
      <c r="G238" s="15">
        <v>180</v>
      </c>
      <c r="H238" s="15" t="s">
        <v>435</v>
      </c>
      <c r="I238" s="23">
        <v>16639.46</v>
      </c>
    </row>
    <row r="239" spans="1:9" s="17" customFormat="1" x14ac:dyDescent="0.25">
      <c r="A239" s="14">
        <v>46026</v>
      </c>
      <c r="B239" s="15" t="s">
        <v>483</v>
      </c>
      <c r="C239" s="15" t="s">
        <v>29</v>
      </c>
      <c r="D239" s="15" t="s">
        <v>1666</v>
      </c>
      <c r="E239" s="16">
        <v>358637</v>
      </c>
      <c r="F239" s="16">
        <v>358637</v>
      </c>
      <c r="G239" s="15">
        <v>177</v>
      </c>
      <c r="H239" s="15" t="s">
        <v>435</v>
      </c>
      <c r="I239" s="23">
        <v>358637</v>
      </c>
    </row>
    <row r="240" spans="1:9" s="17" customFormat="1" x14ac:dyDescent="0.25">
      <c r="A240" s="14">
        <v>46026</v>
      </c>
      <c r="B240" s="15" t="s">
        <v>484</v>
      </c>
      <c r="C240" s="15" t="s">
        <v>29</v>
      </c>
      <c r="D240" s="15" t="s">
        <v>1666</v>
      </c>
      <c r="E240" s="16">
        <v>462607</v>
      </c>
      <c r="F240" s="16">
        <v>462607</v>
      </c>
      <c r="G240" s="15">
        <v>177</v>
      </c>
      <c r="H240" s="15" t="s">
        <v>435</v>
      </c>
      <c r="I240" s="23">
        <v>462607</v>
      </c>
    </row>
    <row r="241" spans="1:9" s="17" customFormat="1" x14ac:dyDescent="0.25">
      <c r="A241" s="14">
        <v>46031</v>
      </c>
      <c r="B241" s="15" t="s">
        <v>485</v>
      </c>
      <c r="C241" s="15" t="s">
        <v>29</v>
      </c>
      <c r="D241" s="15" t="s">
        <v>306</v>
      </c>
      <c r="E241" s="16">
        <v>346566</v>
      </c>
      <c r="F241" s="16">
        <v>346566</v>
      </c>
      <c r="G241" s="15">
        <v>172</v>
      </c>
      <c r="H241" s="15" t="s">
        <v>435</v>
      </c>
      <c r="I241" s="23">
        <v>346566</v>
      </c>
    </row>
    <row r="242" spans="1:9" s="17" customFormat="1" x14ac:dyDescent="0.25">
      <c r="A242" s="14">
        <v>46032</v>
      </c>
      <c r="B242" s="15" t="s">
        <v>486</v>
      </c>
      <c r="C242" s="15" t="s">
        <v>109</v>
      </c>
      <c r="D242" s="15" t="s">
        <v>335</v>
      </c>
      <c r="E242" s="16">
        <v>486261.3</v>
      </c>
      <c r="F242" s="16">
        <v>186261.3</v>
      </c>
      <c r="G242" s="15">
        <v>171</v>
      </c>
      <c r="H242" s="15" t="s">
        <v>435</v>
      </c>
      <c r="I242" s="23">
        <v>186261.3</v>
      </c>
    </row>
    <row r="243" spans="1:9" s="17" customFormat="1" x14ac:dyDescent="0.25">
      <c r="A243" s="14">
        <v>46037</v>
      </c>
      <c r="B243" s="15" t="s">
        <v>487</v>
      </c>
      <c r="C243" s="15" t="s">
        <v>31</v>
      </c>
      <c r="D243" s="15" t="s">
        <v>306</v>
      </c>
      <c r="E243" s="16">
        <v>250000</v>
      </c>
      <c r="F243" s="16">
        <v>187920</v>
      </c>
      <c r="G243" s="15">
        <v>166</v>
      </c>
      <c r="H243" s="15" t="s">
        <v>435</v>
      </c>
      <c r="I243" s="23">
        <v>-187920</v>
      </c>
    </row>
    <row r="244" spans="1:9" s="17" customFormat="1" x14ac:dyDescent="0.25">
      <c r="A244" s="14">
        <v>46039</v>
      </c>
      <c r="B244" s="15" t="s">
        <v>488</v>
      </c>
      <c r="C244" s="15" t="s">
        <v>151</v>
      </c>
      <c r="D244" s="15" t="s">
        <v>1666</v>
      </c>
      <c r="E244" s="16">
        <v>486622.5</v>
      </c>
      <c r="F244" s="16">
        <v>486622.5</v>
      </c>
      <c r="G244" s="15">
        <v>164</v>
      </c>
      <c r="H244" s="15" t="s">
        <v>435</v>
      </c>
      <c r="I244" s="23">
        <v>486622.5</v>
      </c>
    </row>
    <row r="245" spans="1:9" s="17" customFormat="1" x14ac:dyDescent="0.25">
      <c r="A245" s="14">
        <v>46053</v>
      </c>
      <c r="B245" s="15" t="s">
        <v>489</v>
      </c>
      <c r="C245" s="15" t="s">
        <v>22</v>
      </c>
      <c r="D245" s="15" t="s">
        <v>1666</v>
      </c>
      <c r="E245" s="16">
        <v>165277.82</v>
      </c>
      <c r="F245" s="16">
        <v>165277.82</v>
      </c>
      <c r="G245" s="15">
        <v>150</v>
      </c>
      <c r="H245" s="15" t="s">
        <v>467</v>
      </c>
      <c r="I245" s="23">
        <v>165277.82</v>
      </c>
    </row>
    <row r="246" spans="1:9" s="17" customFormat="1" x14ac:dyDescent="0.25">
      <c r="A246" s="14">
        <v>46053</v>
      </c>
      <c r="B246" s="15" t="s">
        <v>491</v>
      </c>
      <c r="C246" s="15" t="s">
        <v>22</v>
      </c>
      <c r="D246" s="15" t="s">
        <v>1666</v>
      </c>
      <c r="E246" s="16">
        <v>109589.03</v>
      </c>
      <c r="F246" s="16">
        <v>109589.03</v>
      </c>
      <c r="G246" s="15">
        <v>150</v>
      </c>
      <c r="H246" s="15" t="s">
        <v>467</v>
      </c>
      <c r="I246" s="23">
        <v>109589.03</v>
      </c>
    </row>
    <row r="247" spans="1:9" s="17" customFormat="1" x14ac:dyDescent="0.25">
      <c r="A247" s="14">
        <v>46053</v>
      </c>
      <c r="B247" s="15" t="s">
        <v>492</v>
      </c>
      <c r="C247" s="15" t="s">
        <v>22</v>
      </c>
      <c r="D247" s="15" t="s">
        <v>1666</v>
      </c>
      <c r="E247" s="16">
        <v>157489.53</v>
      </c>
      <c r="F247" s="16">
        <v>157489.53</v>
      </c>
      <c r="G247" s="15">
        <v>150</v>
      </c>
      <c r="H247" s="15" t="s">
        <v>467</v>
      </c>
      <c r="I247" s="23">
        <v>157489.53</v>
      </c>
    </row>
    <row r="248" spans="1:9" s="17" customFormat="1" x14ac:dyDescent="0.25">
      <c r="A248" s="14">
        <v>46053</v>
      </c>
      <c r="B248" s="15" t="s">
        <v>493</v>
      </c>
      <c r="C248" s="15" t="s">
        <v>22</v>
      </c>
      <c r="D248" s="15" t="s">
        <v>1666</v>
      </c>
      <c r="E248" s="16">
        <v>103573</v>
      </c>
      <c r="F248" s="16">
        <v>103573</v>
      </c>
      <c r="G248" s="15">
        <v>150</v>
      </c>
      <c r="H248" s="15" t="s">
        <v>467</v>
      </c>
      <c r="I248" s="23">
        <v>103573</v>
      </c>
    </row>
    <row r="249" spans="1:9" s="17" customFormat="1" x14ac:dyDescent="0.25">
      <c r="A249" s="14">
        <v>46053</v>
      </c>
      <c r="B249" s="15" t="s">
        <v>499</v>
      </c>
      <c r="C249" s="15" t="s">
        <v>44</v>
      </c>
      <c r="D249" s="15" t="s">
        <v>1666</v>
      </c>
      <c r="E249" s="16">
        <v>194700</v>
      </c>
      <c r="F249" s="16">
        <v>191400</v>
      </c>
      <c r="G249" s="15">
        <v>150</v>
      </c>
      <c r="H249" s="15" t="s">
        <v>467</v>
      </c>
      <c r="I249" s="23">
        <v>191400</v>
      </c>
    </row>
    <row r="250" spans="1:9" s="17" customFormat="1" x14ac:dyDescent="0.25">
      <c r="A250" s="14">
        <v>46053</v>
      </c>
      <c r="B250" s="15" t="s">
        <v>498</v>
      </c>
      <c r="C250" s="15" t="s">
        <v>44</v>
      </c>
      <c r="D250" s="15" t="s">
        <v>1666</v>
      </c>
      <c r="E250" s="16">
        <v>194700</v>
      </c>
      <c r="F250" s="16">
        <v>191400</v>
      </c>
      <c r="G250" s="15">
        <v>150</v>
      </c>
      <c r="H250" s="15" t="s">
        <v>467</v>
      </c>
      <c r="I250" s="23">
        <v>191400</v>
      </c>
    </row>
    <row r="251" spans="1:9" s="17" customFormat="1" x14ac:dyDescent="0.25">
      <c r="A251" s="14">
        <v>46053</v>
      </c>
      <c r="B251" s="15" t="s">
        <v>497</v>
      </c>
      <c r="C251" s="15" t="s">
        <v>44</v>
      </c>
      <c r="D251" s="15" t="s">
        <v>1666</v>
      </c>
      <c r="E251" s="16">
        <v>121800</v>
      </c>
      <c r="F251" s="16">
        <v>121800</v>
      </c>
      <c r="G251" s="15">
        <v>150</v>
      </c>
      <c r="H251" s="15" t="s">
        <v>467</v>
      </c>
      <c r="I251" s="23">
        <v>121800</v>
      </c>
    </row>
    <row r="252" spans="1:9" s="17" customFormat="1" x14ac:dyDescent="0.25">
      <c r="A252" s="14">
        <v>46053</v>
      </c>
      <c r="B252" s="15" t="s">
        <v>496</v>
      </c>
      <c r="C252" s="15" t="s">
        <v>44</v>
      </c>
      <c r="D252" s="15" t="s">
        <v>321</v>
      </c>
      <c r="E252" s="16">
        <v>170520</v>
      </c>
      <c r="F252" s="16">
        <v>170520</v>
      </c>
      <c r="G252" s="15">
        <v>150</v>
      </c>
      <c r="H252" s="15" t="s">
        <v>467</v>
      </c>
      <c r="I252" s="23">
        <v>170520</v>
      </c>
    </row>
    <row r="253" spans="1:9" s="17" customFormat="1" x14ac:dyDescent="0.25">
      <c r="A253" s="14">
        <v>46053</v>
      </c>
      <c r="B253" s="15" t="s">
        <v>495</v>
      </c>
      <c r="C253" s="15" t="s">
        <v>44</v>
      </c>
      <c r="D253" s="15" t="s">
        <v>1666</v>
      </c>
      <c r="E253" s="16">
        <v>170520</v>
      </c>
      <c r="F253" s="16">
        <v>170520</v>
      </c>
      <c r="G253" s="15">
        <v>150</v>
      </c>
      <c r="H253" s="15" t="s">
        <v>467</v>
      </c>
      <c r="I253" s="23">
        <v>170520</v>
      </c>
    </row>
    <row r="254" spans="1:9" s="17" customFormat="1" x14ac:dyDescent="0.25">
      <c r="A254" s="14">
        <v>46053</v>
      </c>
      <c r="B254" s="15" t="s">
        <v>494</v>
      </c>
      <c r="C254" s="15" t="s">
        <v>44</v>
      </c>
      <c r="D254" s="15" t="s">
        <v>321</v>
      </c>
      <c r="E254" s="16">
        <v>168084</v>
      </c>
      <c r="F254" s="16">
        <v>168084</v>
      </c>
      <c r="G254" s="15">
        <v>150</v>
      </c>
      <c r="H254" s="15" t="s">
        <v>467</v>
      </c>
      <c r="I254" s="23">
        <v>168084</v>
      </c>
    </row>
    <row r="255" spans="1:9" s="17" customFormat="1" x14ac:dyDescent="0.25">
      <c r="A255" s="14">
        <v>46053</v>
      </c>
      <c r="B255" s="15" t="s">
        <v>500</v>
      </c>
      <c r="C255" s="15" t="s">
        <v>116</v>
      </c>
      <c r="D255" s="15" t="s">
        <v>416</v>
      </c>
      <c r="E255" s="16">
        <v>1671598</v>
      </c>
      <c r="F255" s="16">
        <v>1671598</v>
      </c>
      <c r="G255" s="15">
        <v>150</v>
      </c>
      <c r="H255" s="15" t="s">
        <v>467</v>
      </c>
      <c r="I255" s="23">
        <v>1671598</v>
      </c>
    </row>
    <row r="256" spans="1:9" s="17" customFormat="1" x14ac:dyDescent="0.25">
      <c r="A256" s="14">
        <v>46053</v>
      </c>
      <c r="B256" s="15" t="s">
        <v>501</v>
      </c>
      <c r="C256" s="15" t="s">
        <v>143</v>
      </c>
      <c r="D256" s="15" t="s">
        <v>1666</v>
      </c>
      <c r="E256" s="16">
        <v>42480</v>
      </c>
      <c r="F256" s="16">
        <v>42480</v>
      </c>
      <c r="G256" s="15">
        <v>150</v>
      </c>
      <c r="H256" s="15" t="s">
        <v>467</v>
      </c>
      <c r="I256" s="23">
        <v>42480</v>
      </c>
    </row>
    <row r="257" spans="1:9" s="17" customFormat="1" x14ac:dyDescent="0.25">
      <c r="A257" s="14">
        <v>46053</v>
      </c>
      <c r="B257" s="15" t="s">
        <v>502</v>
      </c>
      <c r="C257" s="15" t="s">
        <v>146</v>
      </c>
      <c r="D257" s="15" t="s">
        <v>1666</v>
      </c>
      <c r="E257" s="16">
        <v>1015478</v>
      </c>
      <c r="F257" s="16">
        <v>1015478</v>
      </c>
      <c r="G257" s="15">
        <v>150</v>
      </c>
      <c r="H257" s="15" t="s">
        <v>467</v>
      </c>
      <c r="I257" s="23">
        <v>1015478</v>
      </c>
    </row>
    <row r="258" spans="1:9" s="17" customFormat="1" x14ac:dyDescent="0.25">
      <c r="A258" s="14">
        <v>46053</v>
      </c>
      <c r="B258" s="15" t="s">
        <v>503</v>
      </c>
      <c r="C258" s="15" t="s">
        <v>147</v>
      </c>
      <c r="D258" s="15" t="s">
        <v>1666</v>
      </c>
      <c r="E258" s="16">
        <v>470229.6</v>
      </c>
      <c r="F258" s="16">
        <v>470229.6</v>
      </c>
      <c r="G258" s="15">
        <v>150</v>
      </c>
      <c r="H258" s="15" t="s">
        <v>467</v>
      </c>
      <c r="I258" s="23">
        <v>470229.6</v>
      </c>
    </row>
    <row r="259" spans="1:9" s="17" customFormat="1" x14ac:dyDescent="0.25">
      <c r="A259" s="14">
        <v>46053</v>
      </c>
      <c r="B259" s="15" t="s">
        <v>504</v>
      </c>
      <c r="C259" s="15" t="s">
        <v>147</v>
      </c>
      <c r="D259" s="15" t="s">
        <v>1666</v>
      </c>
      <c r="E259" s="16">
        <v>470229.6</v>
      </c>
      <c r="F259" s="16">
        <v>470229.6</v>
      </c>
      <c r="G259" s="15">
        <v>150</v>
      </c>
      <c r="H259" s="15" t="s">
        <v>467</v>
      </c>
      <c r="I259" s="23">
        <v>470229.6</v>
      </c>
    </row>
    <row r="260" spans="1:9" s="17" customFormat="1" x14ac:dyDescent="0.25">
      <c r="A260" s="14">
        <v>46053</v>
      </c>
      <c r="B260" s="15" t="s">
        <v>505</v>
      </c>
      <c r="C260" s="15" t="s">
        <v>151</v>
      </c>
      <c r="D260" s="15" t="s">
        <v>1666</v>
      </c>
      <c r="E260" s="16">
        <v>235462.5</v>
      </c>
      <c r="F260" s="16">
        <v>235462.5</v>
      </c>
      <c r="G260" s="15">
        <v>150</v>
      </c>
      <c r="H260" s="15" t="s">
        <v>467</v>
      </c>
      <c r="I260" s="23">
        <v>235462.5</v>
      </c>
    </row>
    <row r="261" spans="1:9" s="17" customFormat="1" x14ac:dyDescent="0.25">
      <c r="A261" s="14">
        <v>46053</v>
      </c>
      <c r="B261" s="15" t="s">
        <v>506</v>
      </c>
      <c r="C261" s="15" t="s">
        <v>151</v>
      </c>
      <c r="D261" s="15" t="s">
        <v>1666</v>
      </c>
      <c r="E261" s="16">
        <v>62790</v>
      </c>
      <c r="F261" s="16">
        <v>62790</v>
      </c>
      <c r="G261" s="15">
        <v>150</v>
      </c>
      <c r="H261" s="15" t="s">
        <v>467</v>
      </c>
      <c r="I261" s="23">
        <v>62790</v>
      </c>
    </row>
    <row r="262" spans="1:9" s="17" customFormat="1" x14ac:dyDescent="0.25">
      <c r="A262" s="14">
        <v>46053</v>
      </c>
      <c r="B262" s="15" t="s">
        <v>507</v>
      </c>
      <c r="C262" s="15" t="s">
        <v>157</v>
      </c>
      <c r="D262" s="15" t="s">
        <v>1666</v>
      </c>
      <c r="E262" s="16">
        <v>1537000</v>
      </c>
      <c r="F262" s="16">
        <v>1537000</v>
      </c>
      <c r="G262" s="15">
        <v>150</v>
      </c>
      <c r="H262" s="15" t="s">
        <v>467</v>
      </c>
      <c r="I262" s="23">
        <v>1537000</v>
      </c>
    </row>
    <row r="263" spans="1:9" s="17" customFormat="1" x14ac:dyDescent="0.25">
      <c r="A263" s="14">
        <v>46053</v>
      </c>
      <c r="B263" s="15" t="s">
        <v>508</v>
      </c>
      <c r="C263" s="15" t="s">
        <v>159</v>
      </c>
      <c r="D263" s="15" t="s">
        <v>1666</v>
      </c>
      <c r="E263" s="16">
        <v>646518.69999999995</v>
      </c>
      <c r="F263" s="16">
        <v>188630.03</v>
      </c>
      <c r="G263" s="15">
        <v>150</v>
      </c>
      <c r="H263" s="15" t="s">
        <v>467</v>
      </c>
      <c r="I263" s="23">
        <v>188630.03</v>
      </c>
    </row>
    <row r="264" spans="1:9" s="17" customFormat="1" x14ac:dyDescent="0.25">
      <c r="A264" s="14">
        <v>46053</v>
      </c>
      <c r="B264" s="15" t="s">
        <v>511</v>
      </c>
      <c r="C264" s="15" t="s">
        <v>164</v>
      </c>
      <c r="D264" s="15" t="s">
        <v>1666</v>
      </c>
      <c r="E264" s="16">
        <v>112000</v>
      </c>
      <c r="F264" s="16">
        <v>109760</v>
      </c>
      <c r="G264" s="15">
        <v>150</v>
      </c>
      <c r="H264" s="15" t="s">
        <v>467</v>
      </c>
      <c r="I264" s="23">
        <v>109760</v>
      </c>
    </row>
    <row r="265" spans="1:9" s="17" customFormat="1" x14ac:dyDescent="0.25">
      <c r="A265" s="14">
        <v>46053</v>
      </c>
      <c r="B265" s="15" t="s">
        <v>512</v>
      </c>
      <c r="C265" s="15" t="s">
        <v>164</v>
      </c>
      <c r="D265" s="15" t="s">
        <v>321</v>
      </c>
      <c r="E265" s="16">
        <v>238000</v>
      </c>
      <c r="F265" s="16">
        <v>233240</v>
      </c>
      <c r="G265" s="15">
        <v>150</v>
      </c>
      <c r="H265" s="15" t="s">
        <v>467</v>
      </c>
      <c r="I265" s="23">
        <v>233240</v>
      </c>
    </row>
    <row r="266" spans="1:9" s="17" customFormat="1" x14ac:dyDescent="0.25">
      <c r="A266" s="14">
        <v>46053</v>
      </c>
      <c r="B266" s="15" t="s">
        <v>510</v>
      </c>
      <c r="C266" s="15" t="s">
        <v>164</v>
      </c>
      <c r="D266" s="15" t="s">
        <v>1666</v>
      </c>
      <c r="E266" s="16">
        <v>1208750</v>
      </c>
      <c r="F266" s="16">
        <v>1184575</v>
      </c>
      <c r="G266" s="15">
        <v>150</v>
      </c>
      <c r="H266" s="15" t="s">
        <v>467</v>
      </c>
      <c r="I266" s="23">
        <v>1184575</v>
      </c>
    </row>
    <row r="267" spans="1:9" s="17" customFormat="1" x14ac:dyDescent="0.25">
      <c r="A267" s="14">
        <v>46053</v>
      </c>
      <c r="B267" s="15" t="s">
        <v>509</v>
      </c>
      <c r="C267" s="15" t="s">
        <v>164</v>
      </c>
      <c r="D267" s="15" t="s">
        <v>321</v>
      </c>
      <c r="E267" s="16">
        <v>326340</v>
      </c>
      <c r="F267" s="16">
        <v>326340</v>
      </c>
      <c r="G267" s="15">
        <v>150</v>
      </c>
      <c r="H267" s="15" t="s">
        <v>467</v>
      </c>
      <c r="I267" s="23">
        <v>326340</v>
      </c>
    </row>
    <row r="268" spans="1:9" s="17" customFormat="1" x14ac:dyDescent="0.25">
      <c r="A268" s="14">
        <v>46053</v>
      </c>
      <c r="B268" s="15" t="s">
        <v>513</v>
      </c>
      <c r="C268" s="15" t="s">
        <v>173</v>
      </c>
      <c r="D268" s="15" t="s">
        <v>416</v>
      </c>
      <c r="E268" s="16">
        <v>970690</v>
      </c>
      <c r="F268" s="16">
        <v>970690</v>
      </c>
      <c r="G268" s="15">
        <v>150</v>
      </c>
      <c r="H268" s="15" t="s">
        <v>467</v>
      </c>
      <c r="I268" s="23">
        <v>970690</v>
      </c>
    </row>
    <row r="269" spans="1:9" s="17" customFormat="1" x14ac:dyDescent="0.25">
      <c r="A269" s="14">
        <v>46053</v>
      </c>
      <c r="B269" s="15" t="s">
        <v>514</v>
      </c>
      <c r="C269" s="15" t="s">
        <v>186</v>
      </c>
      <c r="D269" s="15" t="s">
        <v>1666</v>
      </c>
      <c r="E269" s="16">
        <v>412960</v>
      </c>
      <c r="F269" s="16">
        <v>412960</v>
      </c>
      <c r="G269" s="15">
        <v>150</v>
      </c>
      <c r="H269" s="15" t="s">
        <v>467</v>
      </c>
      <c r="I269" s="23">
        <v>412960</v>
      </c>
    </row>
    <row r="270" spans="1:9" s="17" customFormat="1" x14ac:dyDescent="0.25">
      <c r="A270" s="14">
        <v>46053</v>
      </c>
      <c r="B270" s="15" t="s">
        <v>515</v>
      </c>
      <c r="C270" s="15" t="s">
        <v>193</v>
      </c>
      <c r="D270" s="15" t="s">
        <v>1666</v>
      </c>
      <c r="E270" s="16">
        <v>114935.62</v>
      </c>
      <c r="F270" s="16">
        <v>114935.62</v>
      </c>
      <c r="G270" s="15">
        <v>150</v>
      </c>
      <c r="H270" s="15" t="s">
        <v>467</v>
      </c>
      <c r="I270" s="23">
        <v>114935.62</v>
      </c>
    </row>
    <row r="271" spans="1:9" s="17" customFormat="1" x14ac:dyDescent="0.25">
      <c r="A271" s="14">
        <v>46053</v>
      </c>
      <c r="B271" s="15" t="s">
        <v>516</v>
      </c>
      <c r="C271" s="15" t="s">
        <v>195</v>
      </c>
      <c r="D271" s="15" t="s">
        <v>517</v>
      </c>
      <c r="E271" s="16">
        <v>705767</v>
      </c>
      <c r="F271" s="16">
        <v>202456</v>
      </c>
      <c r="G271" s="15">
        <v>150</v>
      </c>
      <c r="H271" s="15" t="s">
        <v>467</v>
      </c>
      <c r="I271" s="23">
        <v>202456</v>
      </c>
    </row>
    <row r="272" spans="1:9" s="17" customFormat="1" x14ac:dyDescent="0.25">
      <c r="A272" s="14">
        <v>46053</v>
      </c>
      <c r="B272" s="15" t="s">
        <v>518</v>
      </c>
      <c r="C272" s="15" t="s">
        <v>202</v>
      </c>
      <c r="D272" s="15" t="s">
        <v>531</v>
      </c>
      <c r="E272" s="16">
        <v>1190504</v>
      </c>
      <c r="F272" s="16">
        <v>690504</v>
      </c>
      <c r="G272" s="15">
        <v>150</v>
      </c>
      <c r="H272" s="15" t="s">
        <v>467</v>
      </c>
      <c r="I272" s="23">
        <v>690504</v>
      </c>
    </row>
    <row r="273" spans="1:9" s="17" customFormat="1" x14ac:dyDescent="0.25">
      <c r="A273" s="14">
        <v>46053</v>
      </c>
      <c r="B273" s="15" t="s">
        <v>519</v>
      </c>
      <c r="C273" s="15" t="s">
        <v>214</v>
      </c>
      <c r="D273" s="15" t="s">
        <v>1666</v>
      </c>
      <c r="E273" s="16">
        <v>710714</v>
      </c>
      <c r="F273" s="16">
        <v>706225.28</v>
      </c>
      <c r="G273" s="15">
        <v>150</v>
      </c>
      <c r="H273" s="15" t="s">
        <v>467</v>
      </c>
      <c r="I273" s="23">
        <v>706225.28</v>
      </c>
    </row>
    <row r="274" spans="1:9" s="17" customFormat="1" x14ac:dyDescent="0.25">
      <c r="A274" s="14">
        <v>46053</v>
      </c>
      <c r="B274" s="15" t="s">
        <v>520</v>
      </c>
      <c r="C274" s="15" t="s">
        <v>217</v>
      </c>
      <c r="D274" s="15" t="s">
        <v>1666</v>
      </c>
      <c r="E274" s="16">
        <v>32782.699999999997</v>
      </c>
      <c r="F274" s="16">
        <v>32782.699999999997</v>
      </c>
      <c r="G274" s="15">
        <v>150</v>
      </c>
      <c r="H274" s="15" t="s">
        <v>467</v>
      </c>
      <c r="I274" s="23">
        <v>-32782.699999999997</v>
      </c>
    </row>
    <row r="275" spans="1:9" s="17" customFormat="1" x14ac:dyDescent="0.25">
      <c r="A275" s="14">
        <v>46054</v>
      </c>
      <c r="B275" s="15" t="s">
        <v>521</v>
      </c>
      <c r="C275" s="15" t="s">
        <v>22</v>
      </c>
      <c r="D275" s="15" t="s">
        <v>1666</v>
      </c>
      <c r="E275" s="16">
        <v>256526.56</v>
      </c>
      <c r="F275" s="16">
        <v>256526.56</v>
      </c>
      <c r="G275" s="15">
        <v>149</v>
      </c>
      <c r="H275" s="15" t="s">
        <v>467</v>
      </c>
      <c r="I275" s="23">
        <v>256526.56</v>
      </c>
    </row>
    <row r="276" spans="1:9" s="17" customFormat="1" x14ac:dyDescent="0.25">
      <c r="A276" s="14">
        <v>46054</v>
      </c>
      <c r="B276" s="15" t="s">
        <v>522</v>
      </c>
      <c r="C276" s="15" t="s">
        <v>22</v>
      </c>
      <c r="D276" s="15" t="s">
        <v>1666</v>
      </c>
      <c r="E276" s="16">
        <v>297214.08000000002</v>
      </c>
      <c r="F276" s="16">
        <v>297214.08000000002</v>
      </c>
      <c r="G276" s="15">
        <v>149</v>
      </c>
      <c r="H276" s="15" t="s">
        <v>467</v>
      </c>
      <c r="I276" s="23">
        <v>297214.08000000002</v>
      </c>
    </row>
    <row r="277" spans="1:9" s="17" customFormat="1" x14ac:dyDescent="0.25">
      <c r="A277" s="14">
        <v>46054</v>
      </c>
      <c r="B277" s="15" t="s">
        <v>523</v>
      </c>
      <c r="C277" s="15" t="s">
        <v>22</v>
      </c>
      <c r="D277" s="15" t="s">
        <v>1666</v>
      </c>
      <c r="E277" s="16">
        <v>1068128.28</v>
      </c>
      <c r="F277" s="16">
        <v>1068128.28</v>
      </c>
      <c r="G277" s="15">
        <v>149</v>
      </c>
      <c r="H277" s="15" t="s">
        <v>467</v>
      </c>
      <c r="I277" s="23">
        <v>1068128.28</v>
      </c>
    </row>
    <row r="278" spans="1:9" s="17" customFormat="1" x14ac:dyDescent="0.25">
      <c r="A278" s="14">
        <v>46054</v>
      </c>
      <c r="B278" s="15" t="s">
        <v>524</v>
      </c>
      <c r="C278" s="15" t="s">
        <v>164</v>
      </c>
      <c r="D278" s="15" t="s">
        <v>1666</v>
      </c>
      <c r="E278" s="16">
        <v>130650</v>
      </c>
      <c r="F278" s="16">
        <v>128037</v>
      </c>
      <c r="G278" s="15">
        <v>149</v>
      </c>
      <c r="H278" s="15" t="s">
        <v>467</v>
      </c>
      <c r="I278" s="23">
        <v>128037</v>
      </c>
    </row>
    <row r="279" spans="1:9" s="17" customFormat="1" x14ac:dyDescent="0.25">
      <c r="A279" s="14">
        <v>46060</v>
      </c>
      <c r="B279" s="15" t="s">
        <v>525</v>
      </c>
      <c r="C279" s="15" t="s">
        <v>29</v>
      </c>
      <c r="D279" s="15" t="s">
        <v>1666</v>
      </c>
      <c r="E279" s="16">
        <v>424057</v>
      </c>
      <c r="F279" s="16">
        <v>424057</v>
      </c>
      <c r="G279" s="15">
        <v>143</v>
      </c>
      <c r="H279" s="15" t="s">
        <v>467</v>
      </c>
      <c r="I279" s="23">
        <v>424057</v>
      </c>
    </row>
    <row r="280" spans="1:9" s="17" customFormat="1" x14ac:dyDescent="0.25">
      <c r="A280" s="14">
        <v>46063</v>
      </c>
      <c r="B280" s="15" t="s">
        <v>526</v>
      </c>
      <c r="C280" s="15" t="s">
        <v>167</v>
      </c>
      <c r="D280" s="15" t="s">
        <v>306</v>
      </c>
      <c r="E280" s="16">
        <v>400000</v>
      </c>
      <c r="F280" s="16">
        <v>400000</v>
      </c>
      <c r="G280" s="15">
        <v>140</v>
      </c>
      <c r="H280" s="15" t="s">
        <v>467</v>
      </c>
      <c r="I280" s="23">
        <v>-400000</v>
      </c>
    </row>
    <row r="281" spans="1:9" s="17" customFormat="1" x14ac:dyDescent="0.25">
      <c r="A281" s="14">
        <v>46070</v>
      </c>
      <c r="B281" s="15" t="s">
        <v>527</v>
      </c>
      <c r="C281" s="15" t="s">
        <v>17</v>
      </c>
      <c r="D281" s="15" t="s">
        <v>1666</v>
      </c>
      <c r="E281" s="16">
        <v>17098.2</v>
      </c>
      <c r="F281" s="16">
        <v>0.2</v>
      </c>
      <c r="G281" s="15">
        <v>133</v>
      </c>
      <c r="H281" s="15" t="s">
        <v>467</v>
      </c>
      <c r="I281" s="23">
        <v>0.2</v>
      </c>
    </row>
    <row r="282" spans="1:9" s="17" customFormat="1" x14ac:dyDescent="0.25">
      <c r="A282" s="14">
        <v>46072</v>
      </c>
      <c r="B282" s="15" t="s">
        <v>528</v>
      </c>
      <c r="C282" s="15" t="s">
        <v>29</v>
      </c>
      <c r="D282" s="15" t="s">
        <v>280</v>
      </c>
      <c r="E282" s="16">
        <v>408221</v>
      </c>
      <c r="F282" s="16">
        <v>408221</v>
      </c>
      <c r="G282" s="15">
        <v>131</v>
      </c>
      <c r="H282" s="15" t="s">
        <v>467</v>
      </c>
      <c r="I282" s="23">
        <v>408221</v>
      </c>
    </row>
    <row r="283" spans="1:9" s="17" customFormat="1" x14ac:dyDescent="0.25">
      <c r="A283" s="14">
        <v>46073</v>
      </c>
      <c r="B283" s="15" t="s">
        <v>529</v>
      </c>
      <c r="C283" s="15" t="s">
        <v>109</v>
      </c>
      <c r="D283" s="15" t="s">
        <v>1666</v>
      </c>
      <c r="E283" s="16">
        <v>437373.82</v>
      </c>
      <c r="F283" s="16">
        <v>437373.82</v>
      </c>
      <c r="G283" s="15">
        <v>130</v>
      </c>
      <c r="H283" s="15" t="s">
        <v>467</v>
      </c>
      <c r="I283" s="23">
        <v>437373.82</v>
      </c>
    </row>
    <row r="284" spans="1:9" s="17" customFormat="1" x14ac:dyDescent="0.25">
      <c r="A284" s="14">
        <v>46081</v>
      </c>
      <c r="B284" s="15" t="s">
        <v>530</v>
      </c>
      <c r="C284" s="15" t="s">
        <v>36</v>
      </c>
      <c r="D284" s="15" t="s">
        <v>531</v>
      </c>
      <c r="E284" s="16">
        <v>339300</v>
      </c>
      <c r="F284" s="16">
        <v>239300</v>
      </c>
      <c r="G284" s="15">
        <v>122</v>
      </c>
      <c r="H284" s="15" t="s">
        <v>467</v>
      </c>
      <c r="I284" s="23">
        <v>239300</v>
      </c>
    </row>
    <row r="285" spans="1:9" s="17" customFormat="1" x14ac:dyDescent="0.25">
      <c r="A285" s="14">
        <v>46081</v>
      </c>
      <c r="B285" s="15" t="s">
        <v>532</v>
      </c>
      <c r="C285" s="15" t="s">
        <v>44</v>
      </c>
      <c r="D285" s="15" t="s">
        <v>1666</v>
      </c>
      <c r="E285" s="16">
        <v>174580</v>
      </c>
      <c r="F285" s="16">
        <v>174580</v>
      </c>
      <c r="G285" s="15">
        <v>122</v>
      </c>
      <c r="H285" s="15" t="s">
        <v>467</v>
      </c>
      <c r="I285" s="23">
        <v>174580</v>
      </c>
    </row>
    <row r="286" spans="1:9" s="17" customFormat="1" x14ac:dyDescent="0.25">
      <c r="A286" s="14">
        <v>46081</v>
      </c>
      <c r="B286" s="15" t="s">
        <v>533</v>
      </c>
      <c r="C286" s="15" t="s">
        <v>44</v>
      </c>
      <c r="D286" s="15" t="s">
        <v>1666</v>
      </c>
      <c r="E286" s="16">
        <v>170520</v>
      </c>
      <c r="F286" s="16">
        <v>170520</v>
      </c>
      <c r="G286" s="15">
        <v>122</v>
      </c>
      <c r="H286" s="15" t="s">
        <v>467</v>
      </c>
      <c r="I286" s="23">
        <v>170520</v>
      </c>
    </row>
    <row r="287" spans="1:9" s="17" customFormat="1" x14ac:dyDescent="0.25">
      <c r="A287" s="14">
        <v>46081</v>
      </c>
      <c r="B287" s="15" t="s">
        <v>534</v>
      </c>
      <c r="C287" s="15" t="s">
        <v>44</v>
      </c>
      <c r="D287" s="15" t="s">
        <v>1666</v>
      </c>
      <c r="E287" s="16">
        <v>113100</v>
      </c>
      <c r="F287" s="16">
        <v>113100</v>
      </c>
      <c r="G287" s="15">
        <v>122</v>
      </c>
      <c r="H287" s="15" t="s">
        <v>467</v>
      </c>
      <c r="I287" s="23">
        <v>113100</v>
      </c>
    </row>
    <row r="288" spans="1:9" s="17" customFormat="1" x14ac:dyDescent="0.25">
      <c r="A288" s="14">
        <v>46081</v>
      </c>
      <c r="B288" s="15" t="s">
        <v>535</v>
      </c>
      <c r="C288" s="15" t="s">
        <v>44</v>
      </c>
      <c r="D288" s="15" t="s">
        <v>1666</v>
      </c>
      <c r="E288" s="16">
        <v>113100</v>
      </c>
      <c r="F288" s="16">
        <v>113100</v>
      </c>
      <c r="G288" s="15">
        <v>122</v>
      </c>
      <c r="H288" s="15" t="s">
        <v>467</v>
      </c>
      <c r="I288" s="23">
        <v>113100</v>
      </c>
    </row>
    <row r="289" spans="1:9" s="17" customFormat="1" x14ac:dyDescent="0.25">
      <c r="A289" s="14">
        <v>46081</v>
      </c>
      <c r="B289" s="15" t="s">
        <v>536</v>
      </c>
      <c r="C289" s="15" t="s">
        <v>44</v>
      </c>
      <c r="D289" s="15" t="s">
        <v>321</v>
      </c>
      <c r="E289" s="16">
        <v>116580</v>
      </c>
      <c r="F289" s="16">
        <v>116580</v>
      </c>
      <c r="G289" s="15">
        <v>122</v>
      </c>
      <c r="H289" s="15" t="s">
        <v>467</v>
      </c>
      <c r="I289" s="23">
        <v>116580</v>
      </c>
    </row>
    <row r="290" spans="1:9" s="17" customFormat="1" x14ac:dyDescent="0.25">
      <c r="A290" s="14">
        <v>46081</v>
      </c>
      <c r="B290" s="15" t="s">
        <v>537</v>
      </c>
      <c r="C290" s="15" t="s">
        <v>44</v>
      </c>
      <c r="D290" s="15" t="s">
        <v>1666</v>
      </c>
      <c r="E290" s="16">
        <v>46980</v>
      </c>
      <c r="F290" s="16">
        <v>46980</v>
      </c>
      <c r="G290" s="15">
        <v>122</v>
      </c>
      <c r="H290" s="15" t="s">
        <v>467</v>
      </c>
      <c r="I290" s="23">
        <v>46980</v>
      </c>
    </row>
    <row r="291" spans="1:9" s="17" customFormat="1" x14ac:dyDescent="0.25">
      <c r="A291" s="14">
        <v>46081</v>
      </c>
      <c r="B291" s="15" t="s">
        <v>538</v>
      </c>
      <c r="C291" s="15" t="s">
        <v>44</v>
      </c>
      <c r="D291" s="15" t="s">
        <v>1666</v>
      </c>
      <c r="E291" s="16">
        <v>116580</v>
      </c>
      <c r="F291" s="16">
        <v>116580</v>
      </c>
      <c r="G291" s="15">
        <v>122</v>
      </c>
      <c r="H291" s="15" t="s">
        <v>467</v>
      </c>
      <c r="I291" s="23">
        <v>116580</v>
      </c>
    </row>
    <row r="292" spans="1:9" s="17" customFormat="1" x14ac:dyDescent="0.25">
      <c r="A292" s="14">
        <v>46081</v>
      </c>
      <c r="B292" s="15" t="s">
        <v>539</v>
      </c>
      <c r="C292" s="15" t="s">
        <v>44</v>
      </c>
      <c r="D292" s="15" t="s">
        <v>1666</v>
      </c>
      <c r="E292" s="16">
        <v>116580</v>
      </c>
      <c r="F292" s="16">
        <v>116580</v>
      </c>
      <c r="G292" s="15">
        <v>122</v>
      </c>
      <c r="H292" s="15" t="s">
        <v>467</v>
      </c>
      <c r="I292" s="23">
        <v>116580</v>
      </c>
    </row>
    <row r="293" spans="1:9" s="17" customFormat="1" x14ac:dyDescent="0.25">
      <c r="A293" s="14">
        <v>46081</v>
      </c>
      <c r="B293" s="15" t="s">
        <v>540</v>
      </c>
      <c r="C293" s="15" t="s">
        <v>44</v>
      </c>
      <c r="D293" s="15" t="s">
        <v>1666</v>
      </c>
      <c r="E293" s="16">
        <v>116580</v>
      </c>
      <c r="F293" s="16">
        <v>116580</v>
      </c>
      <c r="G293" s="15">
        <v>122</v>
      </c>
      <c r="H293" s="15" t="s">
        <v>467</v>
      </c>
      <c r="I293" s="23">
        <v>116580</v>
      </c>
    </row>
    <row r="294" spans="1:9" s="17" customFormat="1" x14ac:dyDescent="0.25">
      <c r="A294" s="14">
        <v>46081</v>
      </c>
      <c r="B294" s="15" t="s">
        <v>541</v>
      </c>
      <c r="C294" s="15" t="s">
        <v>44</v>
      </c>
      <c r="D294" s="15" t="s">
        <v>1666</v>
      </c>
      <c r="E294" s="16">
        <v>116580</v>
      </c>
      <c r="F294" s="16">
        <v>116580</v>
      </c>
      <c r="G294" s="15">
        <v>122</v>
      </c>
      <c r="H294" s="15" t="s">
        <v>467</v>
      </c>
      <c r="I294" s="23">
        <v>116580</v>
      </c>
    </row>
    <row r="295" spans="1:9" s="17" customFormat="1" x14ac:dyDescent="0.25">
      <c r="A295" s="14">
        <v>46081</v>
      </c>
      <c r="B295" s="15" t="s">
        <v>542</v>
      </c>
      <c r="C295" s="15" t="s">
        <v>44</v>
      </c>
      <c r="D295" s="15" t="s">
        <v>1666</v>
      </c>
      <c r="E295" s="16">
        <v>116580</v>
      </c>
      <c r="F295" s="16">
        <v>116580</v>
      </c>
      <c r="G295" s="15">
        <v>122</v>
      </c>
      <c r="H295" s="15" t="s">
        <v>467</v>
      </c>
      <c r="I295" s="23">
        <v>116580</v>
      </c>
    </row>
    <row r="296" spans="1:9" s="17" customFormat="1" x14ac:dyDescent="0.25">
      <c r="A296" s="14">
        <v>46081</v>
      </c>
      <c r="B296" s="15" t="s">
        <v>543</v>
      </c>
      <c r="C296" s="15" t="s">
        <v>44</v>
      </c>
      <c r="D296" s="15" t="s">
        <v>1666</v>
      </c>
      <c r="E296" s="16">
        <v>118900</v>
      </c>
      <c r="F296" s="16">
        <v>118900</v>
      </c>
      <c r="G296" s="15">
        <v>122</v>
      </c>
      <c r="H296" s="15" t="s">
        <v>467</v>
      </c>
      <c r="I296" s="23">
        <v>118900</v>
      </c>
    </row>
    <row r="297" spans="1:9" s="17" customFormat="1" x14ac:dyDescent="0.25">
      <c r="A297" s="14">
        <v>46081</v>
      </c>
      <c r="B297" s="15" t="s">
        <v>544</v>
      </c>
      <c r="C297" s="15" t="s">
        <v>44</v>
      </c>
      <c r="D297" s="15" t="s">
        <v>1666</v>
      </c>
      <c r="E297" s="16">
        <v>116580</v>
      </c>
      <c r="F297" s="16">
        <v>116580</v>
      </c>
      <c r="G297" s="15">
        <v>122</v>
      </c>
      <c r="H297" s="15" t="s">
        <v>467</v>
      </c>
      <c r="I297" s="23">
        <v>116580</v>
      </c>
    </row>
    <row r="298" spans="1:9" s="17" customFormat="1" x14ac:dyDescent="0.25">
      <c r="A298" s="14">
        <v>46081</v>
      </c>
      <c r="B298" s="15" t="s">
        <v>545</v>
      </c>
      <c r="C298" s="15" t="s">
        <v>44</v>
      </c>
      <c r="D298" s="15" t="s">
        <v>1666</v>
      </c>
      <c r="E298" s="16">
        <v>118900</v>
      </c>
      <c r="F298" s="16">
        <v>118900</v>
      </c>
      <c r="G298" s="15">
        <v>122</v>
      </c>
      <c r="H298" s="15" t="s">
        <v>467</v>
      </c>
      <c r="I298" s="23">
        <v>118900</v>
      </c>
    </row>
    <row r="299" spans="1:9" s="17" customFormat="1" x14ac:dyDescent="0.25">
      <c r="A299" s="14">
        <v>46081</v>
      </c>
      <c r="B299" s="15" t="s">
        <v>546</v>
      </c>
      <c r="C299" s="15" t="s">
        <v>44</v>
      </c>
      <c r="D299" s="15" t="s">
        <v>1666</v>
      </c>
      <c r="E299" s="16">
        <v>116580</v>
      </c>
      <c r="F299" s="16">
        <v>116580</v>
      </c>
      <c r="G299" s="15">
        <v>122</v>
      </c>
      <c r="H299" s="15" t="s">
        <v>467</v>
      </c>
      <c r="I299" s="23">
        <v>116580</v>
      </c>
    </row>
    <row r="300" spans="1:9" s="17" customFormat="1" x14ac:dyDescent="0.25">
      <c r="A300" s="14">
        <v>46081</v>
      </c>
      <c r="B300" s="15" t="s">
        <v>547</v>
      </c>
      <c r="C300" s="15" t="s">
        <v>44</v>
      </c>
      <c r="D300" s="15" t="s">
        <v>1666</v>
      </c>
      <c r="E300" s="16">
        <v>132750</v>
      </c>
      <c r="F300" s="16">
        <v>130500</v>
      </c>
      <c r="G300" s="15">
        <v>122</v>
      </c>
      <c r="H300" s="15" t="s">
        <v>467</v>
      </c>
      <c r="I300" s="23">
        <v>130500</v>
      </c>
    </row>
    <row r="301" spans="1:9" s="17" customFormat="1" x14ac:dyDescent="0.25">
      <c r="A301" s="14">
        <v>46081</v>
      </c>
      <c r="B301" s="15" t="s">
        <v>548</v>
      </c>
      <c r="C301" s="15" t="s">
        <v>71</v>
      </c>
      <c r="D301" s="15" t="s">
        <v>1666</v>
      </c>
      <c r="E301" s="16">
        <v>1998387.32</v>
      </c>
      <c r="F301" s="16">
        <v>1998387.32</v>
      </c>
      <c r="G301" s="15">
        <v>122</v>
      </c>
      <c r="H301" s="15" t="s">
        <v>467</v>
      </c>
      <c r="I301" s="23">
        <v>1998387.32</v>
      </c>
    </row>
    <row r="302" spans="1:9" s="17" customFormat="1" x14ac:dyDescent="0.25">
      <c r="A302" s="14">
        <v>46081</v>
      </c>
      <c r="B302" s="15" t="s">
        <v>549</v>
      </c>
      <c r="C302" s="15" t="s">
        <v>71</v>
      </c>
      <c r="D302" s="15" t="s">
        <v>1666</v>
      </c>
      <c r="E302" s="16">
        <v>2721491.86</v>
      </c>
      <c r="F302" s="16">
        <v>2721491.86</v>
      </c>
      <c r="G302" s="15">
        <v>122</v>
      </c>
      <c r="H302" s="15" t="s">
        <v>467</v>
      </c>
      <c r="I302" s="23">
        <v>2721491.86</v>
      </c>
    </row>
    <row r="303" spans="1:9" s="17" customFormat="1" x14ac:dyDescent="0.25">
      <c r="A303" s="14">
        <v>46081</v>
      </c>
      <c r="B303" s="15" t="s">
        <v>550</v>
      </c>
      <c r="C303" s="15" t="s">
        <v>143</v>
      </c>
      <c r="D303" s="15" t="s">
        <v>1666</v>
      </c>
      <c r="E303" s="16">
        <v>63720</v>
      </c>
      <c r="F303" s="16">
        <v>63720</v>
      </c>
      <c r="G303" s="15">
        <v>122</v>
      </c>
      <c r="H303" s="15" t="s">
        <v>467</v>
      </c>
      <c r="I303" s="23">
        <v>63720</v>
      </c>
    </row>
    <row r="304" spans="1:9" s="17" customFormat="1" x14ac:dyDescent="0.25">
      <c r="A304" s="14">
        <v>46081</v>
      </c>
      <c r="B304" s="15" t="s">
        <v>551</v>
      </c>
      <c r="C304" s="15" t="s">
        <v>143</v>
      </c>
      <c r="D304" s="15" t="s">
        <v>1666</v>
      </c>
      <c r="E304" s="16">
        <v>5310</v>
      </c>
      <c r="F304" s="16">
        <v>5310</v>
      </c>
      <c r="G304" s="15">
        <v>122</v>
      </c>
      <c r="H304" s="15" t="s">
        <v>467</v>
      </c>
      <c r="I304" s="23">
        <v>5310</v>
      </c>
    </row>
    <row r="305" spans="1:9" s="17" customFormat="1" x14ac:dyDescent="0.25">
      <c r="A305" s="14">
        <v>46081</v>
      </c>
      <c r="B305" s="15" t="s">
        <v>552</v>
      </c>
      <c r="C305" s="15" t="s">
        <v>143</v>
      </c>
      <c r="D305" s="15" t="s">
        <v>1666</v>
      </c>
      <c r="E305" s="16">
        <v>106200</v>
      </c>
      <c r="F305" s="16">
        <v>106200</v>
      </c>
      <c r="G305" s="15">
        <v>122</v>
      </c>
      <c r="H305" s="15" t="s">
        <v>467</v>
      </c>
      <c r="I305" s="23">
        <v>106200</v>
      </c>
    </row>
    <row r="306" spans="1:9" s="17" customFormat="1" x14ac:dyDescent="0.25">
      <c r="A306" s="14">
        <v>46081</v>
      </c>
      <c r="B306" s="15" t="s">
        <v>553</v>
      </c>
      <c r="C306" s="15" t="s">
        <v>143</v>
      </c>
      <c r="D306" s="15" t="s">
        <v>1666</v>
      </c>
      <c r="E306" s="16">
        <v>106200</v>
      </c>
      <c r="F306" s="16">
        <v>106200</v>
      </c>
      <c r="G306" s="15">
        <v>122</v>
      </c>
      <c r="H306" s="15" t="s">
        <v>467</v>
      </c>
      <c r="I306" s="23">
        <v>106200</v>
      </c>
    </row>
    <row r="307" spans="1:9" s="17" customFormat="1" x14ac:dyDescent="0.25">
      <c r="A307" s="14">
        <v>46081</v>
      </c>
      <c r="B307" s="15" t="s">
        <v>554</v>
      </c>
      <c r="C307" s="15" t="s">
        <v>143</v>
      </c>
      <c r="D307" s="15" t="s">
        <v>1666</v>
      </c>
      <c r="E307" s="16">
        <v>42480</v>
      </c>
      <c r="F307" s="16">
        <v>42480</v>
      </c>
      <c r="G307" s="15">
        <v>122</v>
      </c>
      <c r="H307" s="15" t="s">
        <v>467</v>
      </c>
      <c r="I307" s="23">
        <v>42480</v>
      </c>
    </row>
    <row r="308" spans="1:9" s="17" customFormat="1" x14ac:dyDescent="0.25">
      <c r="A308" s="14">
        <v>46081</v>
      </c>
      <c r="B308" s="15" t="s">
        <v>555</v>
      </c>
      <c r="C308" s="15" t="s">
        <v>146</v>
      </c>
      <c r="D308" s="15" t="s">
        <v>1666</v>
      </c>
      <c r="E308" s="16">
        <v>782722</v>
      </c>
      <c r="F308" s="16">
        <v>782722</v>
      </c>
      <c r="G308" s="15">
        <v>122</v>
      </c>
      <c r="H308" s="15" t="s">
        <v>467</v>
      </c>
      <c r="I308" s="23">
        <v>782722</v>
      </c>
    </row>
    <row r="309" spans="1:9" s="17" customFormat="1" x14ac:dyDescent="0.25">
      <c r="A309" s="14">
        <v>46081</v>
      </c>
      <c r="B309" s="15" t="s">
        <v>556</v>
      </c>
      <c r="C309" s="15" t="s">
        <v>147</v>
      </c>
      <c r="D309" s="15" t="s">
        <v>1666</v>
      </c>
      <c r="E309" s="16">
        <v>470229.6</v>
      </c>
      <c r="F309" s="16">
        <v>470229.6</v>
      </c>
      <c r="G309" s="15">
        <v>122</v>
      </c>
      <c r="H309" s="15" t="s">
        <v>467</v>
      </c>
      <c r="I309" s="23">
        <v>470229.6</v>
      </c>
    </row>
    <row r="310" spans="1:9" s="17" customFormat="1" x14ac:dyDescent="0.25">
      <c r="A310" s="14">
        <v>46081</v>
      </c>
      <c r="B310" s="15" t="s">
        <v>557</v>
      </c>
      <c r="C310" s="15" t="s">
        <v>151</v>
      </c>
      <c r="D310" s="15" t="s">
        <v>1666</v>
      </c>
      <c r="E310" s="16">
        <v>392437.5</v>
      </c>
      <c r="F310" s="16">
        <v>392437.5</v>
      </c>
      <c r="G310" s="15">
        <v>122</v>
      </c>
      <c r="H310" s="15" t="s">
        <v>467</v>
      </c>
      <c r="I310" s="23">
        <v>392437.5</v>
      </c>
    </row>
    <row r="311" spans="1:9" s="17" customFormat="1" x14ac:dyDescent="0.25">
      <c r="A311" s="14">
        <v>46081</v>
      </c>
      <c r="B311" s="15" t="s">
        <v>558</v>
      </c>
      <c r="C311" s="15" t="s">
        <v>164</v>
      </c>
      <c r="D311" s="15" t="s">
        <v>1666</v>
      </c>
      <c r="E311" s="16">
        <v>333500</v>
      </c>
      <c r="F311" s="16">
        <v>326830</v>
      </c>
      <c r="G311" s="15">
        <v>122</v>
      </c>
      <c r="H311" s="15" t="s">
        <v>467</v>
      </c>
      <c r="I311" s="23">
        <v>326830</v>
      </c>
    </row>
    <row r="312" spans="1:9" s="17" customFormat="1" x14ac:dyDescent="0.25">
      <c r="A312" s="14">
        <v>46081</v>
      </c>
      <c r="B312" s="15" t="s">
        <v>559</v>
      </c>
      <c r="C312" s="15" t="s">
        <v>164</v>
      </c>
      <c r="D312" s="15" t="s">
        <v>1666</v>
      </c>
      <c r="E312" s="16">
        <v>48000</v>
      </c>
      <c r="F312" s="16">
        <v>47040</v>
      </c>
      <c r="G312" s="15">
        <v>122</v>
      </c>
      <c r="H312" s="15" t="s">
        <v>467</v>
      </c>
      <c r="I312" s="23">
        <v>47040</v>
      </c>
    </row>
    <row r="313" spans="1:9" s="17" customFormat="1" x14ac:dyDescent="0.25">
      <c r="A313" s="14">
        <v>46081</v>
      </c>
      <c r="B313" s="15" t="s">
        <v>560</v>
      </c>
      <c r="C313" s="15" t="s">
        <v>164</v>
      </c>
      <c r="D313" s="15" t="s">
        <v>1666</v>
      </c>
      <c r="E313" s="16">
        <v>258000</v>
      </c>
      <c r="F313" s="16">
        <v>252840</v>
      </c>
      <c r="G313" s="15">
        <v>122</v>
      </c>
      <c r="H313" s="15" t="s">
        <v>467</v>
      </c>
      <c r="I313" s="23">
        <v>252840</v>
      </c>
    </row>
    <row r="314" spans="1:9" s="17" customFormat="1" x14ac:dyDescent="0.25">
      <c r="A314" s="14">
        <v>46081</v>
      </c>
      <c r="B314" s="15" t="s">
        <v>561</v>
      </c>
      <c r="C314" s="15" t="s">
        <v>164</v>
      </c>
      <c r="D314" s="15" t="s">
        <v>1666</v>
      </c>
      <c r="E314" s="16">
        <v>57330</v>
      </c>
      <c r="F314" s="16">
        <v>57330</v>
      </c>
      <c r="G314" s="15">
        <v>122</v>
      </c>
      <c r="H314" s="15" t="s">
        <v>467</v>
      </c>
      <c r="I314" s="23">
        <v>57330</v>
      </c>
    </row>
    <row r="315" spans="1:9" s="17" customFormat="1" x14ac:dyDescent="0.25">
      <c r="A315" s="14">
        <v>46081</v>
      </c>
      <c r="B315" s="15" t="s">
        <v>562</v>
      </c>
      <c r="C315" s="15" t="s">
        <v>164</v>
      </c>
      <c r="D315" s="15" t="s">
        <v>1666</v>
      </c>
      <c r="E315" s="16">
        <v>211680</v>
      </c>
      <c r="F315" s="16">
        <v>211680</v>
      </c>
      <c r="G315" s="15">
        <v>122</v>
      </c>
      <c r="H315" s="15" t="s">
        <v>467</v>
      </c>
      <c r="I315" s="23">
        <v>211680</v>
      </c>
    </row>
    <row r="316" spans="1:9" s="17" customFormat="1" x14ac:dyDescent="0.25">
      <c r="A316" s="14">
        <v>46081</v>
      </c>
      <c r="B316" s="15" t="s">
        <v>563</v>
      </c>
      <c r="C316" s="15" t="s">
        <v>164</v>
      </c>
      <c r="D316" s="15" t="s">
        <v>1666</v>
      </c>
      <c r="E316" s="16">
        <v>435120</v>
      </c>
      <c r="F316" s="16">
        <v>435120</v>
      </c>
      <c r="G316" s="15">
        <v>122</v>
      </c>
      <c r="H316" s="15" t="s">
        <v>467</v>
      </c>
      <c r="I316" s="23">
        <v>435120</v>
      </c>
    </row>
    <row r="317" spans="1:9" s="17" customFormat="1" x14ac:dyDescent="0.25">
      <c r="A317" s="14">
        <v>46081</v>
      </c>
      <c r="B317" s="15" t="s">
        <v>564</v>
      </c>
      <c r="C317" s="15" t="s">
        <v>164</v>
      </c>
      <c r="D317" s="15" t="s">
        <v>1666</v>
      </c>
      <c r="E317" s="16">
        <v>108780</v>
      </c>
      <c r="F317" s="16">
        <v>108780</v>
      </c>
      <c r="G317" s="15">
        <v>122</v>
      </c>
      <c r="H317" s="15" t="s">
        <v>467</v>
      </c>
      <c r="I317" s="23">
        <v>108780</v>
      </c>
    </row>
    <row r="318" spans="1:9" s="17" customFormat="1" x14ac:dyDescent="0.25">
      <c r="A318" s="14">
        <v>46081</v>
      </c>
      <c r="B318" s="15" t="s">
        <v>565</v>
      </c>
      <c r="C318" s="15" t="s">
        <v>164</v>
      </c>
      <c r="D318" s="15" t="s">
        <v>1666</v>
      </c>
      <c r="E318" s="16">
        <v>57330</v>
      </c>
      <c r="F318" s="16">
        <v>57330</v>
      </c>
      <c r="G318" s="15">
        <v>122</v>
      </c>
      <c r="H318" s="15" t="s">
        <v>467</v>
      </c>
      <c r="I318" s="23">
        <v>57330</v>
      </c>
    </row>
    <row r="319" spans="1:9" s="17" customFormat="1" x14ac:dyDescent="0.25">
      <c r="A319" s="14">
        <v>46081</v>
      </c>
      <c r="B319" s="15" t="s">
        <v>566</v>
      </c>
      <c r="C319" s="15" t="s">
        <v>164</v>
      </c>
      <c r="D319" s="15" t="s">
        <v>1666</v>
      </c>
      <c r="E319" s="16">
        <v>40180</v>
      </c>
      <c r="F319" s="16">
        <v>40180</v>
      </c>
      <c r="G319" s="15">
        <v>122</v>
      </c>
      <c r="H319" s="15" t="s">
        <v>467</v>
      </c>
      <c r="I319" s="23">
        <v>40180</v>
      </c>
    </row>
    <row r="320" spans="1:9" s="17" customFormat="1" x14ac:dyDescent="0.25">
      <c r="A320" s="14">
        <v>46081</v>
      </c>
      <c r="B320" s="15" t="s">
        <v>567</v>
      </c>
      <c r="C320" s="15" t="s">
        <v>164</v>
      </c>
      <c r="D320" s="15" t="s">
        <v>1666</v>
      </c>
      <c r="E320" s="16">
        <v>177870</v>
      </c>
      <c r="F320" s="16">
        <v>177870</v>
      </c>
      <c r="G320" s="15">
        <v>122</v>
      </c>
      <c r="H320" s="15" t="s">
        <v>467</v>
      </c>
      <c r="I320" s="23">
        <v>177870</v>
      </c>
    </row>
    <row r="321" spans="1:9" s="17" customFormat="1" x14ac:dyDescent="0.25">
      <c r="A321" s="14">
        <v>46081</v>
      </c>
      <c r="B321" s="15" t="s">
        <v>568</v>
      </c>
      <c r="C321" s="15" t="s">
        <v>164</v>
      </c>
      <c r="D321" s="15" t="s">
        <v>1666</v>
      </c>
      <c r="E321" s="16">
        <v>28420</v>
      </c>
      <c r="F321" s="16">
        <v>28420</v>
      </c>
      <c r="G321" s="15">
        <v>122</v>
      </c>
      <c r="H321" s="15" t="s">
        <v>467</v>
      </c>
      <c r="I321" s="23">
        <v>28420</v>
      </c>
    </row>
    <row r="322" spans="1:9" s="17" customFormat="1" x14ac:dyDescent="0.25">
      <c r="A322" s="14">
        <v>46081</v>
      </c>
      <c r="B322" s="15" t="s">
        <v>569</v>
      </c>
      <c r="C322" s="15" t="s">
        <v>164</v>
      </c>
      <c r="D322" s="15" t="s">
        <v>1666</v>
      </c>
      <c r="E322" s="16">
        <v>114660</v>
      </c>
      <c r="F322" s="16">
        <v>114660</v>
      </c>
      <c r="G322" s="15">
        <v>122</v>
      </c>
      <c r="H322" s="15" t="s">
        <v>467</v>
      </c>
      <c r="I322" s="23">
        <v>114660</v>
      </c>
    </row>
    <row r="323" spans="1:9" s="17" customFormat="1" x14ac:dyDescent="0.25">
      <c r="A323" s="14">
        <v>46081</v>
      </c>
      <c r="B323" s="15" t="s">
        <v>570</v>
      </c>
      <c r="C323" s="15" t="s">
        <v>164</v>
      </c>
      <c r="D323" s="15" t="s">
        <v>1666</v>
      </c>
      <c r="E323" s="16">
        <v>82075</v>
      </c>
      <c r="F323" s="16">
        <v>82075</v>
      </c>
      <c r="G323" s="15">
        <v>122</v>
      </c>
      <c r="H323" s="15" t="s">
        <v>467</v>
      </c>
      <c r="I323" s="23">
        <v>82075</v>
      </c>
    </row>
    <row r="324" spans="1:9" s="17" customFormat="1" x14ac:dyDescent="0.25">
      <c r="A324" s="14">
        <v>46081</v>
      </c>
      <c r="B324" s="15" t="s">
        <v>571</v>
      </c>
      <c r="C324" s="15" t="s">
        <v>173</v>
      </c>
      <c r="D324" s="15" t="s">
        <v>1666</v>
      </c>
      <c r="E324" s="16">
        <v>270480</v>
      </c>
      <c r="F324" s="16">
        <v>270480</v>
      </c>
      <c r="G324" s="15">
        <v>122</v>
      </c>
      <c r="H324" s="15" t="s">
        <v>467</v>
      </c>
      <c r="I324" s="23">
        <v>270480</v>
      </c>
    </row>
    <row r="325" spans="1:9" s="17" customFormat="1" x14ac:dyDescent="0.25">
      <c r="A325" s="14">
        <v>46081</v>
      </c>
      <c r="B325" s="15" t="s">
        <v>572</v>
      </c>
      <c r="C325" s="15" t="s">
        <v>186</v>
      </c>
      <c r="D325" s="15" t="s">
        <v>1666</v>
      </c>
      <c r="E325" s="16">
        <v>412960</v>
      </c>
      <c r="F325" s="16">
        <v>412960</v>
      </c>
      <c r="G325" s="15">
        <v>122</v>
      </c>
      <c r="H325" s="15" t="s">
        <v>467</v>
      </c>
      <c r="I325" s="23">
        <v>412960</v>
      </c>
    </row>
    <row r="326" spans="1:9" s="17" customFormat="1" x14ac:dyDescent="0.25">
      <c r="A326" s="14">
        <v>46081</v>
      </c>
      <c r="B326" s="15" t="s">
        <v>573</v>
      </c>
      <c r="C326" s="15" t="s">
        <v>202</v>
      </c>
      <c r="D326" s="15" t="s">
        <v>1666</v>
      </c>
      <c r="E326" s="16">
        <v>1152808</v>
      </c>
      <c r="F326" s="16">
        <v>1152808</v>
      </c>
      <c r="G326" s="15">
        <v>122</v>
      </c>
      <c r="H326" s="15" t="s">
        <v>467</v>
      </c>
      <c r="I326" s="23">
        <v>1152808</v>
      </c>
    </row>
    <row r="327" spans="1:9" s="17" customFormat="1" x14ac:dyDescent="0.25">
      <c r="A327" s="14">
        <v>46082</v>
      </c>
      <c r="B327" s="15" t="s">
        <v>574</v>
      </c>
      <c r="C327" s="15" t="s">
        <v>137</v>
      </c>
      <c r="D327" s="15" t="s">
        <v>1666</v>
      </c>
      <c r="E327" s="16">
        <v>65880</v>
      </c>
      <c r="F327" s="16">
        <v>65880</v>
      </c>
      <c r="G327" s="15">
        <v>121</v>
      </c>
      <c r="H327" s="15" t="s">
        <v>467</v>
      </c>
      <c r="I327" s="23">
        <v>65880</v>
      </c>
    </row>
    <row r="328" spans="1:9" s="17" customFormat="1" x14ac:dyDescent="0.25">
      <c r="A328" s="14">
        <v>46082</v>
      </c>
      <c r="B328" s="15" t="s">
        <v>575</v>
      </c>
      <c r="C328" s="15" t="s">
        <v>137</v>
      </c>
      <c r="D328" s="15" t="s">
        <v>1666</v>
      </c>
      <c r="E328" s="16">
        <v>65880</v>
      </c>
      <c r="F328" s="16">
        <v>65880</v>
      </c>
      <c r="G328" s="15">
        <v>121</v>
      </c>
      <c r="H328" s="15" t="s">
        <v>467</v>
      </c>
      <c r="I328" s="23">
        <v>65880</v>
      </c>
    </row>
    <row r="329" spans="1:9" s="17" customFormat="1" x14ac:dyDescent="0.25">
      <c r="A329" s="14">
        <v>46082</v>
      </c>
      <c r="B329" s="15" t="s">
        <v>576</v>
      </c>
      <c r="C329" s="15" t="s">
        <v>137</v>
      </c>
      <c r="D329" s="15" t="s">
        <v>1666</v>
      </c>
      <c r="E329" s="16">
        <v>65880</v>
      </c>
      <c r="F329" s="16">
        <v>65880</v>
      </c>
      <c r="G329" s="15">
        <v>121</v>
      </c>
      <c r="H329" s="15" t="s">
        <v>467</v>
      </c>
      <c r="I329" s="23">
        <v>65880</v>
      </c>
    </row>
    <row r="330" spans="1:9" s="17" customFormat="1" x14ac:dyDescent="0.25">
      <c r="A330" s="14">
        <v>46082</v>
      </c>
      <c r="B330" s="15" t="s">
        <v>577</v>
      </c>
      <c r="C330" s="15" t="s">
        <v>137</v>
      </c>
      <c r="D330" s="15" t="s">
        <v>1666</v>
      </c>
      <c r="E330" s="16">
        <v>65880</v>
      </c>
      <c r="F330" s="16">
        <v>65880</v>
      </c>
      <c r="G330" s="15">
        <v>121</v>
      </c>
      <c r="H330" s="15" t="s">
        <v>467</v>
      </c>
      <c r="I330" s="23">
        <v>65880</v>
      </c>
    </row>
    <row r="331" spans="1:9" s="17" customFormat="1" x14ac:dyDescent="0.25">
      <c r="A331" s="14">
        <v>46082</v>
      </c>
      <c r="B331" s="15" t="s">
        <v>578</v>
      </c>
      <c r="C331" s="15" t="s">
        <v>149</v>
      </c>
      <c r="D331" s="15" t="s">
        <v>1666</v>
      </c>
      <c r="E331" s="16">
        <v>235800</v>
      </c>
      <c r="F331" s="16">
        <v>235800</v>
      </c>
      <c r="G331" s="15">
        <v>121</v>
      </c>
      <c r="H331" s="15" t="s">
        <v>467</v>
      </c>
      <c r="I331" s="23">
        <v>235800</v>
      </c>
    </row>
    <row r="332" spans="1:9" s="17" customFormat="1" x14ac:dyDescent="0.25">
      <c r="A332" s="14">
        <v>46082</v>
      </c>
      <c r="B332" s="15" t="s">
        <v>579</v>
      </c>
      <c r="C332" s="15" t="s">
        <v>159</v>
      </c>
      <c r="D332" s="15" t="s">
        <v>335</v>
      </c>
      <c r="E332" s="16">
        <v>307256.62</v>
      </c>
      <c r="F332" s="16">
        <v>307256.62</v>
      </c>
      <c r="G332" s="15">
        <v>121</v>
      </c>
      <c r="H332" s="15" t="s">
        <v>467</v>
      </c>
      <c r="I332" s="23">
        <v>307256.62</v>
      </c>
    </row>
    <row r="333" spans="1:9" s="17" customFormat="1" x14ac:dyDescent="0.25">
      <c r="A333" s="14">
        <v>46082</v>
      </c>
      <c r="B333" s="15" t="s">
        <v>580</v>
      </c>
      <c r="C333" s="15" t="s">
        <v>159</v>
      </c>
      <c r="D333" s="15" t="s">
        <v>1666</v>
      </c>
      <c r="E333" s="16">
        <v>428015.5</v>
      </c>
      <c r="F333" s="16">
        <v>428015.5</v>
      </c>
      <c r="G333" s="15">
        <v>121</v>
      </c>
      <c r="H333" s="15" t="s">
        <v>467</v>
      </c>
      <c r="I333" s="23">
        <v>428015.5</v>
      </c>
    </row>
    <row r="334" spans="1:9" s="17" customFormat="1" x14ac:dyDescent="0.25">
      <c r="A334" s="14">
        <v>46082</v>
      </c>
      <c r="B334" s="15" t="s">
        <v>581</v>
      </c>
      <c r="C334" s="15" t="s">
        <v>180</v>
      </c>
      <c r="D334" s="15" t="s">
        <v>531</v>
      </c>
      <c r="E334" s="16">
        <v>687357</v>
      </c>
      <c r="F334" s="16">
        <v>337357</v>
      </c>
      <c r="G334" s="15">
        <v>121</v>
      </c>
      <c r="H334" s="15" t="s">
        <v>467</v>
      </c>
      <c r="I334" s="23">
        <v>337357</v>
      </c>
    </row>
    <row r="335" spans="1:9" s="17" customFormat="1" x14ac:dyDescent="0.25">
      <c r="A335" s="14">
        <v>46082</v>
      </c>
      <c r="B335" s="15" t="s">
        <v>582</v>
      </c>
      <c r="C335" s="15" t="s">
        <v>190</v>
      </c>
      <c r="D335" s="15" t="s">
        <v>306</v>
      </c>
      <c r="E335" s="16">
        <v>718716.28</v>
      </c>
      <c r="F335" s="16">
        <v>468716.28</v>
      </c>
      <c r="G335" s="15">
        <v>121</v>
      </c>
      <c r="H335" s="15" t="s">
        <v>467</v>
      </c>
      <c r="I335" s="23">
        <v>468716.28</v>
      </c>
    </row>
    <row r="336" spans="1:9" s="17" customFormat="1" x14ac:dyDescent="0.25">
      <c r="A336" s="14">
        <v>46082</v>
      </c>
      <c r="B336" s="15" t="s">
        <v>583</v>
      </c>
      <c r="C336" s="15" t="s">
        <v>200</v>
      </c>
      <c r="D336" s="15" t="s">
        <v>416</v>
      </c>
      <c r="E336" s="16">
        <v>154875</v>
      </c>
      <c r="F336" s="16">
        <v>154875</v>
      </c>
      <c r="G336" s="15">
        <v>121</v>
      </c>
      <c r="H336" s="15" t="s">
        <v>467</v>
      </c>
      <c r="I336" s="23">
        <v>154875</v>
      </c>
    </row>
    <row r="337" spans="1:9" s="17" customFormat="1" x14ac:dyDescent="0.25">
      <c r="A337" s="14">
        <v>46083</v>
      </c>
      <c r="B337" s="15" t="s">
        <v>584</v>
      </c>
      <c r="C337" s="15" t="s">
        <v>71</v>
      </c>
      <c r="D337" s="15" t="s">
        <v>1666</v>
      </c>
      <c r="E337" s="16">
        <v>151157.5</v>
      </c>
      <c r="F337" s="16">
        <v>151157.5</v>
      </c>
      <c r="G337" s="15">
        <v>120</v>
      </c>
      <c r="H337" s="15" t="s">
        <v>490</v>
      </c>
      <c r="I337" s="23">
        <v>151157.5</v>
      </c>
    </row>
    <row r="338" spans="1:9" s="17" customFormat="1" x14ac:dyDescent="0.25">
      <c r="A338" s="14">
        <v>46090</v>
      </c>
      <c r="B338" s="15" t="s">
        <v>586</v>
      </c>
      <c r="C338" s="15" t="s">
        <v>196</v>
      </c>
      <c r="D338" s="15" t="s">
        <v>347</v>
      </c>
      <c r="E338" s="16">
        <v>15000</v>
      </c>
      <c r="F338" s="16">
        <v>15000</v>
      </c>
      <c r="G338" s="15">
        <v>113</v>
      </c>
      <c r="H338" s="15" t="s">
        <v>490</v>
      </c>
      <c r="I338" s="23">
        <v>-15000</v>
      </c>
    </row>
    <row r="339" spans="1:9" s="17" customFormat="1" x14ac:dyDescent="0.25">
      <c r="A339" s="14">
        <v>46097</v>
      </c>
      <c r="B339" s="15" t="s">
        <v>588</v>
      </c>
      <c r="C339" s="15" t="s">
        <v>188</v>
      </c>
      <c r="D339" s="15" t="s">
        <v>1666</v>
      </c>
      <c r="E339" s="16">
        <v>172046</v>
      </c>
      <c r="F339" s="16">
        <v>172046</v>
      </c>
      <c r="G339" s="15">
        <v>106</v>
      </c>
      <c r="H339" s="15" t="s">
        <v>490</v>
      </c>
      <c r="I339" s="23">
        <v>172046</v>
      </c>
    </row>
    <row r="340" spans="1:9" s="17" customFormat="1" x14ac:dyDescent="0.25">
      <c r="A340" s="14">
        <v>46097</v>
      </c>
      <c r="B340" s="15" t="s">
        <v>587</v>
      </c>
      <c r="C340" s="15" t="s">
        <v>188</v>
      </c>
      <c r="D340" s="15" t="s">
        <v>321</v>
      </c>
      <c r="E340" s="16">
        <v>197853</v>
      </c>
      <c r="F340" s="16">
        <v>197853</v>
      </c>
      <c r="G340" s="15">
        <v>106</v>
      </c>
      <c r="H340" s="15" t="s">
        <v>490</v>
      </c>
      <c r="I340" s="23">
        <v>197853</v>
      </c>
    </row>
    <row r="341" spans="1:9" s="17" customFormat="1" x14ac:dyDescent="0.25">
      <c r="A341" s="14">
        <v>46097</v>
      </c>
      <c r="B341" s="15" t="s">
        <v>589</v>
      </c>
      <c r="C341" s="15" t="s">
        <v>203</v>
      </c>
      <c r="D341" s="15" t="s">
        <v>306</v>
      </c>
      <c r="E341" s="16">
        <v>1802750</v>
      </c>
      <c r="F341" s="16">
        <v>1152750</v>
      </c>
      <c r="G341" s="15">
        <v>106</v>
      </c>
      <c r="H341" s="15" t="s">
        <v>490</v>
      </c>
      <c r="I341" s="23">
        <v>1152750</v>
      </c>
    </row>
    <row r="342" spans="1:9" s="17" customFormat="1" x14ac:dyDescent="0.25">
      <c r="A342" s="14">
        <v>46098</v>
      </c>
      <c r="B342" s="15" t="s">
        <v>590</v>
      </c>
      <c r="C342" s="15" t="s">
        <v>164</v>
      </c>
      <c r="D342" s="15" t="s">
        <v>1666</v>
      </c>
      <c r="E342" s="16">
        <v>32340</v>
      </c>
      <c r="F342" s="16">
        <v>32340</v>
      </c>
      <c r="G342" s="15">
        <v>105</v>
      </c>
      <c r="H342" s="15" t="s">
        <v>490</v>
      </c>
      <c r="I342" s="23">
        <v>32340</v>
      </c>
    </row>
    <row r="343" spans="1:9" s="17" customFormat="1" x14ac:dyDescent="0.25">
      <c r="A343" s="14">
        <v>46098</v>
      </c>
      <c r="B343" s="15" t="s">
        <v>591</v>
      </c>
      <c r="C343" s="15" t="s">
        <v>188</v>
      </c>
      <c r="D343" s="15" t="s">
        <v>1666</v>
      </c>
      <c r="E343" s="16">
        <v>169752</v>
      </c>
      <c r="F343" s="16">
        <v>169752</v>
      </c>
      <c r="G343" s="15">
        <v>105</v>
      </c>
      <c r="H343" s="15" t="s">
        <v>490</v>
      </c>
      <c r="I343" s="23">
        <v>169752</v>
      </c>
    </row>
    <row r="344" spans="1:9" s="17" customFormat="1" x14ac:dyDescent="0.25">
      <c r="A344" s="14">
        <v>46099</v>
      </c>
      <c r="B344" s="15" t="s">
        <v>593</v>
      </c>
      <c r="C344" s="15" t="s">
        <v>188</v>
      </c>
      <c r="D344" s="15" t="s">
        <v>1666</v>
      </c>
      <c r="E344" s="16">
        <v>172046</v>
      </c>
      <c r="F344" s="16">
        <v>172046</v>
      </c>
      <c r="G344" s="15">
        <v>104</v>
      </c>
      <c r="H344" s="15" t="s">
        <v>490</v>
      </c>
      <c r="I344" s="23">
        <v>172046</v>
      </c>
    </row>
    <row r="345" spans="1:9" s="17" customFormat="1" x14ac:dyDescent="0.25">
      <c r="A345" s="14">
        <v>46099</v>
      </c>
      <c r="B345" s="15" t="s">
        <v>592</v>
      </c>
      <c r="C345" s="15" t="s">
        <v>188</v>
      </c>
      <c r="D345" s="15" t="s">
        <v>1666</v>
      </c>
      <c r="E345" s="16">
        <v>169752</v>
      </c>
      <c r="F345" s="16">
        <v>169752</v>
      </c>
      <c r="G345" s="15">
        <v>104</v>
      </c>
      <c r="H345" s="15" t="s">
        <v>490</v>
      </c>
      <c r="I345" s="23">
        <v>169752</v>
      </c>
    </row>
    <row r="346" spans="1:9" s="17" customFormat="1" x14ac:dyDescent="0.25">
      <c r="A346" s="14">
        <v>46105</v>
      </c>
      <c r="B346" s="15" t="s">
        <v>594</v>
      </c>
      <c r="C346" s="15" t="s">
        <v>164</v>
      </c>
      <c r="D346" s="15" t="s">
        <v>1666</v>
      </c>
      <c r="E346" s="16">
        <v>34000</v>
      </c>
      <c r="F346" s="16">
        <v>33320</v>
      </c>
      <c r="G346" s="15">
        <v>98</v>
      </c>
      <c r="H346" s="15" t="s">
        <v>490</v>
      </c>
      <c r="I346" s="23">
        <v>33320</v>
      </c>
    </row>
    <row r="347" spans="1:9" s="17" customFormat="1" x14ac:dyDescent="0.25">
      <c r="A347" s="14">
        <v>46106</v>
      </c>
      <c r="B347" s="15" t="s">
        <v>595</v>
      </c>
      <c r="C347" s="15" t="s">
        <v>13</v>
      </c>
      <c r="D347" s="15" t="s">
        <v>306</v>
      </c>
      <c r="E347" s="16">
        <v>120950</v>
      </c>
      <c r="F347" s="16">
        <v>10620</v>
      </c>
      <c r="G347" s="15">
        <v>97</v>
      </c>
      <c r="H347" s="15" t="s">
        <v>490</v>
      </c>
      <c r="I347" s="23">
        <v>10620</v>
      </c>
    </row>
    <row r="348" spans="1:9" s="17" customFormat="1" x14ac:dyDescent="0.25">
      <c r="A348" s="14">
        <v>46106</v>
      </c>
      <c r="B348" s="15" t="s">
        <v>596</v>
      </c>
      <c r="C348" s="15" t="s">
        <v>197</v>
      </c>
      <c r="D348" s="15" t="s">
        <v>319</v>
      </c>
      <c r="E348" s="16">
        <v>646623.6</v>
      </c>
      <c r="F348" s="16">
        <v>321376.5</v>
      </c>
      <c r="G348" s="15">
        <v>97</v>
      </c>
      <c r="H348" s="15" t="s">
        <v>490</v>
      </c>
      <c r="I348" s="23">
        <v>321376.5</v>
      </c>
    </row>
    <row r="349" spans="1:9" s="17" customFormat="1" x14ac:dyDescent="0.25">
      <c r="A349" s="14">
        <v>46107</v>
      </c>
      <c r="B349" s="15" t="s">
        <v>597</v>
      </c>
      <c r="C349" s="15" t="s">
        <v>188</v>
      </c>
      <c r="D349" s="15" t="s">
        <v>321</v>
      </c>
      <c r="E349" s="16">
        <v>172046</v>
      </c>
      <c r="F349" s="16">
        <v>172046</v>
      </c>
      <c r="G349" s="15">
        <v>96</v>
      </c>
      <c r="H349" s="15" t="s">
        <v>490</v>
      </c>
      <c r="I349" s="23">
        <v>172046</v>
      </c>
    </row>
    <row r="350" spans="1:9" s="17" customFormat="1" x14ac:dyDescent="0.25">
      <c r="A350" s="14">
        <v>46108</v>
      </c>
      <c r="B350" s="15" t="s">
        <v>599</v>
      </c>
      <c r="C350" s="15" t="s">
        <v>188</v>
      </c>
      <c r="D350" s="15" t="s">
        <v>1666</v>
      </c>
      <c r="E350" s="16">
        <v>169752</v>
      </c>
      <c r="F350" s="16">
        <v>169752</v>
      </c>
      <c r="G350" s="15">
        <v>95</v>
      </c>
      <c r="H350" s="15" t="s">
        <v>490</v>
      </c>
      <c r="I350" s="23">
        <v>169752</v>
      </c>
    </row>
    <row r="351" spans="1:9" s="17" customFormat="1" x14ac:dyDescent="0.25">
      <c r="A351" s="14">
        <v>46110</v>
      </c>
      <c r="B351" s="15" t="s">
        <v>600</v>
      </c>
      <c r="C351" s="15" t="s">
        <v>188</v>
      </c>
      <c r="D351" s="15" t="s">
        <v>1666</v>
      </c>
      <c r="E351" s="16">
        <v>197853</v>
      </c>
      <c r="F351" s="16">
        <v>197853</v>
      </c>
      <c r="G351" s="15">
        <v>93</v>
      </c>
      <c r="H351" s="15" t="s">
        <v>490</v>
      </c>
      <c r="I351" s="23">
        <v>197853</v>
      </c>
    </row>
    <row r="352" spans="1:9" s="17" customFormat="1" x14ac:dyDescent="0.25">
      <c r="A352" s="14">
        <v>46112</v>
      </c>
      <c r="B352" s="15" t="s">
        <v>601</v>
      </c>
      <c r="C352" s="15" t="s">
        <v>22</v>
      </c>
      <c r="D352" s="15" t="s">
        <v>1666</v>
      </c>
      <c r="E352" s="16">
        <v>1116173.24</v>
      </c>
      <c r="F352" s="16">
        <v>1116173.24</v>
      </c>
      <c r="G352" s="15">
        <v>91</v>
      </c>
      <c r="H352" s="15" t="s">
        <v>490</v>
      </c>
      <c r="I352" s="23">
        <v>1116173.24</v>
      </c>
    </row>
    <row r="353" spans="1:9" s="17" customFormat="1" x14ac:dyDescent="0.25">
      <c r="A353" s="14">
        <v>46112</v>
      </c>
      <c r="B353" s="15" t="s">
        <v>602</v>
      </c>
      <c r="C353" s="15" t="s">
        <v>22</v>
      </c>
      <c r="D353" s="15" t="s">
        <v>1666</v>
      </c>
      <c r="E353" s="16">
        <v>157587.09</v>
      </c>
      <c r="F353" s="16">
        <v>157587.09</v>
      </c>
      <c r="G353" s="15">
        <v>91</v>
      </c>
      <c r="H353" s="15" t="s">
        <v>490</v>
      </c>
      <c r="I353" s="23">
        <v>157587.09</v>
      </c>
    </row>
    <row r="354" spans="1:9" s="17" customFormat="1" x14ac:dyDescent="0.25">
      <c r="A354" s="14">
        <v>46112</v>
      </c>
      <c r="B354" s="15" t="s">
        <v>603</v>
      </c>
      <c r="C354" s="15" t="s">
        <v>22</v>
      </c>
      <c r="D354" s="15" t="s">
        <v>1666</v>
      </c>
      <c r="E354" s="16">
        <v>459330.88</v>
      </c>
      <c r="F354" s="16">
        <v>459330.88</v>
      </c>
      <c r="G354" s="15">
        <v>91</v>
      </c>
      <c r="H354" s="15" t="s">
        <v>490</v>
      </c>
      <c r="I354" s="23">
        <v>459330.88</v>
      </c>
    </row>
    <row r="355" spans="1:9" s="17" customFormat="1" x14ac:dyDescent="0.25">
      <c r="A355" s="14">
        <v>46112</v>
      </c>
      <c r="B355" s="15" t="s">
        <v>604</v>
      </c>
      <c r="C355" s="15" t="s">
        <v>22</v>
      </c>
      <c r="D355" s="15" t="s">
        <v>1666</v>
      </c>
      <c r="E355" s="16">
        <v>51445.06</v>
      </c>
      <c r="F355" s="16">
        <v>51445.06</v>
      </c>
      <c r="G355" s="15">
        <v>91</v>
      </c>
      <c r="H355" s="15" t="s">
        <v>490</v>
      </c>
      <c r="I355" s="23">
        <v>51445.06</v>
      </c>
    </row>
    <row r="356" spans="1:9" s="17" customFormat="1" x14ac:dyDescent="0.25">
      <c r="A356" s="14">
        <v>46112</v>
      </c>
      <c r="B356" s="15" t="s">
        <v>605</v>
      </c>
      <c r="C356" s="15" t="s">
        <v>22</v>
      </c>
      <c r="D356" s="15" t="s">
        <v>1666</v>
      </c>
      <c r="E356" s="16">
        <v>101394.26</v>
      </c>
      <c r="F356" s="16">
        <v>101394.26</v>
      </c>
      <c r="G356" s="15">
        <v>91</v>
      </c>
      <c r="H356" s="15" t="s">
        <v>490</v>
      </c>
      <c r="I356" s="23">
        <v>101394.26</v>
      </c>
    </row>
    <row r="357" spans="1:9" s="17" customFormat="1" x14ac:dyDescent="0.25">
      <c r="A357" s="14">
        <v>46112</v>
      </c>
      <c r="B357" s="15" t="s">
        <v>606</v>
      </c>
      <c r="C357" s="15" t="s">
        <v>44</v>
      </c>
      <c r="D357" s="15" t="s">
        <v>1666</v>
      </c>
      <c r="E357" s="16">
        <v>83230</v>
      </c>
      <c r="F357" s="16">
        <v>83230</v>
      </c>
      <c r="G357" s="15">
        <v>91</v>
      </c>
      <c r="H357" s="15" t="s">
        <v>490</v>
      </c>
      <c r="I357" s="23">
        <v>83230</v>
      </c>
    </row>
    <row r="358" spans="1:9" s="17" customFormat="1" x14ac:dyDescent="0.25">
      <c r="A358" s="14">
        <v>46112</v>
      </c>
      <c r="B358" s="15" t="s">
        <v>607</v>
      </c>
      <c r="C358" s="15" t="s">
        <v>44</v>
      </c>
      <c r="D358" s="15" t="s">
        <v>1666</v>
      </c>
      <c r="E358" s="16">
        <v>113100</v>
      </c>
      <c r="F358" s="16">
        <v>113100</v>
      </c>
      <c r="G358" s="15">
        <v>91</v>
      </c>
      <c r="H358" s="15" t="s">
        <v>490</v>
      </c>
      <c r="I358" s="23">
        <v>113100</v>
      </c>
    </row>
    <row r="359" spans="1:9" s="17" customFormat="1" x14ac:dyDescent="0.25">
      <c r="A359" s="14">
        <v>46112</v>
      </c>
      <c r="B359" s="15" t="s">
        <v>608</v>
      </c>
      <c r="C359" s="15" t="s">
        <v>44</v>
      </c>
      <c r="D359" s="15" t="s">
        <v>1666</v>
      </c>
      <c r="E359" s="16">
        <v>186760</v>
      </c>
      <c r="F359" s="16">
        <v>186760</v>
      </c>
      <c r="G359" s="15">
        <v>91</v>
      </c>
      <c r="H359" s="15" t="s">
        <v>490</v>
      </c>
      <c r="I359" s="23">
        <v>186760</v>
      </c>
    </row>
    <row r="360" spans="1:9" s="17" customFormat="1" x14ac:dyDescent="0.25">
      <c r="A360" s="14">
        <v>46112</v>
      </c>
      <c r="B360" s="15" t="s">
        <v>609</v>
      </c>
      <c r="C360" s="15" t="s">
        <v>44</v>
      </c>
      <c r="D360" s="15" t="s">
        <v>1666</v>
      </c>
      <c r="E360" s="16">
        <v>117450</v>
      </c>
      <c r="F360" s="16">
        <v>263610</v>
      </c>
      <c r="G360" s="15">
        <v>91</v>
      </c>
      <c r="H360" s="15" t="s">
        <v>490</v>
      </c>
      <c r="I360" s="23">
        <v>263610</v>
      </c>
    </row>
    <row r="361" spans="1:9" s="17" customFormat="1" x14ac:dyDescent="0.25">
      <c r="A361" s="14">
        <v>46112</v>
      </c>
      <c r="B361" s="15" t="s">
        <v>610</v>
      </c>
      <c r="C361" s="15" t="s">
        <v>45</v>
      </c>
      <c r="D361" s="15" t="s">
        <v>1666</v>
      </c>
      <c r="E361" s="16">
        <v>7434125.6399999997</v>
      </c>
      <c r="F361" s="16">
        <v>2.2400000000000002</v>
      </c>
      <c r="G361" s="15">
        <v>91</v>
      </c>
      <c r="H361" s="15" t="s">
        <v>490</v>
      </c>
      <c r="I361" s="23">
        <v>2.2400000000000002</v>
      </c>
    </row>
    <row r="362" spans="1:9" s="17" customFormat="1" x14ac:dyDescent="0.25">
      <c r="A362" s="14">
        <v>46112</v>
      </c>
      <c r="B362" s="15" t="s">
        <v>611</v>
      </c>
      <c r="C362" s="15" t="s">
        <v>71</v>
      </c>
      <c r="D362" s="15" t="s">
        <v>1666</v>
      </c>
      <c r="E362" s="16">
        <v>922006.48</v>
      </c>
      <c r="F362" s="16">
        <v>922006.48</v>
      </c>
      <c r="G362" s="15">
        <v>91</v>
      </c>
      <c r="H362" s="15" t="s">
        <v>490</v>
      </c>
      <c r="I362" s="23">
        <v>922006.48</v>
      </c>
    </row>
    <row r="363" spans="1:9" s="17" customFormat="1" x14ac:dyDescent="0.25">
      <c r="A363" s="14">
        <v>46112</v>
      </c>
      <c r="B363" s="15" t="s">
        <v>612</v>
      </c>
      <c r="C363" s="15" t="s">
        <v>71</v>
      </c>
      <c r="D363" s="15" t="s">
        <v>1666</v>
      </c>
      <c r="E363" s="16">
        <v>962164.36</v>
      </c>
      <c r="F363" s="16">
        <v>962164.36</v>
      </c>
      <c r="G363" s="15">
        <v>91</v>
      </c>
      <c r="H363" s="15" t="s">
        <v>490</v>
      </c>
      <c r="I363" s="23">
        <v>962164.36</v>
      </c>
    </row>
    <row r="364" spans="1:9" s="17" customFormat="1" x14ac:dyDescent="0.25">
      <c r="A364" s="14">
        <v>46112</v>
      </c>
      <c r="B364" s="15" t="s">
        <v>613</v>
      </c>
      <c r="C364" s="15" t="s">
        <v>104</v>
      </c>
      <c r="D364" s="15" t="s">
        <v>335</v>
      </c>
      <c r="E364" s="16">
        <v>2941956.99</v>
      </c>
      <c r="F364" s="16">
        <v>0.3</v>
      </c>
      <c r="G364" s="15">
        <v>91</v>
      </c>
      <c r="H364" s="15" t="s">
        <v>490</v>
      </c>
      <c r="I364" s="23">
        <v>0.3</v>
      </c>
    </row>
    <row r="365" spans="1:9" s="17" customFormat="1" x14ac:dyDescent="0.25">
      <c r="A365" s="14">
        <v>46112</v>
      </c>
      <c r="B365" s="15" t="s">
        <v>614</v>
      </c>
      <c r="C365" s="15" t="s">
        <v>143</v>
      </c>
      <c r="D365" s="15" t="s">
        <v>1666</v>
      </c>
      <c r="E365" s="16">
        <v>106200</v>
      </c>
      <c r="F365" s="16">
        <v>106200</v>
      </c>
      <c r="G365" s="15">
        <v>91</v>
      </c>
      <c r="H365" s="15" t="s">
        <v>490</v>
      </c>
      <c r="I365" s="23">
        <v>106200</v>
      </c>
    </row>
    <row r="366" spans="1:9" s="17" customFormat="1" x14ac:dyDescent="0.25">
      <c r="A366" s="14">
        <v>46112</v>
      </c>
      <c r="B366" s="15" t="s">
        <v>615</v>
      </c>
      <c r="C366" s="15" t="s">
        <v>143</v>
      </c>
      <c r="D366" s="15" t="s">
        <v>1666</v>
      </c>
      <c r="E366" s="16">
        <v>212400</v>
      </c>
      <c r="F366" s="16">
        <v>212400</v>
      </c>
      <c r="G366" s="15">
        <v>91</v>
      </c>
      <c r="H366" s="15" t="s">
        <v>490</v>
      </c>
      <c r="I366" s="23">
        <v>212400</v>
      </c>
    </row>
    <row r="367" spans="1:9" s="17" customFormat="1" x14ac:dyDescent="0.25">
      <c r="A367" s="14">
        <v>46112</v>
      </c>
      <c r="B367" s="15" t="s">
        <v>616</v>
      </c>
      <c r="C367" s="15" t="s">
        <v>143</v>
      </c>
      <c r="D367" s="15" t="s">
        <v>1666</v>
      </c>
      <c r="E367" s="16">
        <v>106200</v>
      </c>
      <c r="F367" s="16">
        <v>106200</v>
      </c>
      <c r="G367" s="15">
        <v>91</v>
      </c>
      <c r="H367" s="15" t="s">
        <v>490</v>
      </c>
      <c r="I367" s="23">
        <v>106200</v>
      </c>
    </row>
    <row r="368" spans="1:9" s="17" customFormat="1" x14ac:dyDescent="0.25">
      <c r="A368" s="14">
        <v>46112</v>
      </c>
      <c r="B368" s="15" t="s">
        <v>617</v>
      </c>
      <c r="C368" s="15" t="s">
        <v>143</v>
      </c>
      <c r="D368" s="15" t="s">
        <v>1666</v>
      </c>
      <c r="E368" s="16">
        <v>106200</v>
      </c>
      <c r="F368" s="16">
        <v>106200</v>
      </c>
      <c r="G368" s="15">
        <v>91</v>
      </c>
      <c r="H368" s="15" t="s">
        <v>490</v>
      </c>
      <c r="I368" s="23">
        <v>106200</v>
      </c>
    </row>
    <row r="369" spans="1:9" s="17" customFormat="1" x14ac:dyDescent="0.25">
      <c r="A369" s="14">
        <v>46112</v>
      </c>
      <c r="B369" s="15" t="s">
        <v>618</v>
      </c>
      <c r="C369" s="15" t="s">
        <v>143</v>
      </c>
      <c r="D369" s="15" t="s">
        <v>1666</v>
      </c>
      <c r="E369" s="16">
        <v>106200</v>
      </c>
      <c r="F369" s="16">
        <v>106200</v>
      </c>
      <c r="G369" s="15">
        <v>91</v>
      </c>
      <c r="H369" s="15" t="s">
        <v>490</v>
      </c>
      <c r="I369" s="23">
        <v>106200</v>
      </c>
    </row>
    <row r="370" spans="1:9" s="17" customFormat="1" x14ac:dyDescent="0.25">
      <c r="A370" s="14">
        <v>46112</v>
      </c>
      <c r="B370" s="15" t="s">
        <v>619</v>
      </c>
      <c r="C370" s="15" t="s">
        <v>145</v>
      </c>
      <c r="D370" s="15" t="s">
        <v>1666</v>
      </c>
      <c r="E370" s="16">
        <v>332760</v>
      </c>
      <c r="F370" s="16">
        <v>332760</v>
      </c>
      <c r="G370" s="15">
        <v>91</v>
      </c>
      <c r="H370" s="15" t="s">
        <v>490</v>
      </c>
      <c r="I370" s="23">
        <v>332760</v>
      </c>
    </row>
    <row r="371" spans="1:9" s="17" customFormat="1" x14ac:dyDescent="0.25">
      <c r="A371" s="14">
        <v>46112</v>
      </c>
      <c r="B371" s="15" t="s">
        <v>620</v>
      </c>
      <c r="C371" s="15" t="s">
        <v>146</v>
      </c>
      <c r="D371" s="15" t="s">
        <v>1666</v>
      </c>
      <c r="E371" s="16">
        <v>1364283</v>
      </c>
      <c r="F371" s="16">
        <v>1364283</v>
      </c>
      <c r="G371" s="15">
        <v>91</v>
      </c>
      <c r="H371" s="15" t="s">
        <v>490</v>
      </c>
      <c r="I371" s="23">
        <v>1364283</v>
      </c>
    </row>
    <row r="372" spans="1:9" s="17" customFormat="1" x14ac:dyDescent="0.25">
      <c r="A372" s="14">
        <v>46112</v>
      </c>
      <c r="B372" s="15" t="s">
        <v>621</v>
      </c>
      <c r="C372" s="15" t="s">
        <v>146</v>
      </c>
      <c r="D372" s="15" t="s">
        <v>1666</v>
      </c>
      <c r="E372" s="16">
        <v>1186500</v>
      </c>
      <c r="F372" s="16">
        <v>1186500</v>
      </c>
      <c r="G372" s="15">
        <v>91</v>
      </c>
      <c r="H372" s="15" t="s">
        <v>490</v>
      </c>
      <c r="I372" s="23">
        <v>1186500</v>
      </c>
    </row>
    <row r="373" spans="1:9" s="17" customFormat="1" x14ac:dyDescent="0.25">
      <c r="A373" s="14">
        <v>46112</v>
      </c>
      <c r="B373" s="15" t="s">
        <v>622</v>
      </c>
      <c r="C373" s="15" t="s">
        <v>147</v>
      </c>
      <c r="D373" s="15" t="s">
        <v>1666</v>
      </c>
      <c r="E373" s="16">
        <v>178990.67</v>
      </c>
      <c r="F373" s="16">
        <v>178990.67</v>
      </c>
      <c r="G373" s="15">
        <v>91</v>
      </c>
      <c r="H373" s="15" t="s">
        <v>490</v>
      </c>
      <c r="I373" s="23">
        <v>178990.67</v>
      </c>
    </row>
    <row r="374" spans="1:9" s="17" customFormat="1" x14ac:dyDescent="0.25">
      <c r="A374" s="14">
        <v>46112</v>
      </c>
      <c r="B374" s="15" t="s">
        <v>623</v>
      </c>
      <c r="C374" s="15" t="s">
        <v>147</v>
      </c>
      <c r="D374" s="15" t="s">
        <v>1666</v>
      </c>
      <c r="E374" s="16">
        <v>470229.6</v>
      </c>
      <c r="F374" s="16">
        <v>470229.6</v>
      </c>
      <c r="G374" s="15">
        <v>91</v>
      </c>
      <c r="H374" s="15" t="s">
        <v>490</v>
      </c>
      <c r="I374" s="23">
        <v>470229.6</v>
      </c>
    </row>
    <row r="375" spans="1:9" s="17" customFormat="1" x14ac:dyDescent="0.25">
      <c r="A375" s="14">
        <v>46112</v>
      </c>
      <c r="B375" s="15" t="s">
        <v>624</v>
      </c>
      <c r="C375" s="15" t="s">
        <v>147</v>
      </c>
      <c r="D375" s="15" t="s">
        <v>1666</v>
      </c>
      <c r="E375" s="16">
        <v>22680</v>
      </c>
      <c r="F375" s="16">
        <v>22680</v>
      </c>
      <c r="G375" s="15">
        <v>91</v>
      </c>
      <c r="H375" s="15" t="s">
        <v>490</v>
      </c>
      <c r="I375" s="23">
        <v>22680</v>
      </c>
    </row>
    <row r="376" spans="1:9" s="17" customFormat="1" x14ac:dyDescent="0.25">
      <c r="A376" s="14">
        <v>46112</v>
      </c>
      <c r="B376" s="15" t="s">
        <v>625</v>
      </c>
      <c r="C376" s="15" t="s">
        <v>147</v>
      </c>
      <c r="D376" s="15" t="s">
        <v>1666</v>
      </c>
      <c r="E376" s="16">
        <v>19263846</v>
      </c>
      <c r="F376" s="16">
        <v>19263846</v>
      </c>
      <c r="G376" s="15">
        <v>91</v>
      </c>
      <c r="H376" s="15" t="s">
        <v>490</v>
      </c>
      <c r="I376" s="23">
        <v>19263846</v>
      </c>
    </row>
    <row r="377" spans="1:9" s="17" customFormat="1" x14ac:dyDescent="0.25">
      <c r="A377" s="14">
        <v>46112</v>
      </c>
      <c r="B377" s="15" t="s">
        <v>626</v>
      </c>
      <c r="C377" s="15" t="s">
        <v>151</v>
      </c>
      <c r="D377" s="15" t="s">
        <v>1666</v>
      </c>
      <c r="E377" s="16">
        <v>51801.760000000002</v>
      </c>
      <c r="F377" s="16">
        <v>51801.760000000002</v>
      </c>
      <c r="G377" s="15">
        <v>91</v>
      </c>
      <c r="H377" s="15" t="s">
        <v>490</v>
      </c>
      <c r="I377" s="23">
        <v>51801.760000000002</v>
      </c>
    </row>
    <row r="378" spans="1:9" s="17" customFormat="1" x14ac:dyDescent="0.25">
      <c r="A378" s="14">
        <v>46112</v>
      </c>
      <c r="B378" s="15" t="s">
        <v>627</v>
      </c>
      <c r="C378" s="15" t="s">
        <v>151</v>
      </c>
      <c r="D378" s="15" t="s">
        <v>1666</v>
      </c>
      <c r="E378" s="16">
        <v>176596.88</v>
      </c>
      <c r="F378" s="16">
        <v>176596.88</v>
      </c>
      <c r="G378" s="15">
        <v>91</v>
      </c>
      <c r="H378" s="15" t="s">
        <v>490</v>
      </c>
      <c r="I378" s="23">
        <v>176596.88</v>
      </c>
    </row>
    <row r="379" spans="1:9" s="17" customFormat="1" x14ac:dyDescent="0.25">
      <c r="A379" s="14">
        <v>46112</v>
      </c>
      <c r="B379" s="15" t="s">
        <v>628</v>
      </c>
      <c r="C379" s="15" t="s">
        <v>151</v>
      </c>
      <c r="D379" s="15" t="s">
        <v>1666</v>
      </c>
      <c r="E379" s="16">
        <v>156975</v>
      </c>
      <c r="F379" s="16">
        <v>156975</v>
      </c>
      <c r="G379" s="15">
        <v>91</v>
      </c>
      <c r="H379" s="15" t="s">
        <v>490</v>
      </c>
      <c r="I379" s="23">
        <v>156975</v>
      </c>
    </row>
    <row r="380" spans="1:9" s="17" customFormat="1" x14ac:dyDescent="0.25">
      <c r="A380" s="14">
        <v>46112</v>
      </c>
      <c r="B380" s="15" t="s">
        <v>629</v>
      </c>
      <c r="C380" s="15" t="s">
        <v>151</v>
      </c>
      <c r="D380" s="15" t="s">
        <v>1666</v>
      </c>
      <c r="E380" s="16">
        <v>156975</v>
      </c>
      <c r="F380" s="16">
        <v>156975</v>
      </c>
      <c r="G380" s="15">
        <v>91</v>
      </c>
      <c r="H380" s="15" t="s">
        <v>490</v>
      </c>
      <c r="I380" s="23">
        <v>156975</v>
      </c>
    </row>
    <row r="381" spans="1:9" s="17" customFormat="1" x14ac:dyDescent="0.25">
      <c r="A381" s="14">
        <v>46112</v>
      </c>
      <c r="B381" s="15" t="s">
        <v>632</v>
      </c>
      <c r="C381" s="15" t="s">
        <v>156</v>
      </c>
      <c r="D381" s="15" t="s">
        <v>347</v>
      </c>
      <c r="E381" s="16">
        <v>88528</v>
      </c>
      <c r="F381" s="16">
        <v>88528</v>
      </c>
      <c r="G381" s="15">
        <v>91</v>
      </c>
      <c r="H381" s="15" t="s">
        <v>490</v>
      </c>
      <c r="I381" s="23">
        <v>88528</v>
      </c>
    </row>
    <row r="382" spans="1:9" s="17" customFormat="1" x14ac:dyDescent="0.25">
      <c r="A382" s="14">
        <v>46112</v>
      </c>
      <c r="B382" s="15" t="s">
        <v>631</v>
      </c>
      <c r="C382" s="15" t="s">
        <v>156</v>
      </c>
      <c r="D382" s="15" t="s">
        <v>1666</v>
      </c>
      <c r="E382" s="16">
        <v>161660</v>
      </c>
      <c r="F382" s="16">
        <v>161660</v>
      </c>
      <c r="G382" s="15">
        <v>91</v>
      </c>
      <c r="H382" s="15" t="s">
        <v>490</v>
      </c>
      <c r="I382" s="23">
        <v>161660</v>
      </c>
    </row>
    <row r="383" spans="1:9" s="17" customFormat="1" x14ac:dyDescent="0.25">
      <c r="A383" s="14">
        <v>46112</v>
      </c>
      <c r="B383" s="15" t="s">
        <v>630</v>
      </c>
      <c r="C383" s="15" t="s">
        <v>156</v>
      </c>
      <c r="D383" s="15" t="s">
        <v>1666</v>
      </c>
      <c r="E383" s="16">
        <v>22868.400000000001</v>
      </c>
      <c r="F383" s="16">
        <v>22868.400000000001</v>
      </c>
      <c r="G383" s="15">
        <v>91</v>
      </c>
      <c r="H383" s="15" t="s">
        <v>490</v>
      </c>
      <c r="I383" s="23">
        <v>22868.400000000001</v>
      </c>
    </row>
    <row r="384" spans="1:9" s="17" customFormat="1" x14ac:dyDescent="0.25">
      <c r="A384" s="14">
        <v>46112</v>
      </c>
      <c r="B384" s="15" t="s">
        <v>633</v>
      </c>
      <c r="C384" s="15" t="s">
        <v>157</v>
      </c>
      <c r="D384" s="15" t="s">
        <v>1666</v>
      </c>
      <c r="E384" s="16">
        <v>1537000</v>
      </c>
      <c r="F384" s="16">
        <v>1537000</v>
      </c>
      <c r="G384" s="15">
        <v>91</v>
      </c>
      <c r="H384" s="15" t="s">
        <v>490</v>
      </c>
      <c r="I384" s="23">
        <v>1537000</v>
      </c>
    </row>
    <row r="385" spans="1:9" s="17" customFormat="1" x14ac:dyDescent="0.25">
      <c r="A385" s="14">
        <v>46112</v>
      </c>
      <c r="B385" s="15" t="s">
        <v>634</v>
      </c>
      <c r="C385" s="15" t="s">
        <v>157</v>
      </c>
      <c r="D385" s="15" t="s">
        <v>1666</v>
      </c>
      <c r="E385" s="16">
        <v>1537000</v>
      </c>
      <c r="F385" s="16">
        <v>1537000</v>
      </c>
      <c r="G385" s="15">
        <v>91</v>
      </c>
      <c r="H385" s="15" t="s">
        <v>490</v>
      </c>
      <c r="I385" s="23">
        <v>1537000</v>
      </c>
    </row>
    <row r="386" spans="1:9" s="17" customFormat="1" x14ac:dyDescent="0.25">
      <c r="A386" s="14">
        <v>46112</v>
      </c>
      <c r="B386" s="15" t="s">
        <v>635</v>
      </c>
      <c r="C386" s="15" t="s">
        <v>159</v>
      </c>
      <c r="D386" s="15" t="s">
        <v>335</v>
      </c>
      <c r="E386" s="16">
        <v>55639.03</v>
      </c>
      <c r="F386" s="16">
        <v>55639.03</v>
      </c>
      <c r="G386" s="15">
        <v>91</v>
      </c>
      <c r="H386" s="15" t="s">
        <v>490</v>
      </c>
      <c r="I386" s="23">
        <v>55639.03</v>
      </c>
    </row>
    <row r="387" spans="1:9" s="17" customFormat="1" x14ac:dyDescent="0.25">
      <c r="A387" s="14">
        <v>46112</v>
      </c>
      <c r="B387" s="15" t="s">
        <v>636</v>
      </c>
      <c r="C387" s="15" t="s">
        <v>164</v>
      </c>
      <c r="D387" s="15" t="s">
        <v>1666</v>
      </c>
      <c r="E387" s="16">
        <v>917000</v>
      </c>
      <c r="F387" s="16">
        <v>898660</v>
      </c>
      <c r="G387" s="15">
        <v>91</v>
      </c>
      <c r="H387" s="15" t="s">
        <v>490</v>
      </c>
      <c r="I387" s="23">
        <v>898660</v>
      </c>
    </row>
    <row r="388" spans="1:9" s="17" customFormat="1" x14ac:dyDescent="0.25">
      <c r="A388" s="14">
        <v>46112</v>
      </c>
      <c r="B388" s="15" t="s">
        <v>637</v>
      </c>
      <c r="C388" s="15" t="s">
        <v>164</v>
      </c>
      <c r="D388" s="15" t="s">
        <v>1666</v>
      </c>
      <c r="E388" s="16">
        <v>222000</v>
      </c>
      <c r="F388" s="16">
        <v>217560</v>
      </c>
      <c r="G388" s="15">
        <v>91</v>
      </c>
      <c r="H388" s="15" t="s">
        <v>490</v>
      </c>
      <c r="I388" s="23">
        <v>217560</v>
      </c>
    </row>
    <row r="389" spans="1:9" s="17" customFormat="1" x14ac:dyDescent="0.25">
      <c r="A389" s="14">
        <v>46112</v>
      </c>
      <c r="B389" s="15" t="s">
        <v>638</v>
      </c>
      <c r="C389" s="15" t="s">
        <v>164</v>
      </c>
      <c r="D389" s="15" t="s">
        <v>1666</v>
      </c>
      <c r="E389" s="16">
        <v>80850</v>
      </c>
      <c r="F389" s="16">
        <v>80850</v>
      </c>
      <c r="G389" s="15">
        <v>91</v>
      </c>
      <c r="H389" s="15" t="s">
        <v>490</v>
      </c>
      <c r="I389" s="23">
        <v>80850</v>
      </c>
    </row>
    <row r="390" spans="1:9" s="17" customFormat="1" x14ac:dyDescent="0.25">
      <c r="A390" s="14">
        <v>46112</v>
      </c>
      <c r="B390" s="15" t="s">
        <v>639</v>
      </c>
      <c r="C390" s="15" t="s">
        <v>164</v>
      </c>
      <c r="D390" s="15" t="s">
        <v>1666</v>
      </c>
      <c r="E390" s="16">
        <v>27000</v>
      </c>
      <c r="F390" s="16">
        <v>26460</v>
      </c>
      <c r="G390" s="15">
        <v>91</v>
      </c>
      <c r="H390" s="15" t="s">
        <v>490</v>
      </c>
      <c r="I390" s="23">
        <v>26460</v>
      </c>
    </row>
    <row r="391" spans="1:9" s="17" customFormat="1" x14ac:dyDescent="0.25">
      <c r="A391" s="14">
        <v>46112</v>
      </c>
      <c r="B391" s="15" t="s">
        <v>640</v>
      </c>
      <c r="C391" s="15" t="s">
        <v>164</v>
      </c>
      <c r="D391" s="15" t="s">
        <v>321</v>
      </c>
      <c r="E391" s="16">
        <v>6000</v>
      </c>
      <c r="F391" s="16">
        <v>138180</v>
      </c>
      <c r="G391" s="15">
        <v>91</v>
      </c>
      <c r="H391" s="15" t="s">
        <v>490</v>
      </c>
      <c r="I391" s="23">
        <v>138180</v>
      </c>
    </row>
    <row r="392" spans="1:9" s="17" customFormat="1" x14ac:dyDescent="0.25">
      <c r="A392" s="14">
        <v>46112</v>
      </c>
      <c r="B392" s="15" t="s">
        <v>641</v>
      </c>
      <c r="C392" s="15" t="s">
        <v>164</v>
      </c>
      <c r="D392" s="15" t="s">
        <v>1666</v>
      </c>
      <c r="E392" s="16">
        <v>117000</v>
      </c>
      <c r="F392" s="16">
        <v>114660</v>
      </c>
      <c r="G392" s="15">
        <v>91</v>
      </c>
      <c r="H392" s="15" t="s">
        <v>490</v>
      </c>
      <c r="I392" s="23">
        <v>114660</v>
      </c>
    </row>
    <row r="393" spans="1:9" s="17" customFormat="1" x14ac:dyDescent="0.25">
      <c r="A393" s="14">
        <v>46112</v>
      </c>
      <c r="B393" s="15" t="s">
        <v>642</v>
      </c>
      <c r="C393" s="15" t="s">
        <v>164</v>
      </c>
      <c r="D393" s="15" t="s">
        <v>1666</v>
      </c>
      <c r="E393" s="16">
        <v>29000</v>
      </c>
      <c r="F393" s="16">
        <v>28420</v>
      </c>
      <c r="G393" s="15">
        <v>91</v>
      </c>
      <c r="H393" s="15" t="s">
        <v>490</v>
      </c>
      <c r="I393" s="23">
        <v>28420</v>
      </c>
    </row>
    <row r="394" spans="1:9" s="17" customFormat="1" x14ac:dyDescent="0.25">
      <c r="A394" s="14">
        <v>46112</v>
      </c>
      <c r="B394" s="15" t="s">
        <v>643</v>
      </c>
      <c r="C394" s="15" t="s">
        <v>164</v>
      </c>
      <c r="D394" s="15" t="s">
        <v>1666</v>
      </c>
      <c r="E394" s="16">
        <v>26000</v>
      </c>
      <c r="F394" s="16">
        <v>25480</v>
      </c>
      <c r="G394" s="15">
        <v>91</v>
      </c>
      <c r="H394" s="15" t="s">
        <v>490</v>
      </c>
      <c r="I394" s="23">
        <v>25480</v>
      </c>
    </row>
    <row r="395" spans="1:9" s="17" customFormat="1" x14ac:dyDescent="0.25">
      <c r="A395" s="14">
        <v>46112</v>
      </c>
      <c r="B395" s="15" t="s">
        <v>644</v>
      </c>
      <c r="C395" s="15" t="s">
        <v>164</v>
      </c>
      <c r="D395" s="15" t="s">
        <v>1666</v>
      </c>
      <c r="E395" s="16">
        <v>52920</v>
      </c>
      <c r="F395" s="16">
        <v>52920</v>
      </c>
      <c r="G395" s="15">
        <v>91</v>
      </c>
      <c r="H395" s="15" t="s">
        <v>490</v>
      </c>
      <c r="I395" s="23">
        <v>52920</v>
      </c>
    </row>
    <row r="396" spans="1:9" s="17" customFormat="1" x14ac:dyDescent="0.25">
      <c r="A396" s="14">
        <v>46112</v>
      </c>
      <c r="B396" s="15" t="s">
        <v>645</v>
      </c>
      <c r="C396" s="15" t="s">
        <v>164</v>
      </c>
      <c r="D396" s="15" t="s">
        <v>1666</v>
      </c>
      <c r="E396" s="16">
        <v>12740</v>
      </c>
      <c r="F396" s="16">
        <v>12740</v>
      </c>
      <c r="G396" s="15">
        <v>91</v>
      </c>
      <c r="H396" s="15" t="s">
        <v>490</v>
      </c>
      <c r="I396" s="23">
        <v>12740</v>
      </c>
    </row>
    <row r="397" spans="1:9" s="17" customFormat="1" x14ac:dyDescent="0.25">
      <c r="A397" s="14">
        <v>46112</v>
      </c>
      <c r="B397" s="15" t="s">
        <v>646</v>
      </c>
      <c r="C397" s="15" t="s">
        <v>166</v>
      </c>
      <c r="D397" s="15" t="s">
        <v>335</v>
      </c>
      <c r="E397" s="16">
        <v>750</v>
      </c>
      <c r="F397" s="16">
        <v>30000</v>
      </c>
      <c r="G397" s="15">
        <v>91</v>
      </c>
      <c r="H397" s="15" t="s">
        <v>490</v>
      </c>
      <c r="I397" s="23">
        <v>-30000</v>
      </c>
    </row>
    <row r="398" spans="1:9" s="17" customFormat="1" x14ac:dyDescent="0.25">
      <c r="A398" s="14">
        <v>46112</v>
      </c>
      <c r="B398" s="15" t="s">
        <v>647</v>
      </c>
      <c r="C398" s="15" t="s">
        <v>173</v>
      </c>
      <c r="D398" s="15" t="s">
        <v>1666</v>
      </c>
      <c r="E398" s="16">
        <v>212660</v>
      </c>
      <c r="F398" s="16">
        <v>212660</v>
      </c>
      <c r="G398" s="15">
        <v>91</v>
      </c>
      <c r="H398" s="15" t="s">
        <v>490</v>
      </c>
      <c r="I398" s="23">
        <v>212660</v>
      </c>
    </row>
    <row r="399" spans="1:9" s="17" customFormat="1" x14ac:dyDescent="0.25">
      <c r="A399" s="14">
        <v>46112</v>
      </c>
      <c r="B399" s="15" t="s">
        <v>648</v>
      </c>
      <c r="C399" s="15" t="s">
        <v>186</v>
      </c>
      <c r="D399" s="15" t="s">
        <v>1666</v>
      </c>
      <c r="E399" s="16">
        <v>412960</v>
      </c>
      <c r="F399" s="16">
        <v>412960</v>
      </c>
      <c r="G399" s="15">
        <v>91</v>
      </c>
      <c r="H399" s="15" t="s">
        <v>490</v>
      </c>
      <c r="I399" s="23">
        <v>412960</v>
      </c>
    </row>
    <row r="400" spans="1:9" s="17" customFormat="1" x14ac:dyDescent="0.25">
      <c r="A400" s="14">
        <v>46112</v>
      </c>
      <c r="B400" s="15" t="s">
        <v>649</v>
      </c>
      <c r="C400" s="15" t="s">
        <v>188</v>
      </c>
      <c r="D400" s="15" t="s">
        <v>1666</v>
      </c>
      <c r="E400" s="16">
        <v>219446.2</v>
      </c>
      <c r="F400" s="16">
        <v>219446.2</v>
      </c>
      <c r="G400" s="15">
        <v>91</v>
      </c>
      <c r="H400" s="15" t="s">
        <v>490</v>
      </c>
      <c r="I400" s="23">
        <v>219446.2</v>
      </c>
    </row>
    <row r="401" spans="1:9" s="17" customFormat="1" x14ac:dyDescent="0.25">
      <c r="A401" s="14">
        <v>46112</v>
      </c>
      <c r="B401" s="15" t="s">
        <v>650</v>
      </c>
      <c r="C401" s="15" t="s">
        <v>197</v>
      </c>
      <c r="D401" s="15" t="s">
        <v>1666</v>
      </c>
      <c r="E401" s="16">
        <v>139639</v>
      </c>
      <c r="F401" s="16">
        <v>139639</v>
      </c>
      <c r="G401" s="15">
        <v>91</v>
      </c>
      <c r="H401" s="15" t="s">
        <v>490</v>
      </c>
      <c r="I401" s="23">
        <v>139639</v>
      </c>
    </row>
    <row r="402" spans="1:9" s="17" customFormat="1" x14ac:dyDescent="0.25">
      <c r="A402" s="14">
        <v>46112</v>
      </c>
      <c r="B402" s="15" t="s">
        <v>651</v>
      </c>
      <c r="C402" s="15" t="s">
        <v>202</v>
      </c>
      <c r="D402" s="15" t="s">
        <v>1666</v>
      </c>
      <c r="E402" s="16">
        <v>1464610</v>
      </c>
      <c r="F402" s="16">
        <v>1464610</v>
      </c>
      <c r="G402" s="15">
        <v>91</v>
      </c>
      <c r="H402" s="15" t="s">
        <v>490</v>
      </c>
      <c r="I402" s="23">
        <v>1464610</v>
      </c>
    </row>
    <row r="403" spans="1:9" s="17" customFormat="1" x14ac:dyDescent="0.25">
      <c r="A403" s="14">
        <v>46112</v>
      </c>
      <c r="B403" s="15" t="s">
        <v>652</v>
      </c>
      <c r="C403" s="15" t="s">
        <v>653</v>
      </c>
      <c r="D403" s="15" t="s">
        <v>1666</v>
      </c>
      <c r="E403" s="16">
        <v>17500</v>
      </c>
      <c r="F403" s="16">
        <v>17500</v>
      </c>
      <c r="G403" s="15">
        <v>91</v>
      </c>
      <c r="H403" s="15" t="s">
        <v>490</v>
      </c>
      <c r="I403" s="23">
        <v>17500</v>
      </c>
    </row>
    <row r="404" spans="1:9" s="17" customFormat="1" x14ac:dyDescent="0.25">
      <c r="A404" s="14">
        <v>46112</v>
      </c>
      <c r="B404" s="15" t="s">
        <v>654</v>
      </c>
      <c r="C404" s="15" t="s">
        <v>655</v>
      </c>
      <c r="D404" s="15" t="s">
        <v>1666</v>
      </c>
      <c r="E404" s="16">
        <v>105955.5</v>
      </c>
      <c r="F404" s="16">
        <v>105955.5</v>
      </c>
      <c r="G404" s="15">
        <v>91</v>
      </c>
      <c r="H404" s="15" t="s">
        <v>490</v>
      </c>
      <c r="I404" s="23">
        <v>105955.5</v>
      </c>
    </row>
    <row r="405" spans="1:9" s="17" customFormat="1" x14ac:dyDescent="0.25">
      <c r="A405" s="14">
        <v>46112</v>
      </c>
      <c r="B405" s="15" t="s">
        <v>656</v>
      </c>
      <c r="C405" s="15" t="s">
        <v>655</v>
      </c>
      <c r="D405" s="15" t="s">
        <v>1666</v>
      </c>
      <c r="E405" s="16">
        <v>105955.5</v>
      </c>
      <c r="F405" s="16">
        <v>105955.5</v>
      </c>
      <c r="G405" s="15">
        <v>91</v>
      </c>
      <c r="H405" s="15" t="s">
        <v>490</v>
      </c>
      <c r="I405" s="23">
        <v>-105955.5</v>
      </c>
    </row>
    <row r="406" spans="1:9" s="17" customFormat="1" x14ac:dyDescent="0.25">
      <c r="A406" s="14">
        <v>46112</v>
      </c>
      <c r="B406" s="15" t="s">
        <v>657</v>
      </c>
      <c r="C406" s="15" t="s">
        <v>214</v>
      </c>
      <c r="D406" s="15" t="s">
        <v>1666</v>
      </c>
      <c r="E406" s="16">
        <v>773490</v>
      </c>
      <c r="F406" s="16">
        <v>773490</v>
      </c>
      <c r="G406" s="15">
        <v>91</v>
      </c>
      <c r="H406" s="15" t="s">
        <v>490</v>
      </c>
      <c r="I406" s="23">
        <v>773490</v>
      </c>
    </row>
    <row r="407" spans="1:9" s="17" customFormat="1" x14ac:dyDescent="0.25">
      <c r="A407" s="14">
        <v>46113</v>
      </c>
      <c r="B407" s="15" t="s">
        <v>658</v>
      </c>
      <c r="C407" s="15" t="s">
        <v>133</v>
      </c>
      <c r="D407" s="15" t="s">
        <v>347</v>
      </c>
      <c r="E407" s="16">
        <v>21853.599999999999</v>
      </c>
      <c r="F407" s="16">
        <v>21853.599999999999</v>
      </c>
      <c r="G407" s="15">
        <v>90</v>
      </c>
      <c r="H407" s="15" t="s">
        <v>585</v>
      </c>
      <c r="I407" s="23">
        <v>21853.599999999999</v>
      </c>
    </row>
    <row r="408" spans="1:9" s="17" customFormat="1" x14ac:dyDescent="0.25">
      <c r="A408" s="14">
        <v>46113</v>
      </c>
      <c r="B408" s="15" t="s">
        <v>660</v>
      </c>
      <c r="C408" s="15" t="s">
        <v>188</v>
      </c>
      <c r="D408" s="15" t="s">
        <v>321</v>
      </c>
      <c r="E408" s="16">
        <v>169904</v>
      </c>
      <c r="F408" s="16">
        <v>168904</v>
      </c>
      <c r="G408" s="15">
        <v>90</v>
      </c>
      <c r="H408" s="15" t="s">
        <v>585</v>
      </c>
      <c r="I408" s="23">
        <v>168904</v>
      </c>
    </row>
    <row r="409" spans="1:9" s="17" customFormat="1" x14ac:dyDescent="0.25">
      <c r="A409" s="14">
        <v>46114</v>
      </c>
      <c r="B409" s="15" t="s">
        <v>661</v>
      </c>
      <c r="C409" s="15" t="s">
        <v>188</v>
      </c>
      <c r="D409" s="15" t="s">
        <v>321</v>
      </c>
      <c r="E409" s="16">
        <v>172200</v>
      </c>
      <c r="F409" s="16">
        <v>172200</v>
      </c>
      <c r="G409" s="15">
        <v>89</v>
      </c>
      <c r="H409" s="15" t="s">
        <v>585</v>
      </c>
      <c r="I409" s="23">
        <v>172200</v>
      </c>
    </row>
    <row r="410" spans="1:9" s="17" customFormat="1" x14ac:dyDescent="0.25">
      <c r="A410" s="14">
        <v>46115</v>
      </c>
      <c r="B410" s="15" t="s">
        <v>662</v>
      </c>
      <c r="C410" s="15" t="s">
        <v>41</v>
      </c>
      <c r="D410" s="15" t="s">
        <v>1666</v>
      </c>
      <c r="E410" s="16">
        <v>13132.96</v>
      </c>
      <c r="F410" s="16">
        <v>13132.96</v>
      </c>
      <c r="G410" s="15">
        <v>88</v>
      </c>
      <c r="H410" s="15" t="s">
        <v>585</v>
      </c>
      <c r="I410" s="23">
        <v>-13132.96</v>
      </c>
    </row>
    <row r="411" spans="1:9" s="17" customFormat="1" x14ac:dyDescent="0.25">
      <c r="A411" s="14">
        <v>46115</v>
      </c>
      <c r="B411" s="15" t="s">
        <v>664</v>
      </c>
      <c r="C411" s="15" t="s">
        <v>133</v>
      </c>
      <c r="D411" s="15" t="s">
        <v>306</v>
      </c>
      <c r="E411" s="16">
        <v>25005</v>
      </c>
      <c r="F411" s="16">
        <v>25005</v>
      </c>
      <c r="G411" s="15">
        <v>88</v>
      </c>
      <c r="H411" s="15" t="s">
        <v>585</v>
      </c>
      <c r="I411" s="23">
        <v>25005</v>
      </c>
    </row>
    <row r="412" spans="1:9" s="17" customFormat="1" x14ac:dyDescent="0.25">
      <c r="A412" s="14">
        <v>46115</v>
      </c>
      <c r="B412" s="15" t="s">
        <v>666</v>
      </c>
      <c r="C412" s="15" t="s">
        <v>188</v>
      </c>
      <c r="D412" s="15" t="s">
        <v>321</v>
      </c>
      <c r="E412" s="16">
        <v>200900</v>
      </c>
      <c r="F412" s="16">
        <v>200900</v>
      </c>
      <c r="G412" s="15">
        <v>88</v>
      </c>
      <c r="H412" s="15" t="s">
        <v>585</v>
      </c>
      <c r="I412" s="23">
        <v>200900</v>
      </c>
    </row>
    <row r="413" spans="1:9" s="17" customFormat="1" x14ac:dyDescent="0.25">
      <c r="A413" s="14">
        <v>46115</v>
      </c>
      <c r="B413" s="15" t="s">
        <v>665</v>
      </c>
      <c r="C413" s="15" t="s">
        <v>188</v>
      </c>
      <c r="D413" s="15" t="s">
        <v>321</v>
      </c>
      <c r="E413" s="16">
        <v>169904</v>
      </c>
      <c r="F413" s="16">
        <v>169904</v>
      </c>
      <c r="G413" s="15">
        <v>88</v>
      </c>
      <c r="H413" s="15" t="s">
        <v>585</v>
      </c>
      <c r="I413" s="23">
        <v>169904</v>
      </c>
    </row>
    <row r="414" spans="1:9" s="17" customFormat="1" x14ac:dyDescent="0.25">
      <c r="A414" s="14">
        <v>46115</v>
      </c>
      <c r="B414" s="15" t="s">
        <v>667</v>
      </c>
      <c r="C414" s="15" t="s">
        <v>653</v>
      </c>
      <c r="D414" s="15" t="s">
        <v>317</v>
      </c>
      <c r="E414" s="16">
        <v>17500</v>
      </c>
      <c r="F414" s="16">
        <v>17500</v>
      </c>
      <c r="G414" s="15">
        <v>88</v>
      </c>
      <c r="H414" s="15" t="s">
        <v>585</v>
      </c>
      <c r="I414" s="23">
        <v>-17500</v>
      </c>
    </row>
    <row r="415" spans="1:9" s="17" customFormat="1" x14ac:dyDescent="0.25">
      <c r="A415" s="14">
        <v>46116</v>
      </c>
      <c r="B415" s="15" t="s">
        <v>668</v>
      </c>
      <c r="C415" s="15" t="s">
        <v>188</v>
      </c>
      <c r="D415" s="15" t="s">
        <v>321</v>
      </c>
      <c r="E415" s="16">
        <v>169904</v>
      </c>
      <c r="F415" s="16">
        <v>169904</v>
      </c>
      <c r="G415" s="15">
        <v>87</v>
      </c>
      <c r="H415" s="15" t="s">
        <v>585</v>
      </c>
      <c r="I415" s="23">
        <v>169904</v>
      </c>
    </row>
    <row r="416" spans="1:9" s="17" customFormat="1" x14ac:dyDescent="0.25">
      <c r="A416" s="14">
        <v>46118</v>
      </c>
      <c r="B416" s="15" t="s">
        <v>669</v>
      </c>
      <c r="C416" s="15" t="s">
        <v>143</v>
      </c>
      <c r="D416" s="15" t="s">
        <v>259</v>
      </c>
      <c r="E416" s="16">
        <v>212400</v>
      </c>
      <c r="F416" s="16">
        <v>212400</v>
      </c>
      <c r="G416" s="15">
        <v>85</v>
      </c>
      <c r="H416" s="15" t="s">
        <v>585</v>
      </c>
      <c r="I416" s="23">
        <v>212400</v>
      </c>
    </row>
    <row r="417" spans="1:9" s="17" customFormat="1" x14ac:dyDescent="0.25">
      <c r="A417" s="14">
        <v>46119</v>
      </c>
      <c r="B417" s="15" t="s">
        <v>670</v>
      </c>
      <c r="C417" s="15" t="s">
        <v>24</v>
      </c>
      <c r="D417" s="15" t="s">
        <v>1666</v>
      </c>
      <c r="E417" s="16">
        <v>23500</v>
      </c>
      <c r="F417" s="16">
        <v>23500</v>
      </c>
      <c r="G417" s="15">
        <v>84</v>
      </c>
      <c r="H417" s="15" t="s">
        <v>585</v>
      </c>
      <c r="I417" s="23">
        <v>-23500</v>
      </c>
    </row>
    <row r="418" spans="1:9" s="17" customFormat="1" x14ac:dyDescent="0.25">
      <c r="A418" s="14">
        <v>46119</v>
      </c>
      <c r="B418" s="15" t="s">
        <v>671</v>
      </c>
      <c r="C418" s="15" t="s">
        <v>81</v>
      </c>
      <c r="D418" s="15" t="s">
        <v>321</v>
      </c>
      <c r="E418" s="16">
        <v>30000</v>
      </c>
      <c r="F418" s="16">
        <v>22480</v>
      </c>
      <c r="G418" s="15">
        <v>84</v>
      </c>
      <c r="H418" s="15" t="s">
        <v>585</v>
      </c>
      <c r="I418" s="23">
        <v>-22480</v>
      </c>
    </row>
    <row r="419" spans="1:9" s="17" customFormat="1" x14ac:dyDescent="0.25">
      <c r="A419" s="14">
        <v>46119</v>
      </c>
      <c r="B419" s="15" t="s">
        <v>672</v>
      </c>
      <c r="C419" s="15" t="s">
        <v>188</v>
      </c>
      <c r="D419" s="15" t="s">
        <v>321</v>
      </c>
      <c r="E419" s="16">
        <v>199752</v>
      </c>
      <c r="F419" s="16">
        <v>199752</v>
      </c>
      <c r="G419" s="15">
        <v>84</v>
      </c>
      <c r="H419" s="15" t="s">
        <v>585</v>
      </c>
      <c r="I419" s="23">
        <v>199752</v>
      </c>
    </row>
    <row r="420" spans="1:9" s="17" customFormat="1" x14ac:dyDescent="0.25">
      <c r="A420" s="14">
        <v>46121</v>
      </c>
      <c r="B420" s="15" t="s">
        <v>673</v>
      </c>
      <c r="C420" s="15" t="s">
        <v>44</v>
      </c>
      <c r="D420" s="15" t="s">
        <v>306</v>
      </c>
      <c r="E420" s="16">
        <v>116580</v>
      </c>
      <c r="F420" s="16">
        <v>116580</v>
      </c>
      <c r="G420" s="15">
        <v>82</v>
      </c>
      <c r="H420" s="15" t="s">
        <v>585</v>
      </c>
      <c r="I420" s="23">
        <v>116580</v>
      </c>
    </row>
    <row r="421" spans="1:9" s="17" customFormat="1" x14ac:dyDescent="0.25">
      <c r="A421" s="14">
        <v>46122</v>
      </c>
      <c r="B421" s="15" t="s">
        <v>674</v>
      </c>
      <c r="C421" s="15" t="s">
        <v>188</v>
      </c>
      <c r="D421" s="15" t="s">
        <v>321</v>
      </c>
      <c r="E421" s="16">
        <v>198030</v>
      </c>
      <c r="F421" s="16">
        <v>198030</v>
      </c>
      <c r="G421" s="15">
        <v>81</v>
      </c>
      <c r="H421" s="15" t="s">
        <v>585</v>
      </c>
      <c r="I421" s="23">
        <v>198030</v>
      </c>
    </row>
    <row r="422" spans="1:9" s="17" customFormat="1" x14ac:dyDescent="0.25">
      <c r="A422" s="14">
        <v>46125</v>
      </c>
      <c r="B422" s="15" t="s">
        <v>675</v>
      </c>
      <c r="C422" s="15" t="s">
        <v>87</v>
      </c>
      <c r="D422" s="15" t="s">
        <v>517</v>
      </c>
      <c r="E422" s="16">
        <v>5900</v>
      </c>
      <c r="F422" s="16">
        <v>5900</v>
      </c>
      <c r="G422" s="15">
        <v>78</v>
      </c>
      <c r="H422" s="15" t="s">
        <v>585</v>
      </c>
      <c r="I422" s="23">
        <v>-5900</v>
      </c>
    </row>
    <row r="423" spans="1:9" s="17" customFormat="1" x14ac:dyDescent="0.25">
      <c r="A423" s="14">
        <v>46125</v>
      </c>
      <c r="B423" s="15" t="s">
        <v>676</v>
      </c>
      <c r="C423" s="15" t="s">
        <v>188</v>
      </c>
      <c r="D423" s="15" t="s">
        <v>321</v>
      </c>
      <c r="E423" s="16">
        <v>57400</v>
      </c>
      <c r="F423" s="16">
        <v>57400</v>
      </c>
      <c r="G423" s="15">
        <v>78</v>
      </c>
      <c r="H423" s="15" t="s">
        <v>585</v>
      </c>
      <c r="I423" s="23">
        <v>57400</v>
      </c>
    </row>
    <row r="424" spans="1:9" s="17" customFormat="1" x14ac:dyDescent="0.25">
      <c r="A424" s="14">
        <v>46126</v>
      </c>
      <c r="B424" s="15" t="s">
        <v>677</v>
      </c>
      <c r="C424" s="15" t="s">
        <v>188</v>
      </c>
      <c r="D424" s="15" t="s">
        <v>321</v>
      </c>
      <c r="E424" s="16">
        <v>169904</v>
      </c>
      <c r="F424" s="16">
        <v>169904</v>
      </c>
      <c r="G424" s="15">
        <v>77</v>
      </c>
      <c r="H424" s="15" t="s">
        <v>585</v>
      </c>
      <c r="I424" s="23">
        <v>169904</v>
      </c>
    </row>
    <row r="425" spans="1:9" s="17" customFormat="1" x14ac:dyDescent="0.25">
      <c r="A425" s="14">
        <v>46126</v>
      </c>
      <c r="B425" s="15" t="s">
        <v>678</v>
      </c>
      <c r="C425" s="15" t="s">
        <v>188</v>
      </c>
      <c r="D425" s="15" t="s">
        <v>321</v>
      </c>
      <c r="E425" s="16">
        <v>172200</v>
      </c>
      <c r="F425" s="16">
        <v>172200</v>
      </c>
      <c r="G425" s="15">
        <v>77</v>
      </c>
      <c r="H425" s="15" t="s">
        <v>585</v>
      </c>
      <c r="I425" s="23">
        <v>172200</v>
      </c>
    </row>
    <row r="426" spans="1:9" s="17" customFormat="1" x14ac:dyDescent="0.25">
      <c r="A426" s="14">
        <v>46127</v>
      </c>
      <c r="B426" s="15" t="s">
        <v>679</v>
      </c>
      <c r="C426" s="15" t="s">
        <v>188</v>
      </c>
      <c r="D426" s="15" t="s">
        <v>321</v>
      </c>
      <c r="E426" s="16">
        <v>143500</v>
      </c>
      <c r="F426" s="16">
        <v>143500</v>
      </c>
      <c r="G426" s="15">
        <v>76</v>
      </c>
      <c r="H426" s="15" t="s">
        <v>585</v>
      </c>
      <c r="I426" s="23">
        <v>143500</v>
      </c>
    </row>
    <row r="427" spans="1:9" s="17" customFormat="1" x14ac:dyDescent="0.25">
      <c r="A427" s="14">
        <v>46129</v>
      </c>
      <c r="B427" s="15" t="s">
        <v>680</v>
      </c>
      <c r="C427" s="15" t="s">
        <v>188</v>
      </c>
      <c r="D427" s="15" t="s">
        <v>321</v>
      </c>
      <c r="E427" s="16">
        <v>114800</v>
      </c>
      <c r="F427" s="16">
        <v>114800</v>
      </c>
      <c r="G427" s="15">
        <v>74</v>
      </c>
      <c r="H427" s="15" t="s">
        <v>585</v>
      </c>
      <c r="I427" s="23">
        <v>114800</v>
      </c>
    </row>
    <row r="428" spans="1:9" s="17" customFormat="1" x14ac:dyDescent="0.25">
      <c r="A428" s="14">
        <v>46130</v>
      </c>
      <c r="B428" s="15" t="s">
        <v>681</v>
      </c>
      <c r="C428" s="15" t="s">
        <v>133</v>
      </c>
      <c r="D428" s="15" t="s">
        <v>347</v>
      </c>
      <c r="E428" s="16">
        <v>47423.96</v>
      </c>
      <c r="F428" s="16">
        <v>47423.96</v>
      </c>
      <c r="G428" s="15">
        <v>73</v>
      </c>
      <c r="H428" s="15" t="s">
        <v>585</v>
      </c>
      <c r="I428" s="23">
        <v>47423.96</v>
      </c>
    </row>
    <row r="429" spans="1:9" s="17" customFormat="1" x14ac:dyDescent="0.25">
      <c r="A429" s="14">
        <v>46130</v>
      </c>
      <c r="B429" s="15" t="s">
        <v>682</v>
      </c>
      <c r="C429" s="15" t="s">
        <v>133</v>
      </c>
      <c r="D429" s="15" t="s">
        <v>347</v>
      </c>
      <c r="E429" s="16">
        <v>114326.66</v>
      </c>
      <c r="F429" s="16">
        <v>114326.66</v>
      </c>
      <c r="G429" s="15">
        <v>73</v>
      </c>
      <c r="H429" s="15" t="s">
        <v>585</v>
      </c>
      <c r="I429" s="23">
        <v>114326.66</v>
      </c>
    </row>
    <row r="430" spans="1:9" s="17" customFormat="1" x14ac:dyDescent="0.25">
      <c r="A430" s="14">
        <v>46130</v>
      </c>
      <c r="B430" s="15" t="s">
        <v>683</v>
      </c>
      <c r="C430" s="15" t="s">
        <v>133</v>
      </c>
      <c r="D430" s="15" t="s">
        <v>347</v>
      </c>
      <c r="E430" s="16">
        <v>60859.68</v>
      </c>
      <c r="F430" s="16">
        <v>60859.68</v>
      </c>
      <c r="G430" s="15">
        <v>73</v>
      </c>
      <c r="H430" s="15" t="s">
        <v>585</v>
      </c>
      <c r="I430" s="23">
        <v>60859.68</v>
      </c>
    </row>
    <row r="431" spans="1:9" s="17" customFormat="1" x14ac:dyDescent="0.25">
      <c r="A431" s="14">
        <v>46130</v>
      </c>
      <c r="B431" s="15" t="s">
        <v>684</v>
      </c>
      <c r="C431" s="15" t="s">
        <v>133</v>
      </c>
      <c r="D431" s="15" t="s">
        <v>347</v>
      </c>
      <c r="E431" s="16">
        <v>111363.88</v>
      </c>
      <c r="F431" s="16">
        <v>111363.88</v>
      </c>
      <c r="G431" s="15">
        <v>73</v>
      </c>
      <c r="H431" s="15" t="s">
        <v>585</v>
      </c>
      <c r="I431" s="23">
        <v>111363.88</v>
      </c>
    </row>
    <row r="432" spans="1:9" s="17" customFormat="1" x14ac:dyDescent="0.25">
      <c r="A432" s="14">
        <v>46130</v>
      </c>
      <c r="B432" s="15" t="s">
        <v>685</v>
      </c>
      <c r="C432" s="15" t="s">
        <v>188</v>
      </c>
      <c r="D432" s="15" t="s">
        <v>321</v>
      </c>
      <c r="E432" s="16">
        <v>57400</v>
      </c>
      <c r="F432" s="16">
        <v>57400</v>
      </c>
      <c r="G432" s="15">
        <v>73</v>
      </c>
      <c r="H432" s="15" t="s">
        <v>585</v>
      </c>
      <c r="I432" s="23">
        <v>57400</v>
      </c>
    </row>
    <row r="433" spans="1:9" s="17" customFormat="1" x14ac:dyDescent="0.25">
      <c r="A433" s="14">
        <v>46131</v>
      </c>
      <c r="B433" s="15" t="s">
        <v>686</v>
      </c>
      <c r="C433" s="15" t="s">
        <v>172</v>
      </c>
      <c r="D433" s="15" t="s">
        <v>306</v>
      </c>
      <c r="E433" s="16">
        <v>170424</v>
      </c>
      <c r="F433" s="16">
        <v>120424</v>
      </c>
      <c r="G433" s="15">
        <v>72</v>
      </c>
      <c r="H433" s="15" t="s">
        <v>585</v>
      </c>
      <c r="I433" s="23">
        <v>120424</v>
      </c>
    </row>
    <row r="434" spans="1:9" s="17" customFormat="1" x14ac:dyDescent="0.25">
      <c r="A434" s="14">
        <v>46131</v>
      </c>
      <c r="B434" s="15" t="s">
        <v>687</v>
      </c>
      <c r="C434" s="15" t="s">
        <v>188</v>
      </c>
      <c r="D434" s="15" t="s">
        <v>321</v>
      </c>
      <c r="E434" s="16">
        <v>198604</v>
      </c>
      <c r="F434" s="16">
        <v>198604</v>
      </c>
      <c r="G434" s="15">
        <v>72</v>
      </c>
      <c r="H434" s="15" t="s">
        <v>585</v>
      </c>
      <c r="I434" s="23">
        <v>198604</v>
      </c>
    </row>
    <row r="435" spans="1:9" s="17" customFormat="1" x14ac:dyDescent="0.25">
      <c r="A435" s="14">
        <v>46132</v>
      </c>
      <c r="B435" s="15" t="s">
        <v>688</v>
      </c>
      <c r="C435" s="15" t="s">
        <v>197</v>
      </c>
      <c r="D435" s="15" t="s">
        <v>319</v>
      </c>
      <c r="E435" s="16">
        <v>788814</v>
      </c>
      <c r="F435" s="16">
        <v>788814</v>
      </c>
      <c r="G435" s="15">
        <v>71</v>
      </c>
      <c r="H435" s="15" t="s">
        <v>585</v>
      </c>
      <c r="I435" s="23">
        <v>788814</v>
      </c>
    </row>
    <row r="436" spans="1:9" s="17" customFormat="1" x14ac:dyDescent="0.25">
      <c r="A436" s="14">
        <v>46133</v>
      </c>
      <c r="B436" s="15" t="s">
        <v>689</v>
      </c>
      <c r="C436" s="15" t="s">
        <v>41</v>
      </c>
      <c r="D436" s="15" t="s">
        <v>319</v>
      </c>
      <c r="E436" s="16">
        <v>11867.04</v>
      </c>
      <c r="F436" s="16">
        <v>11867.04</v>
      </c>
      <c r="G436" s="15">
        <v>70</v>
      </c>
      <c r="H436" s="15" t="s">
        <v>585</v>
      </c>
      <c r="I436" s="23">
        <v>-11867.04</v>
      </c>
    </row>
    <row r="437" spans="1:9" s="17" customFormat="1" x14ac:dyDescent="0.25">
      <c r="A437" s="14">
        <v>46133</v>
      </c>
      <c r="B437" s="15" t="s">
        <v>690</v>
      </c>
      <c r="C437" s="15" t="s">
        <v>187</v>
      </c>
      <c r="D437" s="15" t="s">
        <v>280</v>
      </c>
      <c r="E437" s="16">
        <v>15560</v>
      </c>
      <c r="F437" s="16">
        <v>15560</v>
      </c>
      <c r="G437" s="15">
        <v>70</v>
      </c>
      <c r="H437" s="15" t="s">
        <v>585</v>
      </c>
      <c r="I437" s="23">
        <v>-15560</v>
      </c>
    </row>
    <row r="438" spans="1:9" s="17" customFormat="1" x14ac:dyDescent="0.25">
      <c r="A438" s="14">
        <v>46134</v>
      </c>
      <c r="B438" s="15" t="s">
        <v>691</v>
      </c>
      <c r="C438" s="15" t="s">
        <v>26</v>
      </c>
      <c r="D438" s="15" t="s">
        <v>306</v>
      </c>
      <c r="E438" s="16">
        <v>1365208.72</v>
      </c>
      <c r="F438" s="16">
        <v>603358.81999999995</v>
      </c>
      <c r="G438" s="15">
        <v>69</v>
      </c>
      <c r="H438" s="15" t="s">
        <v>585</v>
      </c>
      <c r="I438" s="23">
        <v>603358.81999999995</v>
      </c>
    </row>
    <row r="439" spans="1:9" s="17" customFormat="1" x14ac:dyDescent="0.25">
      <c r="A439" s="14">
        <v>46134</v>
      </c>
      <c r="B439" s="15" t="s">
        <v>692</v>
      </c>
      <c r="C439" s="15" t="s">
        <v>188</v>
      </c>
      <c r="D439" s="15" t="s">
        <v>321</v>
      </c>
      <c r="E439" s="16">
        <v>114800</v>
      </c>
      <c r="F439" s="16">
        <v>114800</v>
      </c>
      <c r="G439" s="15">
        <v>69</v>
      </c>
      <c r="H439" s="15" t="s">
        <v>585</v>
      </c>
      <c r="I439" s="23">
        <v>114800</v>
      </c>
    </row>
    <row r="440" spans="1:9" s="17" customFormat="1" x14ac:dyDescent="0.25">
      <c r="A440" s="14">
        <v>46135</v>
      </c>
      <c r="B440" s="15" t="s">
        <v>693</v>
      </c>
      <c r="C440" s="15" t="s">
        <v>140</v>
      </c>
      <c r="D440" s="15" t="s">
        <v>531</v>
      </c>
      <c r="E440" s="16">
        <v>25000</v>
      </c>
      <c r="F440" s="16">
        <v>21406</v>
      </c>
      <c r="G440" s="15">
        <v>68</v>
      </c>
      <c r="H440" s="15" t="s">
        <v>585</v>
      </c>
      <c r="I440" s="23">
        <v>-21406</v>
      </c>
    </row>
    <row r="441" spans="1:9" s="17" customFormat="1" x14ac:dyDescent="0.25">
      <c r="A441" s="14">
        <v>46135</v>
      </c>
      <c r="B441" s="15" t="s">
        <v>694</v>
      </c>
      <c r="C441" s="15" t="s">
        <v>158</v>
      </c>
      <c r="D441" s="15" t="s">
        <v>1666</v>
      </c>
      <c r="E441" s="16">
        <v>25000</v>
      </c>
      <c r="F441" s="16">
        <v>25000</v>
      </c>
      <c r="G441" s="15">
        <v>68</v>
      </c>
      <c r="H441" s="15" t="s">
        <v>585</v>
      </c>
      <c r="I441" s="23">
        <v>-25000</v>
      </c>
    </row>
    <row r="442" spans="1:9" s="17" customFormat="1" x14ac:dyDescent="0.25">
      <c r="A442" s="14">
        <v>46135</v>
      </c>
      <c r="B442" s="15" t="s">
        <v>695</v>
      </c>
      <c r="C442" s="15" t="s">
        <v>172</v>
      </c>
      <c r="D442" s="15" t="s">
        <v>306</v>
      </c>
      <c r="E442" s="16">
        <v>158868</v>
      </c>
      <c r="F442" s="16">
        <v>158868</v>
      </c>
      <c r="G442" s="15">
        <v>68</v>
      </c>
      <c r="H442" s="15" t="s">
        <v>585</v>
      </c>
      <c r="I442" s="23">
        <v>158868</v>
      </c>
    </row>
    <row r="443" spans="1:9" s="17" customFormat="1" x14ac:dyDescent="0.25">
      <c r="A443" s="14">
        <v>46135</v>
      </c>
      <c r="B443" s="15" t="s">
        <v>696</v>
      </c>
      <c r="C443" s="15" t="s">
        <v>188</v>
      </c>
      <c r="D443" s="15" t="s">
        <v>321</v>
      </c>
      <c r="E443" s="16">
        <v>57400</v>
      </c>
      <c r="F443" s="16">
        <v>57400</v>
      </c>
      <c r="G443" s="15">
        <v>68</v>
      </c>
      <c r="H443" s="15" t="s">
        <v>585</v>
      </c>
      <c r="I443" s="23">
        <v>57400</v>
      </c>
    </row>
    <row r="444" spans="1:9" s="17" customFormat="1" x14ac:dyDescent="0.25">
      <c r="A444" s="14">
        <v>46136</v>
      </c>
      <c r="B444" s="15" t="s">
        <v>697</v>
      </c>
      <c r="C444" s="15" t="s">
        <v>151</v>
      </c>
      <c r="D444" s="15" t="s">
        <v>284</v>
      </c>
      <c r="E444" s="16">
        <v>317874.38</v>
      </c>
      <c r="F444" s="16">
        <v>317874.38</v>
      </c>
      <c r="G444" s="15">
        <v>67</v>
      </c>
      <c r="H444" s="15" t="s">
        <v>585</v>
      </c>
      <c r="I444" s="23">
        <v>317874.38</v>
      </c>
    </row>
    <row r="445" spans="1:9" s="17" customFormat="1" x14ac:dyDescent="0.25">
      <c r="A445" s="14">
        <v>46136</v>
      </c>
      <c r="B445" s="15" t="s">
        <v>698</v>
      </c>
      <c r="C445" s="15" t="s">
        <v>168</v>
      </c>
      <c r="D445" s="15" t="s">
        <v>317</v>
      </c>
      <c r="E445" s="16">
        <v>15000</v>
      </c>
      <c r="F445" s="16">
        <v>15000</v>
      </c>
      <c r="G445" s="15">
        <v>67</v>
      </c>
      <c r="H445" s="15" t="s">
        <v>585</v>
      </c>
      <c r="I445" s="23">
        <v>-15000</v>
      </c>
    </row>
    <row r="446" spans="1:9" s="17" customFormat="1" x14ac:dyDescent="0.25">
      <c r="A446" s="14">
        <v>46140</v>
      </c>
      <c r="B446" s="15" t="s">
        <v>699</v>
      </c>
      <c r="C446" s="15" t="s">
        <v>62</v>
      </c>
      <c r="D446" s="15" t="s">
        <v>317</v>
      </c>
      <c r="E446" s="16">
        <v>714140</v>
      </c>
      <c r="F446" s="16">
        <v>714140</v>
      </c>
      <c r="G446" s="15">
        <v>63</v>
      </c>
      <c r="H446" s="15" t="s">
        <v>585</v>
      </c>
      <c r="I446" s="23">
        <v>-714140</v>
      </c>
    </row>
    <row r="447" spans="1:9" s="17" customFormat="1" x14ac:dyDescent="0.25">
      <c r="A447" s="14">
        <v>46140</v>
      </c>
      <c r="B447" s="15" t="s">
        <v>700</v>
      </c>
      <c r="C447" s="15" t="s">
        <v>113</v>
      </c>
      <c r="D447" s="15" t="s">
        <v>306</v>
      </c>
      <c r="E447" s="16">
        <v>200000</v>
      </c>
      <c r="F447" s="16">
        <v>955800</v>
      </c>
      <c r="G447" s="15">
        <v>63</v>
      </c>
      <c r="H447" s="15" t="s">
        <v>585</v>
      </c>
      <c r="I447" s="23">
        <v>-955800</v>
      </c>
    </row>
    <row r="448" spans="1:9" s="17" customFormat="1" x14ac:dyDescent="0.25">
      <c r="A448" s="14">
        <v>46140</v>
      </c>
      <c r="B448" s="15" t="s">
        <v>701</v>
      </c>
      <c r="C448" s="15" t="s">
        <v>208</v>
      </c>
      <c r="D448" s="15" t="s">
        <v>347</v>
      </c>
      <c r="E448" s="16">
        <v>26987</v>
      </c>
      <c r="F448" s="16">
        <v>0.57999999999999996</v>
      </c>
      <c r="G448" s="15">
        <v>63</v>
      </c>
      <c r="H448" s="15" t="s">
        <v>585</v>
      </c>
      <c r="I448" s="23">
        <v>-0.57999999999999996</v>
      </c>
    </row>
    <row r="449" spans="1:9" s="17" customFormat="1" x14ac:dyDescent="0.25">
      <c r="A449" s="14">
        <v>46141</v>
      </c>
      <c r="B449" s="15" t="s">
        <v>704</v>
      </c>
      <c r="C449" s="15" t="s">
        <v>86</v>
      </c>
      <c r="D449" s="15" t="s">
        <v>332</v>
      </c>
      <c r="E449" s="16">
        <v>120635</v>
      </c>
      <c r="F449" s="16">
        <v>120635</v>
      </c>
      <c r="G449" s="15">
        <v>62</v>
      </c>
      <c r="H449" s="15" t="s">
        <v>585</v>
      </c>
      <c r="I449" s="23">
        <v>120635</v>
      </c>
    </row>
    <row r="450" spans="1:9" s="17" customFormat="1" x14ac:dyDescent="0.25">
      <c r="A450" s="14">
        <v>46141</v>
      </c>
      <c r="B450" s="15" t="s">
        <v>703</v>
      </c>
      <c r="C450" s="15" t="s">
        <v>86</v>
      </c>
      <c r="D450" s="15" t="s">
        <v>332</v>
      </c>
      <c r="E450" s="16">
        <v>120266.19</v>
      </c>
      <c r="F450" s="16">
        <v>120266.19</v>
      </c>
      <c r="G450" s="15">
        <v>62</v>
      </c>
      <c r="H450" s="15" t="s">
        <v>585</v>
      </c>
      <c r="I450" s="23">
        <v>120266.19</v>
      </c>
    </row>
    <row r="451" spans="1:9" s="17" customFormat="1" x14ac:dyDescent="0.25">
      <c r="A451" s="14">
        <v>46141</v>
      </c>
      <c r="B451" s="15" t="s">
        <v>702</v>
      </c>
      <c r="C451" s="15" t="s">
        <v>86</v>
      </c>
      <c r="D451" s="15" t="s">
        <v>332</v>
      </c>
      <c r="E451" s="16">
        <v>127712.88</v>
      </c>
      <c r="F451" s="16">
        <v>127712.88</v>
      </c>
      <c r="G451" s="15">
        <v>62</v>
      </c>
      <c r="H451" s="15" t="s">
        <v>585</v>
      </c>
      <c r="I451" s="23">
        <v>127712.88</v>
      </c>
    </row>
    <row r="452" spans="1:9" s="17" customFormat="1" x14ac:dyDescent="0.25">
      <c r="A452" s="14">
        <v>46141</v>
      </c>
      <c r="B452" s="15" t="s">
        <v>705</v>
      </c>
      <c r="C452" s="15" t="s">
        <v>706</v>
      </c>
      <c r="D452" s="15" t="s">
        <v>317</v>
      </c>
      <c r="E452" s="16">
        <v>236708</v>
      </c>
      <c r="F452" s="16">
        <v>236708</v>
      </c>
      <c r="G452" s="15">
        <v>62</v>
      </c>
      <c r="H452" s="15" t="s">
        <v>585</v>
      </c>
      <c r="I452" s="23">
        <v>-236708</v>
      </c>
    </row>
    <row r="453" spans="1:9" s="17" customFormat="1" x14ac:dyDescent="0.25">
      <c r="A453" s="14">
        <v>46142</v>
      </c>
      <c r="B453" s="15" t="s">
        <v>1068</v>
      </c>
      <c r="C453" s="15" t="s">
        <v>1028</v>
      </c>
      <c r="D453" s="15" t="s">
        <v>317</v>
      </c>
      <c r="E453" s="16">
        <v>22371</v>
      </c>
      <c r="F453" s="16">
        <v>15161</v>
      </c>
      <c r="G453" s="15">
        <v>61</v>
      </c>
      <c r="H453" s="15" t="s">
        <v>585</v>
      </c>
      <c r="I453" s="23">
        <v>-15161</v>
      </c>
    </row>
    <row r="454" spans="1:9" s="17" customFormat="1" x14ac:dyDescent="0.25">
      <c r="A454" s="14">
        <v>46142</v>
      </c>
      <c r="B454" s="15" t="s">
        <v>707</v>
      </c>
      <c r="C454" s="15" t="s">
        <v>22</v>
      </c>
      <c r="D454" s="15" t="s">
        <v>332</v>
      </c>
      <c r="E454" s="16">
        <v>117948.74</v>
      </c>
      <c r="F454" s="16">
        <v>117948.74</v>
      </c>
      <c r="G454" s="15">
        <v>61</v>
      </c>
      <c r="H454" s="15" t="s">
        <v>585</v>
      </c>
      <c r="I454" s="23">
        <v>117948.74</v>
      </c>
    </row>
    <row r="455" spans="1:9" s="17" customFormat="1" x14ac:dyDescent="0.25">
      <c r="A455" s="14">
        <v>46142</v>
      </c>
      <c r="B455" s="15" t="s">
        <v>708</v>
      </c>
      <c r="C455" s="15" t="s">
        <v>22</v>
      </c>
      <c r="D455" s="15" t="s">
        <v>332</v>
      </c>
      <c r="E455" s="16">
        <v>168355.49</v>
      </c>
      <c r="F455" s="16">
        <v>168355.49</v>
      </c>
      <c r="G455" s="15">
        <v>61</v>
      </c>
      <c r="H455" s="15" t="s">
        <v>585</v>
      </c>
      <c r="I455" s="23">
        <v>168355.49</v>
      </c>
    </row>
    <row r="456" spans="1:9" s="17" customFormat="1" x14ac:dyDescent="0.25">
      <c r="A456" s="14">
        <v>46142</v>
      </c>
      <c r="B456" s="15" t="s">
        <v>709</v>
      </c>
      <c r="C456" s="15" t="s">
        <v>22</v>
      </c>
      <c r="D456" s="15" t="s">
        <v>332</v>
      </c>
      <c r="E456" s="16">
        <v>165900.56</v>
      </c>
      <c r="F456" s="16">
        <v>165900.56</v>
      </c>
      <c r="G456" s="15">
        <v>61</v>
      </c>
      <c r="H456" s="15" t="s">
        <v>585</v>
      </c>
      <c r="I456" s="23">
        <v>165900.56</v>
      </c>
    </row>
    <row r="457" spans="1:9" s="17" customFormat="1" x14ac:dyDescent="0.25">
      <c r="A457" s="14">
        <v>46142</v>
      </c>
      <c r="B457" s="15" t="s">
        <v>710</v>
      </c>
      <c r="C457" s="15" t="s">
        <v>25</v>
      </c>
      <c r="D457" s="15" t="s">
        <v>347</v>
      </c>
      <c r="E457" s="16">
        <v>1309092</v>
      </c>
      <c r="F457" s="16">
        <v>603502</v>
      </c>
      <c r="G457" s="15">
        <v>61</v>
      </c>
      <c r="H457" s="15" t="s">
        <v>585</v>
      </c>
      <c r="I457" s="23">
        <v>603502</v>
      </c>
    </row>
    <row r="458" spans="1:9" s="17" customFormat="1" x14ac:dyDescent="0.25">
      <c r="A458" s="14">
        <v>46142</v>
      </c>
      <c r="B458" s="15" t="s">
        <v>711</v>
      </c>
      <c r="C458" s="15" t="s">
        <v>26</v>
      </c>
      <c r="D458" s="15" t="s">
        <v>306</v>
      </c>
      <c r="E458" s="16">
        <v>1574736.17</v>
      </c>
      <c r="F458" s="16">
        <v>1574736.17</v>
      </c>
      <c r="G458" s="15">
        <v>61</v>
      </c>
      <c r="H458" s="15" t="s">
        <v>585</v>
      </c>
      <c r="I458" s="23">
        <v>1574736.17</v>
      </c>
    </row>
    <row r="459" spans="1:9" s="17" customFormat="1" x14ac:dyDescent="0.25">
      <c r="A459" s="14">
        <v>46142</v>
      </c>
      <c r="B459" s="15" t="s">
        <v>712</v>
      </c>
      <c r="C459" s="15" t="s">
        <v>64</v>
      </c>
      <c r="D459" s="15" t="s">
        <v>335</v>
      </c>
      <c r="E459" s="16">
        <v>96280</v>
      </c>
      <c r="F459" s="16">
        <v>96280</v>
      </c>
      <c r="G459" s="15">
        <v>61</v>
      </c>
      <c r="H459" s="15" t="s">
        <v>585</v>
      </c>
      <c r="I459" s="23">
        <v>96280</v>
      </c>
    </row>
    <row r="460" spans="1:9" s="17" customFormat="1" x14ac:dyDescent="0.25">
      <c r="A460" s="14">
        <v>46142</v>
      </c>
      <c r="B460" s="15" t="s">
        <v>713</v>
      </c>
      <c r="C460" s="15" t="s">
        <v>71</v>
      </c>
      <c r="D460" s="15" t="s">
        <v>347</v>
      </c>
      <c r="E460" s="16">
        <v>2400323.52</v>
      </c>
      <c r="F460" s="16">
        <v>2400323.52</v>
      </c>
      <c r="G460" s="15">
        <v>61</v>
      </c>
      <c r="H460" s="15" t="s">
        <v>585</v>
      </c>
      <c r="I460" s="23">
        <v>2400323.52</v>
      </c>
    </row>
    <row r="461" spans="1:9" s="17" customFormat="1" x14ac:dyDescent="0.25">
      <c r="A461" s="14">
        <v>46142</v>
      </c>
      <c r="B461" s="15" t="s">
        <v>717</v>
      </c>
      <c r="C461" s="15" t="s">
        <v>86</v>
      </c>
      <c r="D461" s="15" t="s">
        <v>332</v>
      </c>
      <c r="E461" s="16">
        <v>114200.57</v>
      </c>
      <c r="F461" s="16">
        <v>114200.57</v>
      </c>
      <c r="G461" s="15">
        <v>61</v>
      </c>
      <c r="H461" s="15" t="s">
        <v>585</v>
      </c>
      <c r="I461" s="23">
        <v>114200.57</v>
      </c>
    </row>
    <row r="462" spans="1:9" s="17" customFormat="1" x14ac:dyDescent="0.25">
      <c r="A462" s="14">
        <v>46142</v>
      </c>
      <c r="B462" s="15" t="s">
        <v>716</v>
      </c>
      <c r="C462" s="15" t="s">
        <v>86</v>
      </c>
      <c r="D462" s="15" t="s">
        <v>332</v>
      </c>
      <c r="E462" s="16">
        <v>133354.26</v>
      </c>
      <c r="F462" s="16">
        <v>133354.26</v>
      </c>
      <c r="G462" s="15">
        <v>61</v>
      </c>
      <c r="H462" s="15" t="s">
        <v>585</v>
      </c>
      <c r="I462" s="23">
        <v>133354.26</v>
      </c>
    </row>
    <row r="463" spans="1:9" s="17" customFormat="1" x14ac:dyDescent="0.25">
      <c r="A463" s="14">
        <v>46142</v>
      </c>
      <c r="B463" s="15" t="s">
        <v>715</v>
      </c>
      <c r="C463" s="15" t="s">
        <v>86</v>
      </c>
      <c r="D463" s="15" t="s">
        <v>332</v>
      </c>
      <c r="E463" s="16">
        <v>107934.12</v>
      </c>
      <c r="F463" s="16">
        <v>107934.12</v>
      </c>
      <c r="G463" s="15">
        <v>61</v>
      </c>
      <c r="H463" s="15" t="s">
        <v>585</v>
      </c>
      <c r="I463" s="23">
        <v>107934.12</v>
      </c>
    </row>
    <row r="464" spans="1:9" s="17" customFormat="1" x14ac:dyDescent="0.25">
      <c r="A464" s="14">
        <v>46142</v>
      </c>
      <c r="B464" s="15" t="s">
        <v>714</v>
      </c>
      <c r="C464" s="15" t="s">
        <v>86</v>
      </c>
      <c r="D464" s="15" t="s">
        <v>332</v>
      </c>
      <c r="E464" s="16">
        <v>130557.69</v>
      </c>
      <c r="F464" s="16">
        <v>130557.69</v>
      </c>
      <c r="G464" s="15">
        <v>61</v>
      </c>
      <c r="H464" s="15" t="s">
        <v>585</v>
      </c>
      <c r="I464" s="23">
        <v>130557.69</v>
      </c>
    </row>
    <row r="465" spans="1:9" s="17" customFormat="1" x14ac:dyDescent="0.25">
      <c r="A465" s="14">
        <v>46142</v>
      </c>
      <c r="B465" s="15" t="s">
        <v>718</v>
      </c>
      <c r="C465" s="15" t="s">
        <v>104</v>
      </c>
      <c r="D465" s="15" t="s">
        <v>335</v>
      </c>
      <c r="E465" s="16">
        <v>475518.4</v>
      </c>
      <c r="F465" s="16">
        <v>0.4</v>
      </c>
      <c r="G465" s="15">
        <v>61</v>
      </c>
      <c r="H465" s="15" t="s">
        <v>585</v>
      </c>
      <c r="I465" s="23">
        <v>0.4</v>
      </c>
    </row>
    <row r="466" spans="1:9" s="17" customFormat="1" x14ac:dyDescent="0.25">
      <c r="A466" s="14">
        <v>46142</v>
      </c>
      <c r="B466" s="15" t="s">
        <v>719</v>
      </c>
      <c r="C466" s="15" t="s">
        <v>116</v>
      </c>
      <c r="D466" s="15" t="s">
        <v>531</v>
      </c>
      <c r="E466" s="16">
        <v>359397</v>
      </c>
      <c r="F466" s="16">
        <v>359397</v>
      </c>
      <c r="G466" s="15">
        <v>61</v>
      </c>
      <c r="H466" s="15" t="s">
        <v>585</v>
      </c>
      <c r="I466" s="23">
        <v>359397</v>
      </c>
    </row>
    <row r="467" spans="1:9" s="17" customFormat="1" x14ac:dyDescent="0.25">
      <c r="A467" s="14">
        <v>46142</v>
      </c>
      <c r="B467" s="15" t="s">
        <v>720</v>
      </c>
      <c r="C467" s="15" t="s">
        <v>116</v>
      </c>
      <c r="D467" s="15" t="s">
        <v>531</v>
      </c>
      <c r="E467" s="16">
        <v>177145.92</v>
      </c>
      <c r="F467" s="16">
        <v>177145.92</v>
      </c>
      <c r="G467" s="15">
        <v>61</v>
      </c>
      <c r="H467" s="15" t="s">
        <v>585</v>
      </c>
      <c r="I467" s="23">
        <v>177145.92</v>
      </c>
    </row>
    <row r="468" spans="1:9" s="17" customFormat="1" x14ac:dyDescent="0.25">
      <c r="A468" s="14">
        <v>46142</v>
      </c>
      <c r="B468" s="15" t="s">
        <v>721</v>
      </c>
      <c r="C468" s="15" t="s">
        <v>116</v>
      </c>
      <c r="D468" s="15" t="s">
        <v>531</v>
      </c>
      <c r="E468" s="16">
        <v>281786.03999999998</v>
      </c>
      <c r="F468" s="16">
        <v>281786.03999999998</v>
      </c>
      <c r="G468" s="15">
        <v>61</v>
      </c>
      <c r="H468" s="15" t="s">
        <v>585</v>
      </c>
      <c r="I468" s="23">
        <v>281786.03999999998</v>
      </c>
    </row>
    <row r="469" spans="1:9" s="17" customFormat="1" x14ac:dyDescent="0.25">
      <c r="A469" s="14">
        <v>46142</v>
      </c>
      <c r="B469" s="15" t="s">
        <v>723</v>
      </c>
      <c r="C469" s="15" t="s">
        <v>120</v>
      </c>
      <c r="D469" s="15" t="s">
        <v>598</v>
      </c>
      <c r="E469" s="16">
        <v>230100</v>
      </c>
      <c r="F469" s="16">
        <v>230100</v>
      </c>
      <c r="G469" s="15">
        <v>61</v>
      </c>
      <c r="H469" s="15" t="s">
        <v>585</v>
      </c>
      <c r="I469" s="23">
        <v>230100</v>
      </c>
    </row>
    <row r="470" spans="1:9" s="17" customFormat="1" x14ac:dyDescent="0.25">
      <c r="A470" s="14">
        <v>46142</v>
      </c>
      <c r="B470" s="15" t="s">
        <v>722</v>
      </c>
      <c r="C470" s="15" t="s">
        <v>120</v>
      </c>
      <c r="D470" s="15" t="s">
        <v>598</v>
      </c>
      <c r="E470" s="16">
        <v>230100</v>
      </c>
      <c r="F470" s="16">
        <v>230100</v>
      </c>
      <c r="G470" s="15">
        <v>61</v>
      </c>
      <c r="H470" s="15" t="s">
        <v>585</v>
      </c>
      <c r="I470" s="23">
        <v>230100</v>
      </c>
    </row>
    <row r="471" spans="1:9" s="17" customFormat="1" x14ac:dyDescent="0.25">
      <c r="A471" s="14">
        <v>46142</v>
      </c>
      <c r="B471" s="15" t="s">
        <v>724</v>
      </c>
      <c r="C471" s="15" t="s">
        <v>147</v>
      </c>
      <c r="D471" s="15" t="s">
        <v>335</v>
      </c>
      <c r="E471" s="16">
        <v>470229.6</v>
      </c>
      <c r="F471" s="16">
        <v>470229.6</v>
      </c>
      <c r="G471" s="15">
        <v>61</v>
      </c>
      <c r="H471" s="15" t="s">
        <v>585</v>
      </c>
      <c r="I471" s="23">
        <v>470229.6</v>
      </c>
    </row>
    <row r="472" spans="1:9" s="17" customFormat="1" x14ac:dyDescent="0.25">
      <c r="A472" s="14">
        <v>46142</v>
      </c>
      <c r="B472" s="15" t="s">
        <v>725</v>
      </c>
      <c r="C472" s="15" t="s">
        <v>147</v>
      </c>
      <c r="D472" s="15" t="s">
        <v>335</v>
      </c>
      <c r="E472" s="16">
        <v>22680</v>
      </c>
      <c r="F472" s="16">
        <v>22680</v>
      </c>
      <c r="G472" s="15">
        <v>61</v>
      </c>
      <c r="H472" s="15" t="s">
        <v>585</v>
      </c>
      <c r="I472" s="23">
        <v>22680</v>
      </c>
    </row>
    <row r="473" spans="1:9" s="17" customFormat="1" x14ac:dyDescent="0.25">
      <c r="A473" s="14">
        <v>46142</v>
      </c>
      <c r="B473" s="15" t="s">
        <v>726</v>
      </c>
      <c r="C473" s="15" t="s">
        <v>156</v>
      </c>
      <c r="D473" s="15" t="s">
        <v>531</v>
      </c>
      <c r="E473" s="16">
        <v>148097.07999999999</v>
      </c>
      <c r="F473" s="16">
        <v>148097.07999999999</v>
      </c>
      <c r="G473" s="15">
        <v>61</v>
      </c>
      <c r="H473" s="15" t="s">
        <v>585</v>
      </c>
      <c r="I473" s="23">
        <v>148097.07999999999</v>
      </c>
    </row>
    <row r="474" spans="1:9" s="17" customFormat="1" x14ac:dyDescent="0.25">
      <c r="A474" s="14">
        <v>46142</v>
      </c>
      <c r="B474" s="15" t="s">
        <v>727</v>
      </c>
      <c r="C474" s="15" t="s">
        <v>156</v>
      </c>
      <c r="D474" s="15" t="s">
        <v>347</v>
      </c>
      <c r="E474" s="16">
        <v>317254.8</v>
      </c>
      <c r="F474" s="16">
        <v>317254.8</v>
      </c>
      <c r="G474" s="15">
        <v>61</v>
      </c>
      <c r="H474" s="15" t="s">
        <v>585</v>
      </c>
      <c r="I474" s="23">
        <v>317254.8</v>
      </c>
    </row>
    <row r="475" spans="1:9" s="17" customFormat="1" x14ac:dyDescent="0.25">
      <c r="A475" s="14">
        <v>46142</v>
      </c>
      <c r="B475" s="15" t="s">
        <v>728</v>
      </c>
      <c r="C475" s="15" t="s">
        <v>164</v>
      </c>
      <c r="D475" s="15" t="s">
        <v>280</v>
      </c>
      <c r="E475" s="16">
        <v>105000</v>
      </c>
      <c r="F475" s="16">
        <v>102900</v>
      </c>
      <c r="G475" s="15">
        <v>61</v>
      </c>
      <c r="H475" s="15" t="s">
        <v>585</v>
      </c>
      <c r="I475" s="23">
        <v>102900</v>
      </c>
    </row>
    <row r="476" spans="1:9" s="17" customFormat="1" x14ac:dyDescent="0.25">
      <c r="A476" s="14">
        <v>46142</v>
      </c>
      <c r="B476" s="15" t="s">
        <v>729</v>
      </c>
      <c r="C476" s="15" t="s">
        <v>164</v>
      </c>
      <c r="D476" s="15" t="s">
        <v>280</v>
      </c>
      <c r="E476" s="16">
        <v>243500</v>
      </c>
      <c r="F476" s="16">
        <v>238630</v>
      </c>
      <c r="G476" s="15">
        <v>61</v>
      </c>
      <c r="H476" s="15" t="s">
        <v>585</v>
      </c>
      <c r="I476" s="23">
        <v>238630</v>
      </c>
    </row>
    <row r="477" spans="1:9" s="17" customFormat="1" x14ac:dyDescent="0.25">
      <c r="A477" s="14">
        <v>46142</v>
      </c>
      <c r="B477" s="15" t="s">
        <v>730</v>
      </c>
      <c r="C477" s="15" t="s">
        <v>164</v>
      </c>
      <c r="D477" s="15" t="s">
        <v>321</v>
      </c>
      <c r="E477" s="16">
        <v>95000</v>
      </c>
      <c r="F477" s="16">
        <v>93100</v>
      </c>
      <c r="G477" s="15">
        <v>61</v>
      </c>
      <c r="H477" s="15" t="s">
        <v>585</v>
      </c>
      <c r="I477" s="23">
        <v>93100</v>
      </c>
    </row>
    <row r="478" spans="1:9" s="17" customFormat="1" x14ac:dyDescent="0.25">
      <c r="A478" s="14">
        <v>46142</v>
      </c>
      <c r="B478" s="15" t="s">
        <v>731</v>
      </c>
      <c r="C478" s="15" t="s">
        <v>164</v>
      </c>
      <c r="D478" s="15" t="s">
        <v>321</v>
      </c>
      <c r="E478" s="16">
        <v>365500</v>
      </c>
      <c r="F478" s="16">
        <v>358190</v>
      </c>
      <c r="G478" s="15">
        <v>61</v>
      </c>
      <c r="H478" s="15" t="s">
        <v>585</v>
      </c>
      <c r="I478" s="23">
        <v>358190</v>
      </c>
    </row>
    <row r="479" spans="1:9" s="17" customFormat="1" x14ac:dyDescent="0.25">
      <c r="A479" s="14">
        <v>46142</v>
      </c>
      <c r="B479" s="15" t="s">
        <v>732</v>
      </c>
      <c r="C479" s="15" t="s">
        <v>733</v>
      </c>
      <c r="D479" s="15" t="s">
        <v>317</v>
      </c>
      <c r="E479" s="16">
        <v>2700</v>
      </c>
      <c r="F479" s="16">
        <v>2700</v>
      </c>
      <c r="G479" s="15">
        <v>61</v>
      </c>
      <c r="H479" s="15" t="s">
        <v>585</v>
      </c>
      <c r="I479" s="23">
        <v>-2700</v>
      </c>
    </row>
    <row r="480" spans="1:9" s="17" customFormat="1" x14ac:dyDescent="0.25">
      <c r="A480" s="14">
        <v>46142</v>
      </c>
      <c r="B480" s="15" t="s">
        <v>734</v>
      </c>
      <c r="C480" s="15" t="s">
        <v>169</v>
      </c>
      <c r="D480" s="15" t="s">
        <v>280</v>
      </c>
      <c r="E480" s="16">
        <v>10287.9</v>
      </c>
      <c r="F480" s="16">
        <v>0.26</v>
      </c>
      <c r="G480" s="15">
        <v>61</v>
      </c>
      <c r="H480" s="15" t="s">
        <v>585</v>
      </c>
      <c r="I480" s="23">
        <v>0.26</v>
      </c>
    </row>
    <row r="481" spans="1:9" s="17" customFormat="1" x14ac:dyDescent="0.25">
      <c r="A481" s="14">
        <v>46142</v>
      </c>
      <c r="B481" s="15" t="s">
        <v>735</v>
      </c>
      <c r="C481" s="15" t="s">
        <v>173</v>
      </c>
      <c r="D481" s="15" t="s">
        <v>531</v>
      </c>
      <c r="E481" s="16">
        <v>526750</v>
      </c>
      <c r="F481" s="16">
        <v>526750</v>
      </c>
      <c r="G481" s="15">
        <v>61</v>
      </c>
      <c r="H481" s="15" t="s">
        <v>585</v>
      </c>
      <c r="I481" s="23">
        <v>526750</v>
      </c>
    </row>
    <row r="482" spans="1:9" s="17" customFormat="1" x14ac:dyDescent="0.25">
      <c r="A482" s="14">
        <v>46142</v>
      </c>
      <c r="B482" s="15" t="s">
        <v>736</v>
      </c>
      <c r="C482" s="15" t="s">
        <v>186</v>
      </c>
      <c r="D482" s="15" t="s">
        <v>306</v>
      </c>
      <c r="E482" s="16">
        <v>412960</v>
      </c>
      <c r="F482" s="16">
        <v>412960</v>
      </c>
      <c r="G482" s="15">
        <v>61</v>
      </c>
      <c r="H482" s="15" t="s">
        <v>585</v>
      </c>
      <c r="I482" s="23">
        <v>412960</v>
      </c>
    </row>
    <row r="483" spans="1:9" s="17" customFormat="1" x14ac:dyDescent="0.25">
      <c r="A483" s="14">
        <v>46142</v>
      </c>
      <c r="B483" s="15" t="s">
        <v>737</v>
      </c>
      <c r="C483" s="15" t="s">
        <v>188</v>
      </c>
      <c r="D483" s="15" t="s">
        <v>321</v>
      </c>
      <c r="E483" s="16">
        <v>198030</v>
      </c>
      <c r="F483" s="16">
        <v>198030</v>
      </c>
      <c r="G483" s="15">
        <v>61</v>
      </c>
      <c r="H483" s="15" t="s">
        <v>585</v>
      </c>
      <c r="I483" s="23">
        <v>198030</v>
      </c>
    </row>
    <row r="484" spans="1:9" s="17" customFormat="1" x14ac:dyDescent="0.25">
      <c r="A484" s="14">
        <v>46142</v>
      </c>
      <c r="B484" s="15" t="s">
        <v>738</v>
      </c>
      <c r="C484" s="15" t="s">
        <v>188</v>
      </c>
      <c r="D484" s="15" t="s">
        <v>321</v>
      </c>
      <c r="E484" s="16">
        <v>172200</v>
      </c>
      <c r="F484" s="16">
        <v>172200</v>
      </c>
      <c r="G484" s="15">
        <v>61</v>
      </c>
      <c r="H484" s="15" t="s">
        <v>585</v>
      </c>
      <c r="I484" s="23">
        <v>172200</v>
      </c>
    </row>
    <row r="485" spans="1:9" s="17" customFormat="1" x14ac:dyDescent="0.25">
      <c r="A485" s="14">
        <v>46142</v>
      </c>
      <c r="B485" s="15" t="s">
        <v>739</v>
      </c>
      <c r="C485" s="15" t="s">
        <v>188</v>
      </c>
      <c r="D485" s="15" t="s">
        <v>321</v>
      </c>
      <c r="E485" s="16">
        <v>200900</v>
      </c>
      <c r="F485" s="16">
        <v>200900</v>
      </c>
      <c r="G485" s="15">
        <v>61</v>
      </c>
      <c r="H485" s="15" t="s">
        <v>585</v>
      </c>
      <c r="I485" s="23">
        <v>200900</v>
      </c>
    </row>
    <row r="486" spans="1:9" s="17" customFormat="1" x14ac:dyDescent="0.25">
      <c r="A486" s="14">
        <v>46142</v>
      </c>
      <c r="B486" s="15" t="s">
        <v>740</v>
      </c>
      <c r="C486" s="15" t="s">
        <v>216</v>
      </c>
      <c r="D486" s="15" t="s">
        <v>306</v>
      </c>
      <c r="E486" s="16">
        <v>95550</v>
      </c>
      <c r="F486" s="16">
        <v>95550</v>
      </c>
      <c r="G486" s="15">
        <v>61</v>
      </c>
      <c r="H486" s="15" t="s">
        <v>585</v>
      </c>
      <c r="I486" s="23">
        <v>95550</v>
      </c>
    </row>
    <row r="487" spans="1:9" s="17" customFormat="1" x14ac:dyDescent="0.25">
      <c r="A487" s="14">
        <v>46142</v>
      </c>
      <c r="B487" s="15" t="s">
        <v>741</v>
      </c>
      <c r="C487" s="15" t="s">
        <v>216</v>
      </c>
      <c r="D487" s="15" t="s">
        <v>347</v>
      </c>
      <c r="E487" s="16">
        <v>217805</v>
      </c>
      <c r="F487" s="16">
        <v>217805</v>
      </c>
      <c r="G487" s="15">
        <v>61</v>
      </c>
      <c r="H487" s="15" t="s">
        <v>585</v>
      </c>
      <c r="I487" s="23">
        <v>217805</v>
      </c>
    </row>
    <row r="488" spans="1:9" s="17" customFormat="1" x14ac:dyDescent="0.25">
      <c r="A488" s="14">
        <v>46142</v>
      </c>
      <c r="B488" s="15" t="s">
        <v>744</v>
      </c>
      <c r="C488" s="15" t="s">
        <v>216</v>
      </c>
      <c r="D488" s="15" t="s">
        <v>347</v>
      </c>
      <c r="E488" s="16">
        <v>176400</v>
      </c>
      <c r="F488" s="16">
        <v>176400</v>
      </c>
      <c r="G488" s="15">
        <v>61</v>
      </c>
      <c r="H488" s="15" t="s">
        <v>585</v>
      </c>
      <c r="I488" s="23">
        <v>176400</v>
      </c>
    </row>
    <row r="489" spans="1:9" s="17" customFormat="1" x14ac:dyDescent="0.25">
      <c r="A489" s="14">
        <v>46142</v>
      </c>
      <c r="B489" s="15" t="s">
        <v>745</v>
      </c>
      <c r="C489" s="15" t="s">
        <v>216</v>
      </c>
      <c r="D489" s="15" t="s">
        <v>347</v>
      </c>
      <c r="E489" s="16">
        <v>73500</v>
      </c>
      <c r="F489" s="16">
        <v>73500</v>
      </c>
      <c r="G489" s="15">
        <v>61</v>
      </c>
      <c r="H489" s="15" t="s">
        <v>585</v>
      </c>
      <c r="I489" s="23">
        <v>73500</v>
      </c>
    </row>
    <row r="490" spans="1:9" s="17" customFormat="1" x14ac:dyDescent="0.25">
      <c r="A490" s="14">
        <v>46142</v>
      </c>
      <c r="B490" s="15" t="s">
        <v>746</v>
      </c>
      <c r="C490" s="15" t="s">
        <v>216</v>
      </c>
      <c r="D490" s="15" t="s">
        <v>347</v>
      </c>
      <c r="E490" s="16">
        <v>86240</v>
      </c>
      <c r="F490" s="16">
        <v>86240</v>
      </c>
      <c r="G490" s="15">
        <v>61</v>
      </c>
      <c r="H490" s="15" t="s">
        <v>585</v>
      </c>
      <c r="I490" s="23">
        <v>86240</v>
      </c>
    </row>
    <row r="491" spans="1:9" s="17" customFormat="1" x14ac:dyDescent="0.25">
      <c r="A491" s="14">
        <v>46142</v>
      </c>
      <c r="B491" s="15" t="s">
        <v>747</v>
      </c>
      <c r="C491" s="15" t="s">
        <v>216</v>
      </c>
      <c r="D491" s="15" t="s">
        <v>347</v>
      </c>
      <c r="E491" s="16">
        <v>83300</v>
      </c>
      <c r="F491" s="16">
        <v>83300</v>
      </c>
      <c r="G491" s="15">
        <v>61</v>
      </c>
      <c r="H491" s="15" t="s">
        <v>585</v>
      </c>
      <c r="I491" s="23">
        <v>83300</v>
      </c>
    </row>
    <row r="492" spans="1:9" s="17" customFormat="1" x14ac:dyDescent="0.25">
      <c r="A492" s="14">
        <v>46142</v>
      </c>
      <c r="B492" s="15" t="s">
        <v>743</v>
      </c>
      <c r="C492" s="15" t="s">
        <v>216</v>
      </c>
      <c r="D492" s="15" t="s">
        <v>347</v>
      </c>
      <c r="E492" s="16">
        <v>233240</v>
      </c>
      <c r="F492" s="16">
        <v>233240</v>
      </c>
      <c r="G492" s="15">
        <v>61</v>
      </c>
      <c r="H492" s="15" t="s">
        <v>585</v>
      </c>
      <c r="I492" s="23">
        <v>233240</v>
      </c>
    </row>
    <row r="493" spans="1:9" s="17" customFormat="1" x14ac:dyDescent="0.25">
      <c r="A493" s="14">
        <v>46142</v>
      </c>
      <c r="B493" s="15" t="s">
        <v>742</v>
      </c>
      <c r="C493" s="15" t="s">
        <v>216</v>
      </c>
      <c r="D493" s="15" t="s">
        <v>347</v>
      </c>
      <c r="E493" s="16">
        <v>219275</v>
      </c>
      <c r="F493" s="16">
        <v>219275</v>
      </c>
      <c r="G493" s="15">
        <v>61</v>
      </c>
      <c r="H493" s="15" t="s">
        <v>585</v>
      </c>
      <c r="I493" s="23">
        <v>219275</v>
      </c>
    </row>
    <row r="494" spans="1:9" s="17" customFormat="1" x14ac:dyDescent="0.25">
      <c r="A494" s="14">
        <v>46143</v>
      </c>
      <c r="B494" s="15" t="s">
        <v>749</v>
      </c>
      <c r="C494" s="15" t="s">
        <v>147</v>
      </c>
      <c r="D494" s="15" t="s">
        <v>335</v>
      </c>
      <c r="E494" s="16">
        <v>1184693.22</v>
      </c>
      <c r="F494" s="16">
        <v>1184693.22</v>
      </c>
      <c r="G494" s="15">
        <v>60</v>
      </c>
      <c r="H494" s="15" t="s">
        <v>659</v>
      </c>
      <c r="I494" s="23">
        <v>1184693.22</v>
      </c>
    </row>
    <row r="495" spans="1:9" s="17" customFormat="1" x14ac:dyDescent="0.25">
      <c r="A495" s="14">
        <v>46143</v>
      </c>
      <c r="B495" s="15" t="s">
        <v>750</v>
      </c>
      <c r="C495" s="15" t="s">
        <v>706</v>
      </c>
      <c r="D495" s="15" t="s">
        <v>312</v>
      </c>
      <c r="E495" s="16">
        <v>236708</v>
      </c>
      <c r="F495" s="16">
        <v>236708</v>
      </c>
      <c r="G495" s="15">
        <v>60</v>
      </c>
      <c r="H495" s="15" t="s">
        <v>659</v>
      </c>
      <c r="I495" s="23">
        <v>236708</v>
      </c>
    </row>
    <row r="496" spans="1:9" s="17" customFormat="1" x14ac:dyDescent="0.25">
      <c r="A496" s="14">
        <v>46143</v>
      </c>
      <c r="B496" s="15" t="s">
        <v>751</v>
      </c>
      <c r="C496" s="15" t="s">
        <v>197</v>
      </c>
      <c r="D496" s="15" t="s">
        <v>319</v>
      </c>
      <c r="E496" s="16">
        <v>507627.6</v>
      </c>
      <c r="F496" s="16">
        <v>507627.6</v>
      </c>
      <c r="G496" s="15">
        <v>60</v>
      </c>
      <c r="H496" s="15" t="s">
        <v>659</v>
      </c>
      <c r="I496" s="23">
        <v>507627.6</v>
      </c>
    </row>
    <row r="497" spans="1:9" s="17" customFormat="1" x14ac:dyDescent="0.25">
      <c r="A497" s="14">
        <v>46144</v>
      </c>
      <c r="B497" s="15" t="s">
        <v>752</v>
      </c>
      <c r="C497" s="15" t="s">
        <v>753</v>
      </c>
      <c r="D497" s="15" t="s">
        <v>317</v>
      </c>
      <c r="E497" s="16">
        <v>135200</v>
      </c>
      <c r="F497" s="16">
        <v>135200</v>
      </c>
      <c r="G497" s="15">
        <v>59</v>
      </c>
      <c r="H497" s="15" t="s">
        <v>659</v>
      </c>
      <c r="I497" s="23">
        <v>-135200</v>
      </c>
    </row>
    <row r="498" spans="1:9" s="17" customFormat="1" x14ac:dyDescent="0.25">
      <c r="A498" s="14">
        <v>46144</v>
      </c>
      <c r="B498" s="15" t="s">
        <v>754</v>
      </c>
      <c r="C498" s="15" t="s">
        <v>173</v>
      </c>
      <c r="D498" s="15" t="s">
        <v>531</v>
      </c>
      <c r="E498" s="16">
        <v>276850</v>
      </c>
      <c r="F498" s="16">
        <v>276850</v>
      </c>
      <c r="G498" s="15">
        <v>59</v>
      </c>
      <c r="H498" s="15" t="s">
        <v>659</v>
      </c>
      <c r="I498" s="23">
        <v>276850</v>
      </c>
    </row>
    <row r="499" spans="1:9" s="17" customFormat="1" x14ac:dyDescent="0.25">
      <c r="A499" s="14">
        <v>46144</v>
      </c>
      <c r="B499" s="15" t="s">
        <v>755</v>
      </c>
      <c r="C499" s="15" t="s">
        <v>210</v>
      </c>
      <c r="D499" s="15" t="s">
        <v>306</v>
      </c>
      <c r="E499" s="16">
        <v>49963.54</v>
      </c>
      <c r="F499" s="16">
        <v>393964.81</v>
      </c>
      <c r="G499" s="15">
        <v>59</v>
      </c>
      <c r="H499" s="15" t="s">
        <v>659</v>
      </c>
      <c r="I499" s="23">
        <v>393964.81</v>
      </c>
    </row>
    <row r="500" spans="1:9" s="17" customFormat="1" x14ac:dyDescent="0.25">
      <c r="A500" s="14">
        <v>46145</v>
      </c>
      <c r="B500" s="15" t="s">
        <v>756</v>
      </c>
      <c r="C500" s="15" t="s">
        <v>172</v>
      </c>
      <c r="D500" s="15" t="s">
        <v>306</v>
      </c>
      <c r="E500" s="16">
        <v>106550</v>
      </c>
      <c r="F500" s="16">
        <v>106550</v>
      </c>
      <c r="G500" s="15">
        <v>58</v>
      </c>
      <c r="H500" s="15" t="s">
        <v>659</v>
      </c>
      <c r="I500" s="23">
        <v>106550</v>
      </c>
    </row>
    <row r="501" spans="1:9" s="17" customFormat="1" x14ac:dyDescent="0.25">
      <c r="A501" s="14">
        <v>46146</v>
      </c>
      <c r="B501" s="15" t="s">
        <v>758</v>
      </c>
      <c r="C501" s="15" t="s">
        <v>43</v>
      </c>
      <c r="D501" s="15" t="s">
        <v>321</v>
      </c>
      <c r="E501" s="16">
        <v>78577</v>
      </c>
      <c r="F501" s="16">
        <v>78577</v>
      </c>
      <c r="G501" s="15">
        <v>57</v>
      </c>
      <c r="H501" s="15" t="s">
        <v>659</v>
      </c>
      <c r="I501" s="23">
        <v>78577</v>
      </c>
    </row>
    <row r="502" spans="1:9" s="17" customFormat="1" x14ac:dyDescent="0.25">
      <c r="A502" s="14">
        <v>46146</v>
      </c>
      <c r="B502" s="15" t="s">
        <v>757</v>
      </c>
      <c r="C502" s="15" t="s">
        <v>43</v>
      </c>
      <c r="D502" s="15" t="s">
        <v>321</v>
      </c>
      <c r="E502" s="16">
        <v>79361</v>
      </c>
      <c r="F502" s="16">
        <v>79361</v>
      </c>
      <c r="G502" s="15">
        <v>57</v>
      </c>
      <c r="H502" s="15" t="s">
        <v>659</v>
      </c>
      <c r="I502" s="23">
        <v>79361</v>
      </c>
    </row>
    <row r="503" spans="1:9" s="17" customFormat="1" x14ac:dyDescent="0.25">
      <c r="A503" s="14">
        <v>46146</v>
      </c>
      <c r="B503" s="15" t="s">
        <v>759</v>
      </c>
      <c r="C503" s="15" t="s">
        <v>144</v>
      </c>
      <c r="D503" s="15" t="s">
        <v>306</v>
      </c>
      <c r="E503" s="16">
        <v>972675</v>
      </c>
      <c r="F503" s="16">
        <v>972675</v>
      </c>
      <c r="G503" s="15">
        <v>57</v>
      </c>
      <c r="H503" s="15" t="s">
        <v>659</v>
      </c>
      <c r="I503" s="23">
        <v>972675</v>
      </c>
    </row>
    <row r="504" spans="1:9" s="17" customFormat="1" x14ac:dyDescent="0.25">
      <c r="A504" s="14">
        <v>46147</v>
      </c>
      <c r="B504" s="15" t="s">
        <v>760</v>
      </c>
      <c r="C504" s="15" t="s">
        <v>32</v>
      </c>
      <c r="D504" s="15" t="s">
        <v>319</v>
      </c>
      <c r="E504" s="16">
        <v>58870</v>
      </c>
      <c r="F504" s="16">
        <v>58870</v>
      </c>
      <c r="G504" s="15">
        <v>56</v>
      </c>
      <c r="H504" s="15" t="s">
        <v>659</v>
      </c>
      <c r="I504" s="23">
        <v>58870</v>
      </c>
    </row>
    <row r="505" spans="1:9" s="17" customFormat="1" x14ac:dyDescent="0.25">
      <c r="A505" s="14">
        <v>46148</v>
      </c>
      <c r="B505" s="15" t="s">
        <v>761</v>
      </c>
      <c r="C505" s="15" t="s">
        <v>126</v>
      </c>
      <c r="D505" s="15" t="s">
        <v>335</v>
      </c>
      <c r="E505" s="16">
        <v>81792.98</v>
      </c>
      <c r="F505" s="16">
        <v>81792.98</v>
      </c>
      <c r="G505" s="15">
        <v>55</v>
      </c>
      <c r="H505" s="15" t="s">
        <v>659</v>
      </c>
      <c r="I505" s="23">
        <v>81792.98</v>
      </c>
    </row>
    <row r="506" spans="1:9" s="17" customFormat="1" x14ac:dyDescent="0.25">
      <c r="A506" s="14">
        <v>46148</v>
      </c>
      <c r="B506" s="15" t="s">
        <v>762</v>
      </c>
      <c r="C506" s="15" t="s">
        <v>126</v>
      </c>
      <c r="D506" s="15" t="s">
        <v>335</v>
      </c>
      <c r="E506" s="16">
        <v>334281.94</v>
      </c>
      <c r="F506" s="16">
        <v>334281.94</v>
      </c>
      <c r="G506" s="15">
        <v>55</v>
      </c>
      <c r="H506" s="15" t="s">
        <v>659</v>
      </c>
      <c r="I506" s="23">
        <v>334281.94</v>
      </c>
    </row>
    <row r="507" spans="1:9" s="17" customFormat="1" x14ac:dyDescent="0.25">
      <c r="A507" s="14">
        <v>46148</v>
      </c>
      <c r="B507" s="15" t="s">
        <v>763</v>
      </c>
      <c r="C507" s="15" t="s">
        <v>202</v>
      </c>
      <c r="D507" s="15" t="s">
        <v>531</v>
      </c>
      <c r="E507" s="16">
        <v>254800</v>
      </c>
      <c r="F507" s="16">
        <v>254800</v>
      </c>
      <c r="G507" s="15">
        <v>55</v>
      </c>
      <c r="H507" s="15" t="s">
        <v>659</v>
      </c>
      <c r="I507" s="23">
        <v>254800</v>
      </c>
    </row>
    <row r="508" spans="1:9" s="17" customFormat="1" x14ac:dyDescent="0.25">
      <c r="A508" s="14">
        <v>46148</v>
      </c>
      <c r="B508" s="15" t="s">
        <v>764</v>
      </c>
      <c r="C508" s="15" t="s">
        <v>202</v>
      </c>
      <c r="D508" s="15" t="s">
        <v>531</v>
      </c>
      <c r="E508" s="16">
        <v>1167915</v>
      </c>
      <c r="F508" s="16">
        <v>1167915</v>
      </c>
      <c r="G508" s="15">
        <v>55</v>
      </c>
      <c r="H508" s="15" t="s">
        <v>659</v>
      </c>
      <c r="I508" s="23">
        <v>1167915</v>
      </c>
    </row>
    <row r="509" spans="1:9" s="17" customFormat="1" x14ac:dyDescent="0.25">
      <c r="A509" s="14">
        <v>46149</v>
      </c>
      <c r="B509" s="15" t="s">
        <v>765</v>
      </c>
      <c r="C509" s="15" t="s">
        <v>13</v>
      </c>
      <c r="D509" s="15" t="s">
        <v>306</v>
      </c>
      <c r="E509" s="16">
        <v>127062</v>
      </c>
      <c r="F509" s="16">
        <v>127062</v>
      </c>
      <c r="G509" s="15">
        <v>54</v>
      </c>
      <c r="H509" s="15" t="s">
        <v>659</v>
      </c>
      <c r="I509" s="23">
        <v>127062</v>
      </c>
    </row>
    <row r="510" spans="1:9" s="17" customFormat="1" x14ac:dyDescent="0.25">
      <c r="A510" s="14">
        <v>46149</v>
      </c>
      <c r="B510" s="15" t="s">
        <v>766</v>
      </c>
      <c r="C510" s="15" t="s">
        <v>32</v>
      </c>
      <c r="D510" s="15" t="s">
        <v>319</v>
      </c>
      <c r="E510" s="16">
        <v>73080</v>
      </c>
      <c r="F510" s="16">
        <v>73080</v>
      </c>
      <c r="G510" s="15">
        <v>54</v>
      </c>
      <c r="H510" s="15" t="s">
        <v>659</v>
      </c>
      <c r="I510" s="23">
        <v>73080</v>
      </c>
    </row>
    <row r="511" spans="1:9" s="17" customFormat="1" x14ac:dyDescent="0.25">
      <c r="A511" s="14">
        <v>46150</v>
      </c>
      <c r="B511" s="15" t="s">
        <v>767</v>
      </c>
      <c r="C511" s="15" t="s">
        <v>43</v>
      </c>
      <c r="D511" s="15" t="s">
        <v>321</v>
      </c>
      <c r="E511" s="16">
        <v>82546</v>
      </c>
      <c r="F511" s="16">
        <v>82546</v>
      </c>
      <c r="G511" s="15">
        <v>53</v>
      </c>
      <c r="H511" s="15" t="s">
        <v>659</v>
      </c>
      <c r="I511" s="23">
        <v>82546</v>
      </c>
    </row>
    <row r="512" spans="1:9" s="17" customFormat="1" x14ac:dyDescent="0.25">
      <c r="A512" s="14">
        <v>46150</v>
      </c>
      <c r="B512" s="15" t="s">
        <v>768</v>
      </c>
      <c r="C512" s="15" t="s">
        <v>108</v>
      </c>
      <c r="D512" s="15" t="s">
        <v>306</v>
      </c>
      <c r="E512" s="16">
        <v>57330</v>
      </c>
      <c r="F512" s="16">
        <v>57330</v>
      </c>
      <c r="G512" s="15">
        <v>53</v>
      </c>
      <c r="H512" s="15" t="s">
        <v>659</v>
      </c>
      <c r="I512" s="23">
        <v>57330</v>
      </c>
    </row>
    <row r="513" spans="1:9" s="17" customFormat="1" x14ac:dyDescent="0.25">
      <c r="A513" s="14">
        <v>46150</v>
      </c>
      <c r="B513" s="15" t="s">
        <v>769</v>
      </c>
      <c r="C513" s="15" t="s">
        <v>144</v>
      </c>
      <c r="D513" s="15" t="s">
        <v>306</v>
      </c>
      <c r="E513" s="16">
        <v>572588.38</v>
      </c>
      <c r="F513" s="16">
        <v>572588.38</v>
      </c>
      <c r="G513" s="15">
        <v>53</v>
      </c>
      <c r="H513" s="15" t="s">
        <v>659</v>
      </c>
      <c r="I513" s="23">
        <v>572588.38</v>
      </c>
    </row>
    <row r="514" spans="1:9" s="17" customFormat="1" x14ac:dyDescent="0.25">
      <c r="A514" s="14">
        <v>46150</v>
      </c>
      <c r="B514" s="15" t="s">
        <v>770</v>
      </c>
      <c r="C514" s="15" t="s">
        <v>172</v>
      </c>
      <c r="D514" s="15" t="s">
        <v>306</v>
      </c>
      <c r="E514" s="16">
        <v>19926</v>
      </c>
      <c r="F514" s="16">
        <v>19926</v>
      </c>
      <c r="G514" s="15">
        <v>53</v>
      </c>
      <c r="H514" s="15" t="s">
        <v>659</v>
      </c>
      <c r="I514" s="23">
        <v>19926</v>
      </c>
    </row>
    <row r="515" spans="1:9" s="17" customFormat="1" x14ac:dyDescent="0.25">
      <c r="A515" s="14">
        <v>46150</v>
      </c>
      <c r="B515" s="15" t="s">
        <v>771</v>
      </c>
      <c r="C515" s="15" t="s">
        <v>173</v>
      </c>
      <c r="D515" s="15" t="s">
        <v>531</v>
      </c>
      <c r="E515" s="16">
        <v>63700</v>
      </c>
      <c r="F515" s="16">
        <v>63700</v>
      </c>
      <c r="G515" s="15">
        <v>53</v>
      </c>
      <c r="H515" s="15" t="s">
        <v>659</v>
      </c>
      <c r="I515" s="23">
        <v>63700</v>
      </c>
    </row>
    <row r="516" spans="1:9" s="17" customFormat="1" x14ac:dyDescent="0.25">
      <c r="A516" s="14">
        <v>46152</v>
      </c>
      <c r="B516" s="15" t="s">
        <v>773</v>
      </c>
      <c r="C516" s="15" t="s">
        <v>37</v>
      </c>
      <c r="D516" s="15" t="s">
        <v>531</v>
      </c>
      <c r="E516" s="16">
        <v>171667.15</v>
      </c>
      <c r="F516" s="16">
        <v>171667.15</v>
      </c>
      <c r="G516" s="15">
        <v>51</v>
      </c>
      <c r="H516" s="15" t="s">
        <v>659</v>
      </c>
      <c r="I516" s="23">
        <v>171667.15</v>
      </c>
    </row>
    <row r="517" spans="1:9" s="17" customFormat="1" x14ac:dyDescent="0.25">
      <c r="A517" s="14">
        <v>46152</v>
      </c>
      <c r="B517" s="15" t="s">
        <v>772</v>
      </c>
      <c r="C517" s="15" t="s">
        <v>37</v>
      </c>
      <c r="D517" s="15" t="s">
        <v>531</v>
      </c>
      <c r="E517" s="16">
        <v>242334.12</v>
      </c>
      <c r="F517" s="16">
        <v>242334.12</v>
      </c>
      <c r="G517" s="15">
        <v>51</v>
      </c>
      <c r="H517" s="15" t="s">
        <v>659</v>
      </c>
      <c r="I517" s="23">
        <v>242334.12</v>
      </c>
    </row>
    <row r="518" spans="1:9" s="17" customFormat="1" x14ac:dyDescent="0.25">
      <c r="A518" s="14">
        <v>46152</v>
      </c>
      <c r="B518" s="15" t="s">
        <v>774</v>
      </c>
      <c r="C518" s="15" t="s">
        <v>172</v>
      </c>
      <c r="D518" s="15" t="s">
        <v>306</v>
      </c>
      <c r="E518" s="16">
        <v>88344</v>
      </c>
      <c r="F518" s="16">
        <v>88344</v>
      </c>
      <c r="G518" s="15">
        <v>51</v>
      </c>
      <c r="H518" s="15" t="s">
        <v>659</v>
      </c>
      <c r="I518" s="23">
        <v>88344</v>
      </c>
    </row>
    <row r="519" spans="1:9" s="17" customFormat="1" x14ac:dyDescent="0.25">
      <c r="A519" s="14">
        <v>46153</v>
      </c>
      <c r="B519" s="15" t="s">
        <v>775</v>
      </c>
      <c r="C519" s="15" t="s">
        <v>174</v>
      </c>
      <c r="D519" s="15" t="s">
        <v>319</v>
      </c>
      <c r="E519" s="16">
        <v>60900</v>
      </c>
      <c r="F519" s="16">
        <v>60900</v>
      </c>
      <c r="G519" s="15">
        <v>50</v>
      </c>
      <c r="H519" s="15" t="s">
        <v>659</v>
      </c>
      <c r="I519" s="23">
        <v>60900</v>
      </c>
    </row>
    <row r="520" spans="1:9" s="17" customFormat="1" x14ac:dyDescent="0.25">
      <c r="A520" s="14">
        <v>46154</v>
      </c>
      <c r="B520" s="15" t="s">
        <v>777</v>
      </c>
      <c r="C520" s="15" t="s">
        <v>43</v>
      </c>
      <c r="D520" s="15" t="s">
        <v>321</v>
      </c>
      <c r="E520" s="16">
        <v>87247</v>
      </c>
      <c r="F520" s="16">
        <v>87247</v>
      </c>
      <c r="G520" s="15">
        <v>49</v>
      </c>
      <c r="H520" s="15" t="s">
        <v>659</v>
      </c>
      <c r="I520" s="23">
        <v>87247</v>
      </c>
    </row>
    <row r="521" spans="1:9" s="17" customFormat="1" x14ac:dyDescent="0.25">
      <c r="A521" s="14">
        <v>46154</v>
      </c>
      <c r="B521" s="15" t="s">
        <v>776</v>
      </c>
      <c r="C521" s="15" t="s">
        <v>43</v>
      </c>
      <c r="D521" s="15" t="s">
        <v>321</v>
      </c>
      <c r="E521" s="16">
        <v>77010</v>
      </c>
      <c r="F521" s="16">
        <v>77010</v>
      </c>
      <c r="G521" s="15">
        <v>49</v>
      </c>
      <c r="H521" s="15" t="s">
        <v>659</v>
      </c>
      <c r="I521" s="23">
        <v>77010</v>
      </c>
    </row>
    <row r="522" spans="1:9" s="17" customFormat="1" x14ac:dyDescent="0.25">
      <c r="A522" s="14">
        <v>46154</v>
      </c>
      <c r="B522" s="15" t="s">
        <v>778</v>
      </c>
      <c r="C522" s="15" t="s">
        <v>174</v>
      </c>
      <c r="D522" s="15" t="s">
        <v>319</v>
      </c>
      <c r="E522" s="16">
        <v>60900</v>
      </c>
      <c r="F522" s="16">
        <v>60900</v>
      </c>
      <c r="G522" s="15">
        <v>49</v>
      </c>
      <c r="H522" s="15" t="s">
        <v>659</v>
      </c>
      <c r="I522" s="23">
        <v>60900</v>
      </c>
    </row>
    <row r="523" spans="1:9" s="17" customFormat="1" x14ac:dyDescent="0.25">
      <c r="A523" s="14">
        <v>46154</v>
      </c>
      <c r="B523" s="15" t="s">
        <v>779</v>
      </c>
      <c r="C523" s="15" t="s">
        <v>188</v>
      </c>
      <c r="D523" s="15" t="s">
        <v>321</v>
      </c>
      <c r="E523" s="16">
        <v>57400</v>
      </c>
      <c r="F523" s="16">
        <v>57400</v>
      </c>
      <c r="G523" s="15">
        <v>49</v>
      </c>
      <c r="H523" s="15" t="s">
        <v>659</v>
      </c>
      <c r="I523" s="23">
        <v>57400</v>
      </c>
    </row>
    <row r="524" spans="1:9" s="17" customFormat="1" x14ac:dyDescent="0.25">
      <c r="A524" s="14">
        <v>46154</v>
      </c>
      <c r="B524" s="15" t="s">
        <v>780</v>
      </c>
      <c r="C524" s="15" t="s">
        <v>188</v>
      </c>
      <c r="D524" s="15" t="s">
        <v>321</v>
      </c>
      <c r="E524" s="16">
        <v>172200</v>
      </c>
      <c r="F524" s="16">
        <v>172200</v>
      </c>
      <c r="G524" s="15">
        <v>49</v>
      </c>
      <c r="H524" s="15" t="s">
        <v>659</v>
      </c>
      <c r="I524" s="23">
        <v>172200</v>
      </c>
    </row>
    <row r="525" spans="1:9" s="17" customFormat="1" x14ac:dyDescent="0.25">
      <c r="A525" s="14">
        <v>46154</v>
      </c>
      <c r="B525" s="15" t="s">
        <v>781</v>
      </c>
      <c r="C525" s="15" t="s">
        <v>216</v>
      </c>
      <c r="D525" s="15" t="s">
        <v>306</v>
      </c>
      <c r="E525" s="16">
        <v>66000</v>
      </c>
      <c r="F525" s="16">
        <v>64680</v>
      </c>
      <c r="G525" s="15">
        <v>49</v>
      </c>
      <c r="H525" s="15" t="s">
        <v>659</v>
      </c>
      <c r="I525" s="23">
        <v>64680</v>
      </c>
    </row>
    <row r="526" spans="1:9" s="17" customFormat="1" x14ac:dyDescent="0.25">
      <c r="A526" s="14">
        <v>46154</v>
      </c>
      <c r="B526" s="15" t="s">
        <v>782</v>
      </c>
      <c r="C526" s="15" t="s">
        <v>216</v>
      </c>
      <c r="D526" s="15" t="s">
        <v>306</v>
      </c>
      <c r="E526" s="16">
        <v>97500</v>
      </c>
      <c r="F526" s="16">
        <v>95550</v>
      </c>
      <c r="G526" s="15">
        <v>49</v>
      </c>
      <c r="H526" s="15" t="s">
        <v>659</v>
      </c>
      <c r="I526" s="23">
        <v>95550</v>
      </c>
    </row>
    <row r="527" spans="1:9" s="17" customFormat="1" x14ac:dyDescent="0.25">
      <c r="A527" s="14">
        <v>46155</v>
      </c>
      <c r="B527" s="15" t="s">
        <v>783</v>
      </c>
      <c r="C527" s="15" t="s">
        <v>32</v>
      </c>
      <c r="D527" s="15" t="s">
        <v>319</v>
      </c>
      <c r="E527" s="16">
        <v>58870</v>
      </c>
      <c r="F527" s="16">
        <v>58870</v>
      </c>
      <c r="G527" s="15">
        <v>48</v>
      </c>
      <c r="H527" s="15" t="s">
        <v>659</v>
      </c>
      <c r="I527" s="23">
        <v>58870</v>
      </c>
    </row>
    <row r="528" spans="1:9" s="17" customFormat="1" x14ac:dyDescent="0.25">
      <c r="A528" s="14">
        <v>46155</v>
      </c>
      <c r="B528" s="15" t="s">
        <v>784</v>
      </c>
      <c r="C528" s="15" t="s">
        <v>43</v>
      </c>
      <c r="D528" s="15" t="s">
        <v>321</v>
      </c>
      <c r="E528" s="16">
        <v>76619</v>
      </c>
      <c r="F528" s="16">
        <v>76619</v>
      </c>
      <c r="G528" s="15">
        <v>48</v>
      </c>
      <c r="H528" s="15" t="s">
        <v>659</v>
      </c>
      <c r="I528" s="23">
        <v>76619</v>
      </c>
    </row>
    <row r="529" spans="1:9" s="17" customFormat="1" x14ac:dyDescent="0.25">
      <c r="A529" s="14">
        <v>46155</v>
      </c>
      <c r="B529" s="15" t="s">
        <v>1069</v>
      </c>
      <c r="C529" s="15" t="s">
        <v>111</v>
      </c>
      <c r="D529" s="15" t="s">
        <v>335</v>
      </c>
      <c r="E529" s="16">
        <v>71874</v>
      </c>
      <c r="F529" s="16">
        <v>71874</v>
      </c>
      <c r="G529" s="15">
        <v>48</v>
      </c>
      <c r="H529" s="15" t="s">
        <v>659</v>
      </c>
      <c r="I529" s="23">
        <v>71874</v>
      </c>
    </row>
    <row r="530" spans="1:9" s="17" customFormat="1" x14ac:dyDescent="0.25">
      <c r="A530" s="14">
        <v>46156</v>
      </c>
      <c r="B530" s="15" t="s">
        <v>785</v>
      </c>
      <c r="C530" s="15" t="s">
        <v>174</v>
      </c>
      <c r="D530" s="15" t="s">
        <v>319</v>
      </c>
      <c r="E530" s="16">
        <v>60900</v>
      </c>
      <c r="F530" s="16">
        <v>60900</v>
      </c>
      <c r="G530" s="15">
        <v>47</v>
      </c>
      <c r="H530" s="15" t="s">
        <v>659</v>
      </c>
      <c r="I530" s="23">
        <v>60900</v>
      </c>
    </row>
    <row r="531" spans="1:9" s="17" customFormat="1" x14ac:dyDescent="0.25">
      <c r="A531" s="14">
        <v>46156</v>
      </c>
      <c r="B531" s="15" t="s">
        <v>786</v>
      </c>
      <c r="C531" s="15" t="s">
        <v>188</v>
      </c>
      <c r="D531" s="15" t="s">
        <v>321</v>
      </c>
      <c r="E531" s="16">
        <v>199178</v>
      </c>
      <c r="F531" s="16">
        <v>199178</v>
      </c>
      <c r="G531" s="15">
        <v>47</v>
      </c>
      <c r="H531" s="15" t="s">
        <v>659</v>
      </c>
      <c r="I531" s="23">
        <v>199178</v>
      </c>
    </row>
    <row r="532" spans="1:9" s="17" customFormat="1" x14ac:dyDescent="0.25">
      <c r="A532" s="14">
        <v>46157</v>
      </c>
      <c r="B532" s="15" t="s">
        <v>787</v>
      </c>
      <c r="C532" s="15" t="s">
        <v>32</v>
      </c>
      <c r="D532" s="15" t="s">
        <v>319</v>
      </c>
      <c r="E532" s="16">
        <v>73080</v>
      </c>
      <c r="F532" s="16">
        <v>73080</v>
      </c>
      <c r="G532" s="15">
        <v>46</v>
      </c>
      <c r="H532" s="15" t="s">
        <v>659</v>
      </c>
      <c r="I532" s="23">
        <v>73080</v>
      </c>
    </row>
    <row r="533" spans="1:9" s="17" customFormat="1" x14ac:dyDescent="0.25">
      <c r="A533" s="14">
        <v>46157</v>
      </c>
      <c r="B533" s="15" t="s">
        <v>788</v>
      </c>
      <c r="C533" s="15" t="s">
        <v>95</v>
      </c>
      <c r="D533" s="15" t="s">
        <v>335</v>
      </c>
      <c r="E533" s="16">
        <v>208400</v>
      </c>
      <c r="F533" s="16">
        <v>208400</v>
      </c>
      <c r="G533" s="15">
        <v>46</v>
      </c>
      <c r="H533" s="15" t="s">
        <v>659</v>
      </c>
      <c r="I533" s="23">
        <v>208400</v>
      </c>
    </row>
    <row r="534" spans="1:9" s="17" customFormat="1" x14ac:dyDescent="0.25">
      <c r="A534" s="14">
        <v>46157</v>
      </c>
      <c r="B534" s="15" t="s">
        <v>789</v>
      </c>
      <c r="C534" s="15" t="s">
        <v>188</v>
      </c>
      <c r="D534" s="15" t="s">
        <v>321</v>
      </c>
      <c r="E534" s="16">
        <v>172200</v>
      </c>
      <c r="F534" s="16">
        <v>172200</v>
      </c>
      <c r="G534" s="15">
        <v>46</v>
      </c>
      <c r="H534" s="15" t="s">
        <v>659</v>
      </c>
      <c r="I534" s="23">
        <v>172200</v>
      </c>
    </row>
    <row r="535" spans="1:9" s="17" customFormat="1" x14ac:dyDescent="0.25">
      <c r="A535" s="14">
        <v>46157</v>
      </c>
      <c r="B535" s="15" t="s">
        <v>790</v>
      </c>
      <c r="C535" s="15" t="s">
        <v>188</v>
      </c>
      <c r="D535" s="15" t="s">
        <v>663</v>
      </c>
      <c r="E535" s="16">
        <v>11480</v>
      </c>
      <c r="F535" s="16">
        <v>11480</v>
      </c>
      <c r="G535" s="15">
        <v>46</v>
      </c>
      <c r="H535" s="15" t="s">
        <v>659</v>
      </c>
      <c r="I535" s="23">
        <v>11480</v>
      </c>
    </row>
    <row r="536" spans="1:9" s="17" customFormat="1" x14ac:dyDescent="0.25">
      <c r="A536" s="14">
        <v>46158</v>
      </c>
      <c r="B536" s="15" t="s">
        <v>792</v>
      </c>
      <c r="C536" s="15" t="s">
        <v>43</v>
      </c>
      <c r="D536" s="15" t="s">
        <v>321</v>
      </c>
      <c r="E536" s="16">
        <v>77611</v>
      </c>
      <c r="F536" s="16">
        <v>77611</v>
      </c>
      <c r="G536" s="15">
        <v>45</v>
      </c>
      <c r="H536" s="15" t="s">
        <v>659</v>
      </c>
      <c r="I536" s="23">
        <v>77611</v>
      </c>
    </row>
    <row r="537" spans="1:9" s="17" customFormat="1" x14ac:dyDescent="0.25">
      <c r="A537" s="14">
        <v>46158</v>
      </c>
      <c r="B537" s="15" t="s">
        <v>791</v>
      </c>
      <c r="C537" s="15" t="s">
        <v>43</v>
      </c>
      <c r="D537" s="15" t="s">
        <v>321</v>
      </c>
      <c r="E537" s="16">
        <v>77141</v>
      </c>
      <c r="F537" s="16">
        <v>77141</v>
      </c>
      <c r="G537" s="15">
        <v>45</v>
      </c>
      <c r="H537" s="15" t="s">
        <v>659</v>
      </c>
      <c r="I537" s="23">
        <v>77141</v>
      </c>
    </row>
    <row r="538" spans="1:9" s="17" customFormat="1" x14ac:dyDescent="0.25">
      <c r="A538" s="14">
        <v>46158</v>
      </c>
      <c r="B538" s="15" t="s">
        <v>795</v>
      </c>
      <c r="C538" s="15" t="s">
        <v>188</v>
      </c>
      <c r="D538" s="15" t="s">
        <v>321</v>
      </c>
      <c r="E538" s="16">
        <v>172200</v>
      </c>
      <c r="F538" s="16">
        <v>172200</v>
      </c>
      <c r="G538" s="15">
        <v>45</v>
      </c>
      <c r="H538" s="15" t="s">
        <v>659</v>
      </c>
      <c r="I538" s="23">
        <v>172200</v>
      </c>
    </row>
    <row r="539" spans="1:9" s="17" customFormat="1" x14ac:dyDescent="0.25">
      <c r="A539" s="14">
        <v>46159</v>
      </c>
      <c r="B539" s="15" t="s">
        <v>796</v>
      </c>
      <c r="C539" s="15" t="s">
        <v>43</v>
      </c>
      <c r="D539" s="15" t="s">
        <v>321</v>
      </c>
      <c r="E539" s="16">
        <v>87926</v>
      </c>
      <c r="F539" s="16">
        <v>87926</v>
      </c>
      <c r="G539" s="15">
        <v>44</v>
      </c>
      <c r="H539" s="15" t="s">
        <v>659</v>
      </c>
      <c r="I539" s="23">
        <v>87926</v>
      </c>
    </row>
    <row r="540" spans="1:9" s="17" customFormat="1" x14ac:dyDescent="0.25">
      <c r="A540" s="14">
        <v>46160</v>
      </c>
      <c r="B540" s="15" t="s">
        <v>797</v>
      </c>
      <c r="C540" s="15" t="s">
        <v>11</v>
      </c>
      <c r="D540" s="15" t="s">
        <v>663</v>
      </c>
      <c r="E540" s="16">
        <v>100000</v>
      </c>
      <c r="F540" s="16">
        <v>94000</v>
      </c>
      <c r="G540" s="15">
        <v>43</v>
      </c>
      <c r="H540" s="15" t="s">
        <v>659</v>
      </c>
      <c r="I540" s="23">
        <v>-94000</v>
      </c>
    </row>
    <row r="541" spans="1:9" s="17" customFormat="1" x14ac:dyDescent="0.25">
      <c r="A541" s="14">
        <v>46160</v>
      </c>
      <c r="B541" s="15" t="s">
        <v>798</v>
      </c>
      <c r="C541" s="15" t="s">
        <v>86</v>
      </c>
      <c r="D541" s="15" t="s">
        <v>332</v>
      </c>
      <c r="E541" s="16">
        <v>123984.12</v>
      </c>
      <c r="F541" s="16">
        <v>123984.12</v>
      </c>
      <c r="G541" s="15">
        <v>43</v>
      </c>
      <c r="H541" s="15" t="s">
        <v>659</v>
      </c>
      <c r="I541" s="23">
        <v>123984.12</v>
      </c>
    </row>
    <row r="542" spans="1:9" s="17" customFormat="1" x14ac:dyDescent="0.25">
      <c r="A542" s="14">
        <v>46160</v>
      </c>
      <c r="B542" s="15" t="s">
        <v>799</v>
      </c>
      <c r="C542" s="15" t="s">
        <v>86</v>
      </c>
      <c r="D542" s="15" t="s">
        <v>332</v>
      </c>
      <c r="E542" s="16">
        <v>119452.12</v>
      </c>
      <c r="F542" s="16">
        <v>119452.12</v>
      </c>
      <c r="G542" s="15">
        <v>43</v>
      </c>
      <c r="H542" s="15" t="s">
        <v>659</v>
      </c>
      <c r="I542" s="23">
        <v>119452.12</v>
      </c>
    </row>
    <row r="543" spans="1:9" s="17" customFormat="1" x14ac:dyDescent="0.25">
      <c r="A543" s="14">
        <v>46160</v>
      </c>
      <c r="B543" s="15" t="s">
        <v>800</v>
      </c>
      <c r="C543" s="15" t="s">
        <v>733</v>
      </c>
      <c r="D543" s="15" t="s">
        <v>317</v>
      </c>
      <c r="E543" s="16">
        <v>2700</v>
      </c>
      <c r="F543" s="16">
        <v>2700</v>
      </c>
      <c r="G543" s="15">
        <v>43</v>
      </c>
      <c r="H543" s="15" t="s">
        <v>659</v>
      </c>
      <c r="I543" s="23">
        <v>2700</v>
      </c>
    </row>
    <row r="544" spans="1:9" s="17" customFormat="1" x14ac:dyDescent="0.25">
      <c r="A544" s="14">
        <v>46160</v>
      </c>
      <c r="B544" s="15" t="s">
        <v>801</v>
      </c>
      <c r="C544" s="15" t="s">
        <v>188</v>
      </c>
      <c r="D544" s="15" t="s">
        <v>663</v>
      </c>
      <c r="E544" s="16">
        <v>198030</v>
      </c>
      <c r="F544" s="16">
        <v>198030</v>
      </c>
      <c r="G544" s="15">
        <v>43</v>
      </c>
      <c r="H544" s="15" t="s">
        <v>659</v>
      </c>
      <c r="I544" s="23">
        <v>198030</v>
      </c>
    </row>
    <row r="545" spans="1:9" s="17" customFormat="1" x14ac:dyDescent="0.25">
      <c r="A545" s="14">
        <v>46161</v>
      </c>
      <c r="B545" s="15" t="s">
        <v>802</v>
      </c>
      <c r="C545" s="15" t="s">
        <v>48</v>
      </c>
      <c r="D545" s="15" t="s">
        <v>1666</v>
      </c>
      <c r="E545" s="16">
        <v>660.95</v>
      </c>
      <c r="F545" s="16">
        <v>660.95</v>
      </c>
      <c r="G545" s="15">
        <v>42</v>
      </c>
      <c r="H545" s="15" t="s">
        <v>659</v>
      </c>
      <c r="I545" s="23">
        <v>-660.95</v>
      </c>
    </row>
    <row r="546" spans="1:9" s="17" customFormat="1" x14ac:dyDescent="0.25">
      <c r="A546" s="14">
        <v>46161</v>
      </c>
      <c r="B546" s="15" t="s">
        <v>803</v>
      </c>
      <c r="C546" s="15" t="s">
        <v>174</v>
      </c>
      <c r="D546" s="15" t="s">
        <v>319</v>
      </c>
      <c r="E546" s="16">
        <v>60900</v>
      </c>
      <c r="F546" s="16">
        <v>60900</v>
      </c>
      <c r="G546" s="15">
        <v>42</v>
      </c>
      <c r="H546" s="15" t="s">
        <v>659</v>
      </c>
      <c r="I546" s="23">
        <v>60900</v>
      </c>
    </row>
    <row r="547" spans="1:9" s="17" customFormat="1" x14ac:dyDescent="0.25">
      <c r="A547" s="14">
        <v>46161</v>
      </c>
      <c r="B547" s="15" t="s">
        <v>325</v>
      </c>
      <c r="C547" s="15" t="s">
        <v>188</v>
      </c>
      <c r="D547" s="15" t="s">
        <v>312</v>
      </c>
      <c r="E547" s="16">
        <v>172200</v>
      </c>
      <c r="F547" s="16">
        <v>172200</v>
      </c>
      <c r="G547" s="15">
        <v>42</v>
      </c>
      <c r="H547" s="15" t="s">
        <v>659</v>
      </c>
      <c r="I547" s="23">
        <v>172200</v>
      </c>
    </row>
    <row r="548" spans="1:9" s="17" customFormat="1" x14ac:dyDescent="0.25">
      <c r="A548" s="14">
        <v>46161</v>
      </c>
      <c r="B548" s="15" t="s">
        <v>804</v>
      </c>
      <c r="C548" s="15" t="s">
        <v>188</v>
      </c>
      <c r="D548" s="15" t="s">
        <v>321</v>
      </c>
      <c r="E548" s="16">
        <v>57400</v>
      </c>
      <c r="F548" s="16">
        <v>57400</v>
      </c>
      <c r="G548" s="15">
        <v>42</v>
      </c>
      <c r="H548" s="15" t="s">
        <v>659</v>
      </c>
      <c r="I548" s="23">
        <v>57400</v>
      </c>
    </row>
    <row r="549" spans="1:9" s="17" customFormat="1" x14ac:dyDescent="0.25">
      <c r="A549" s="14">
        <v>46161</v>
      </c>
      <c r="B549" s="15" t="s">
        <v>805</v>
      </c>
      <c r="C549" s="15" t="s">
        <v>188</v>
      </c>
      <c r="D549" s="15" t="s">
        <v>321</v>
      </c>
      <c r="E549" s="16">
        <v>143500</v>
      </c>
      <c r="F549" s="16">
        <v>143500</v>
      </c>
      <c r="G549" s="15">
        <v>42</v>
      </c>
      <c r="H549" s="15" t="s">
        <v>659</v>
      </c>
      <c r="I549" s="23">
        <v>143500</v>
      </c>
    </row>
    <row r="550" spans="1:9" s="17" customFormat="1" x14ac:dyDescent="0.25">
      <c r="A550" s="14">
        <v>46162</v>
      </c>
      <c r="B550" s="15" t="s">
        <v>806</v>
      </c>
      <c r="C550" s="15" t="s">
        <v>26</v>
      </c>
      <c r="D550" s="15" t="s">
        <v>306</v>
      </c>
      <c r="E550" s="16">
        <v>881620.06</v>
      </c>
      <c r="F550" s="16">
        <v>881620.06</v>
      </c>
      <c r="G550" s="15">
        <v>41</v>
      </c>
      <c r="H550" s="15" t="s">
        <v>659</v>
      </c>
      <c r="I550" s="23">
        <v>881620.06</v>
      </c>
    </row>
    <row r="551" spans="1:9" s="17" customFormat="1" x14ac:dyDescent="0.25">
      <c r="A551" s="14">
        <v>46162</v>
      </c>
      <c r="B551" s="15" t="s">
        <v>807</v>
      </c>
      <c r="C551" s="15" t="s">
        <v>37</v>
      </c>
      <c r="D551" s="15" t="s">
        <v>531</v>
      </c>
      <c r="E551" s="16">
        <v>141467.59</v>
      </c>
      <c r="F551" s="16">
        <v>141467.59</v>
      </c>
      <c r="G551" s="15">
        <v>41</v>
      </c>
      <c r="H551" s="15" t="s">
        <v>659</v>
      </c>
      <c r="I551" s="23">
        <v>141467.59</v>
      </c>
    </row>
    <row r="552" spans="1:9" s="17" customFormat="1" x14ac:dyDescent="0.25">
      <c r="A552" s="14">
        <v>46162</v>
      </c>
      <c r="B552" s="15" t="s">
        <v>808</v>
      </c>
      <c r="C552" s="15" t="s">
        <v>43</v>
      </c>
      <c r="D552" s="15" t="s">
        <v>321</v>
      </c>
      <c r="E552" s="16">
        <v>78551</v>
      </c>
      <c r="F552" s="16">
        <v>78551</v>
      </c>
      <c r="G552" s="15">
        <v>41</v>
      </c>
      <c r="H552" s="15" t="s">
        <v>659</v>
      </c>
      <c r="I552" s="23">
        <v>78551</v>
      </c>
    </row>
    <row r="553" spans="1:9" s="17" customFormat="1" x14ac:dyDescent="0.25">
      <c r="A553" s="14">
        <v>46162</v>
      </c>
      <c r="B553" s="15" t="s">
        <v>809</v>
      </c>
      <c r="C553" s="15" t="s">
        <v>43</v>
      </c>
      <c r="D553" s="15" t="s">
        <v>321</v>
      </c>
      <c r="E553" s="16">
        <v>98763</v>
      </c>
      <c r="F553" s="16">
        <v>98763</v>
      </c>
      <c r="G553" s="15">
        <v>41</v>
      </c>
      <c r="H553" s="15" t="s">
        <v>659</v>
      </c>
      <c r="I553" s="23">
        <v>98763</v>
      </c>
    </row>
    <row r="554" spans="1:9" s="17" customFormat="1" x14ac:dyDescent="0.25">
      <c r="A554" s="14">
        <v>46162</v>
      </c>
      <c r="B554" s="15" t="s">
        <v>810</v>
      </c>
      <c r="C554" s="15" t="s">
        <v>84</v>
      </c>
      <c r="D554" s="15" t="s">
        <v>306</v>
      </c>
      <c r="E554" s="16">
        <v>71017</v>
      </c>
      <c r="F554" s="16">
        <v>71017</v>
      </c>
      <c r="G554" s="15">
        <v>41</v>
      </c>
      <c r="H554" s="15" t="s">
        <v>659</v>
      </c>
      <c r="I554" s="23">
        <v>71017</v>
      </c>
    </row>
    <row r="555" spans="1:9" s="17" customFormat="1" x14ac:dyDescent="0.25">
      <c r="A555" s="14">
        <v>46162</v>
      </c>
      <c r="B555" s="15" t="s">
        <v>811</v>
      </c>
      <c r="C555" s="15" t="s">
        <v>136</v>
      </c>
      <c r="D555" s="15" t="s">
        <v>1666</v>
      </c>
      <c r="E555" s="16">
        <v>25000</v>
      </c>
      <c r="F555" s="16">
        <v>25000</v>
      </c>
      <c r="G555" s="15">
        <v>41</v>
      </c>
      <c r="H555" s="15" t="s">
        <v>659</v>
      </c>
      <c r="I555" s="23">
        <v>-25000</v>
      </c>
    </row>
    <row r="556" spans="1:9" s="17" customFormat="1" x14ac:dyDescent="0.25">
      <c r="A556" s="14">
        <v>46162</v>
      </c>
      <c r="B556" s="15" t="s">
        <v>812</v>
      </c>
      <c r="C556" s="15" t="s">
        <v>188</v>
      </c>
      <c r="D556" s="15" t="s">
        <v>321</v>
      </c>
      <c r="E556" s="16">
        <v>28700</v>
      </c>
      <c r="F556" s="16">
        <v>28700</v>
      </c>
      <c r="G556" s="15">
        <v>41</v>
      </c>
      <c r="H556" s="15" t="s">
        <v>659</v>
      </c>
      <c r="I556" s="23">
        <v>28700</v>
      </c>
    </row>
    <row r="557" spans="1:9" s="17" customFormat="1" x14ac:dyDescent="0.25">
      <c r="A557" s="14">
        <v>46162</v>
      </c>
      <c r="B557" s="15" t="s">
        <v>813</v>
      </c>
      <c r="C557" s="15" t="s">
        <v>188</v>
      </c>
      <c r="D557" s="15" t="s">
        <v>321</v>
      </c>
      <c r="E557" s="16">
        <v>169904</v>
      </c>
      <c r="F557" s="16">
        <v>169904</v>
      </c>
      <c r="G557" s="15">
        <v>41</v>
      </c>
      <c r="H557" s="15" t="s">
        <v>659</v>
      </c>
      <c r="I557" s="23">
        <v>169904</v>
      </c>
    </row>
    <row r="558" spans="1:9" s="17" customFormat="1" x14ac:dyDescent="0.25">
      <c r="A558" s="14">
        <v>46163</v>
      </c>
      <c r="B558" s="15" t="s">
        <v>814</v>
      </c>
      <c r="C558" s="15" t="s">
        <v>133</v>
      </c>
      <c r="D558" s="15" t="s">
        <v>347</v>
      </c>
      <c r="E558" s="16">
        <v>89859</v>
      </c>
      <c r="F558" s="16">
        <v>89859</v>
      </c>
      <c r="G558" s="15">
        <v>40</v>
      </c>
      <c r="H558" s="15" t="s">
        <v>659</v>
      </c>
      <c r="I558" s="23">
        <v>89859</v>
      </c>
    </row>
    <row r="559" spans="1:9" s="17" customFormat="1" x14ac:dyDescent="0.25">
      <c r="A559" s="14">
        <v>46164</v>
      </c>
      <c r="B559" s="15" t="s">
        <v>815</v>
      </c>
      <c r="C559" s="15" t="s">
        <v>43</v>
      </c>
      <c r="D559" s="15" t="s">
        <v>321</v>
      </c>
      <c r="E559" s="16">
        <v>77454</v>
      </c>
      <c r="F559" s="16">
        <v>77454</v>
      </c>
      <c r="G559" s="15">
        <v>39</v>
      </c>
      <c r="H559" s="15" t="s">
        <v>659</v>
      </c>
      <c r="I559" s="23">
        <v>77454</v>
      </c>
    </row>
    <row r="560" spans="1:9" s="17" customFormat="1" x14ac:dyDescent="0.25">
      <c r="A560" s="14">
        <v>46164</v>
      </c>
      <c r="B560" s="15" t="s">
        <v>816</v>
      </c>
      <c r="C560" s="15" t="s">
        <v>174</v>
      </c>
      <c r="D560" s="15" t="s">
        <v>319</v>
      </c>
      <c r="E560" s="16">
        <v>60900</v>
      </c>
      <c r="F560" s="16">
        <v>60900</v>
      </c>
      <c r="G560" s="15">
        <v>39</v>
      </c>
      <c r="H560" s="15" t="s">
        <v>659</v>
      </c>
      <c r="I560" s="23">
        <v>60900</v>
      </c>
    </row>
    <row r="561" spans="1:9" s="17" customFormat="1" x14ac:dyDescent="0.25">
      <c r="A561" s="14">
        <v>46165</v>
      </c>
      <c r="B561" s="15" t="s">
        <v>817</v>
      </c>
      <c r="C561" s="15" t="s">
        <v>43</v>
      </c>
      <c r="D561" s="15" t="s">
        <v>321</v>
      </c>
      <c r="E561" s="16">
        <v>77036</v>
      </c>
      <c r="F561" s="16">
        <v>77036</v>
      </c>
      <c r="G561" s="15">
        <v>38</v>
      </c>
      <c r="H561" s="15" t="s">
        <v>659</v>
      </c>
      <c r="I561" s="23">
        <v>77036</v>
      </c>
    </row>
    <row r="562" spans="1:9" s="17" customFormat="1" x14ac:dyDescent="0.25">
      <c r="A562" s="14">
        <v>46166</v>
      </c>
      <c r="B562" s="15" t="s">
        <v>818</v>
      </c>
      <c r="C562" s="15" t="s">
        <v>188</v>
      </c>
      <c r="D562" s="15" t="s">
        <v>335</v>
      </c>
      <c r="E562" s="16">
        <v>198030</v>
      </c>
      <c r="F562" s="16">
        <v>198030</v>
      </c>
      <c r="G562" s="15">
        <v>37</v>
      </c>
      <c r="H562" s="15" t="s">
        <v>659</v>
      </c>
      <c r="I562" s="23">
        <v>198030</v>
      </c>
    </row>
    <row r="563" spans="1:9" s="17" customFormat="1" x14ac:dyDescent="0.25">
      <c r="A563" s="14">
        <v>46166</v>
      </c>
      <c r="B563" s="15" t="s">
        <v>819</v>
      </c>
      <c r="C563" s="15" t="s">
        <v>188</v>
      </c>
      <c r="D563" s="15" t="s">
        <v>321</v>
      </c>
      <c r="E563" s="16">
        <v>57400</v>
      </c>
      <c r="F563" s="16">
        <v>57400</v>
      </c>
      <c r="G563" s="15">
        <v>37</v>
      </c>
      <c r="H563" s="15" t="s">
        <v>659</v>
      </c>
      <c r="I563" s="23">
        <v>57400</v>
      </c>
    </row>
    <row r="564" spans="1:9" s="17" customFormat="1" x14ac:dyDescent="0.25">
      <c r="A564" s="14">
        <v>46167</v>
      </c>
      <c r="B564" s="15" t="s">
        <v>821</v>
      </c>
      <c r="C564" s="15" t="s">
        <v>32</v>
      </c>
      <c r="D564" s="15" t="s">
        <v>319</v>
      </c>
      <c r="E564" s="16">
        <v>73080</v>
      </c>
      <c r="F564" s="16">
        <v>73080</v>
      </c>
      <c r="G564" s="15">
        <v>36</v>
      </c>
      <c r="H564" s="15" t="s">
        <v>659</v>
      </c>
      <c r="I564" s="23">
        <v>73080</v>
      </c>
    </row>
    <row r="565" spans="1:9" s="17" customFormat="1" x14ac:dyDescent="0.25">
      <c r="A565" s="14">
        <v>46167</v>
      </c>
      <c r="B565" s="15" t="s">
        <v>820</v>
      </c>
      <c r="C565" s="15" t="s">
        <v>32</v>
      </c>
      <c r="D565" s="15" t="s">
        <v>319</v>
      </c>
      <c r="E565" s="16">
        <v>73080</v>
      </c>
      <c r="F565" s="16">
        <v>73080</v>
      </c>
      <c r="G565" s="15">
        <v>36</v>
      </c>
      <c r="H565" s="15" t="s">
        <v>659</v>
      </c>
      <c r="I565" s="23">
        <v>73080</v>
      </c>
    </row>
    <row r="566" spans="1:9" s="17" customFormat="1" x14ac:dyDescent="0.25">
      <c r="A566" s="14">
        <v>46167</v>
      </c>
      <c r="B566" s="15" t="s">
        <v>822</v>
      </c>
      <c r="C566" s="15" t="s">
        <v>86</v>
      </c>
      <c r="D566" s="15" t="s">
        <v>332</v>
      </c>
      <c r="E566" s="16">
        <v>134534.5</v>
      </c>
      <c r="F566" s="16">
        <v>134534.5</v>
      </c>
      <c r="G566" s="15">
        <v>36</v>
      </c>
      <c r="H566" s="15" t="s">
        <v>659</v>
      </c>
      <c r="I566" s="23">
        <v>134534.5</v>
      </c>
    </row>
    <row r="567" spans="1:9" s="17" customFormat="1" x14ac:dyDescent="0.25">
      <c r="A567" s="14">
        <v>46167</v>
      </c>
      <c r="B567" s="15" t="s">
        <v>823</v>
      </c>
      <c r="C567" s="15" t="s">
        <v>94</v>
      </c>
      <c r="D567" s="15" t="s">
        <v>531</v>
      </c>
      <c r="E567" s="16">
        <v>19588</v>
      </c>
      <c r="F567" s="16">
        <v>5781.9</v>
      </c>
      <c r="G567" s="15">
        <v>36</v>
      </c>
      <c r="H567" s="15" t="s">
        <v>659</v>
      </c>
      <c r="I567" s="23">
        <v>-5781.9</v>
      </c>
    </row>
    <row r="568" spans="1:9" s="17" customFormat="1" x14ac:dyDescent="0.25">
      <c r="A568" s="14">
        <v>46167</v>
      </c>
      <c r="B568" s="15" t="s">
        <v>824</v>
      </c>
      <c r="C568" s="15" t="s">
        <v>753</v>
      </c>
      <c r="D568" s="15" t="s">
        <v>317</v>
      </c>
      <c r="E568" s="16">
        <v>135200</v>
      </c>
      <c r="F568" s="16">
        <v>135200</v>
      </c>
      <c r="G568" s="15">
        <v>36</v>
      </c>
      <c r="H568" s="15" t="s">
        <v>659</v>
      </c>
      <c r="I568" s="23">
        <v>135200</v>
      </c>
    </row>
    <row r="569" spans="1:9" s="17" customFormat="1" x14ac:dyDescent="0.25">
      <c r="A569" s="14">
        <v>46167</v>
      </c>
      <c r="B569" s="15" t="s">
        <v>825</v>
      </c>
      <c r="C569" s="15" t="s">
        <v>161</v>
      </c>
      <c r="D569" s="15" t="s">
        <v>332</v>
      </c>
      <c r="E569" s="16">
        <v>252262.71</v>
      </c>
      <c r="F569" s="16">
        <v>219969.64</v>
      </c>
      <c r="G569" s="15">
        <v>36</v>
      </c>
      <c r="H569" s="15" t="s">
        <v>659</v>
      </c>
      <c r="I569" s="23">
        <v>219969.64</v>
      </c>
    </row>
    <row r="570" spans="1:9" s="17" customFormat="1" x14ac:dyDescent="0.25">
      <c r="A570" s="14">
        <v>46168</v>
      </c>
      <c r="B570" s="15" t="s">
        <v>826</v>
      </c>
      <c r="C570" s="15" t="s">
        <v>13</v>
      </c>
      <c r="D570" s="15" t="s">
        <v>347</v>
      </c>
      <c r="E570" s="16">
        <v>1699.2</v>
      </c>
      <c r="F570" s="16">
        <v>1699.2</v>
      </c>
      <c r="G570" s="15">
        <v>35</v>
      </c>
      <c r="H570" s="15" t="s">
        <v>659</v>
      </c>
      <c r="I570" s="23">
        <v>1699.2</v>
      </c>
    </row>
    <row r="571" spans="1:9" s="17" customFormat="1" x14ac:dyDescent="0.25">
      <c r="A571" s="14">
        <v>46168</v>
      </c>
      <c r="B571" s="15" t="s">
        <v>827</v>
      </c>
      <c r="C571" s="15" t="s">
        <v>22</v>
      </c>
      <c r="D571" s="15" t="s">
        <v>332</v>
      </c>
      <c r="E571" s="16">
        <v>57618.36</v>
      </c>
      <c r="F571" s="16">
        <v>57618.36</v>
      </c>
      <c r="G571" s="15">
        <v>35</v>
      </c>
      <c r="H571" s="15" t="s">
        <v>659</v>
      </c>
      <c r="I571" s="23">
        <v>57618.36</v>
      </c>
    </row>
    <row r="572" spans="1:9" s="17" customFormat="1" x14ac:dyDescent="0.25">
      <c r="A572" s="14">
        <v>46168</v>
      </c>
      <c r="B572" s="15" t="s">
        <v>828</v>
      </c>
      <c r="C572" s="15" t="s">
        <v>22</v>
      </c>
      <c r="D572" s="15" t="s">
        <v>332</v>
      </c>
      <c r="E572" s="16">
        <v>108800.94</v>
      </c>
      <c r="F572" s="16">
        <v>108800.94</v>
      </c>
      <c r="G572" s="15">
        <v>35</v>
      </c>
      <c r="H572" s="15" t="s">
        <v>659</v>
      </c>
      <c r="I572" s="23">
        <v>108800.94</v>
      </c>
    </row>
    <row r="573" spans="1:9" s="17" customFormat="1" x14ac:dyDescent="0.25">
      <c r="A573" s="14">
        <v>46168</v>
      </c>
      <c r="B573" s="15" t="s">
        <v>829</v>
      </c>
      <c r="C573" s="15" t="s">
        <v>43</v>
      </c>
      <c r="D573" s="15" t="s">
        <v>321</v>
      </c>
      <c r="E573" s="16">
        <v>76749</v>
      </c>
      <c r="F573" s="16">
        <v>76749</v>
      </c>
      <c r="G573" s="15">
        <v>35</v>
      </c>
      <c r="H573" s="15" t="s">
        <v>659</v>
      </c>
      <c r="I573" s="23">
        <v>76749</v>
      </c>
    </row>
    <row r="574" spans="1:9" s="17" customFormat="1" x14ac:dyDescent="0.25">
      <c r="A574" s="14">
        <v>46168</v>
      </c>
      <c r="B574" s="15" t="s">
        <v>830</v>
      </c>
      <c r="C574" s="15" t="s">
        <v>43</v>
      </c>
      <c r="D574" s="15" t="s">
        <v>321</v>
      </c>
      <c r="E574" s="16">
        <v>89676</v>
      </c>
      <c r="F574" s="16">
        <v>89676</v>
      </c>
      <c r="G574" s="15">
        <v>35</v>
      </c>
      <c r="H574" s="15" t="s">
        <v>659</v>
      </c>
      <c r="I574" s="23">
        <v>89676</v>
      </c>
    </row>
    <row r="575" spans="1:9" s="17" customFormat="1" x14ac:dyDescent="0.25">
      <c r="A575" s="14">
        <v>46168</v>
      </c>
      <c r="B575" s="15" t="s">
        <v>831</v>
      </c>
      <c r="C575" s="15" t="s">
        <v>68</v>
      </c>
      <c r="D575" s="15" t="s">
        <v>321</v>
      </c>
      <c r="E575" s="16">
        <v>41064</v>
      </c>
      <c r="F575" s="16">
        <v>41064</v>
      </c>
      <c r="G575" s="15">
        <v>35</v>
      </c>
      <c r="H575" s="15" t="s">
        <v>659</v>
      </c>
      <c r="I575" s="23">
        <v>41064</v>
      </c>
    </row>
    <row r="576" spans="1:9" s="17" customFormat="1" x14ac:dyDescent="0.25">
      <c r="A576" s="14">
        <v>46168</v>
      </c>
      <c r="B576" s="15" t="s">
        <v>832</v>
      </c>
      <c r="C576" s="15" t="s">
        <v>84</v>
      </c>
      <c r="D576" s="15" t="s">
        <v>306</v>
      </c>
      <c r="E576" s="16">
        <v>64520</v>
      </c>
      <c r="F576" s="16">
        <v>64520</v>
      </c>
      <c r="G576" s="15">
        <v>35</v>
      </c>
      <c r="H576" s="15" t="s">
        <v>659</v>
      </c>
      <c r="I576" s="23">
        <v>64520</v>
      </c>
    </row>
    <row r="577" spans="1:9" s="17" customFormat="1" x14ac:dyDescent="0.25">
      <c r="A577" s="14">
        <v>46168</v>
      </c>
      <c r="B577" s="15" t="s">
        <v>833</v>
      </c>
      <c r="C577" s="15" t="s">
        <v>216</v>
      </c>
      <c r="D577" s="15" t="s">
        <v>347</v>
      </c>
      <c r="E577" s="16">
        <v>143325</v>
      </c>
      <c r="F577" s="16">
        <v>143325</v>
      </c>
      <c r="G577" s="15">
        <v>35</v>
      </c>
      <c r="H577" s="15" t="s">
        <v>659</v>
      </c>
      <c r="I577" s="23">
        <v>143325</v>
      </c>
    </row>
    <row r="578" spans="1:9" s="17" customFormat="1" x14ac:dyDescent="0.25">
      <c r="A578" s="14">
        <v>46169</v>
      </c>
      <c r="B578" s="15" t="s">
        <v>834</v>
      </c>
      <c r="C578" s="15" t="s">
        <v>42</v>
      </c>
      <c r="D578" s="15" t="s">
        <v>1666</v>
      </c>
      <c r="E578" s="16">
        <v>40.5</v>
      </c>
      <c r="F578" s="16">
        <v>40.5</v>
      </c>
      <c r="G578" s="15">
        <v>34</v>
      </c>
      <c r="H578" s="15" t="s">
        <v>659</v>
      </c>
      <c r="I578" s="23">
        <v>-40.5</v>
      </c>
    </row>
    <row r="579" spans="1:9" s="17" customFormat="1" x14ac:dyDescent="0.25">
      <c r="A579" s="14">
        <v>46169</v>
      </c>
      <c r="B579" s="15" t="s">
        <v>835</v>
      </c>
      <c r="C579" s="15" t="s">
        <v>46</v>
      </c>
      <c r="D579" s="15" t="s">
        <v>306</v>
      </c>
      <c r="E579" s="16">
        <v>125104</v>
      </c>
      <c r="F579" s="16">
        <v>24886</v>
      </c>
      <c r="G579" s="15">
        <v>34</v>
      </c>
      <c r="H579" s="15" t="s">
        <v>659</v>
      </c>
      <c r="I579" s="23">
        <v>-24886</v>
      </c>
    </row>
    <row r="580" spans="1:9" s="17" customFormat="1" x14ac:dyDescent="0.25">
      <c r="A580" s="14">
        <v>46169</v>
      </c>
      <c r="B580" s="15" t="s">
        <v>836</v>
      </c>
      <c r="C580" s="15" t="s">
        <v>84</v>
      </c>
      <c r="D580" s="15" t="s">
        <v>306</v>
      </c>
      <c r="E580" s="16">
        <v>67119</v>
      </c>
      <c r="F580" s="16">
        <v>67119</v>
      </c>
      <c r="G580" s="15">
        <v>34</v>
      </c>
      <c r="H580" s="15" t="s">
        <v>659</v>
      </c>
      <c r="I580" s="23">
        <v>67119</v>
      </c>
    </row>
    <row r="581" spans="1:9" s="17" customFormat="1" x14ac:dyDescent="0.25">
      <c r="A581" s="14">
        <v>46169</v>
      </c>
      <c r="B581" s="15" t="s">
        <v>837</v>
      </c>
      <c r="C581" s="15" t="s">
        <v>106</v>
      </c>
      <c r="D581" s="15" t="s">
        <v>280</v>
      </c>
      <c r="E581" s="16">
        <v>66080</v>
      </c>
      <c r="F581" s="16">
        <v>66080</v>
      </c>
      <c r="G581" s="15">
        <v>34</v>
      </c>
      <c r="H581" s="15" t="s">
        <v>659</v>
      </c>
      <c r="I581" s="23">
        <v>66080</v>
      </c>
    </row>
    <row r="582" spans="1:9" s="17" customFormat="1" x14ac:dyDescent="0.25">
      <c r="A582" s="14">
        <v>46169</v>
      </c>
      <c r="B582" s="15" t="s">
        <v>838</v>
      </c>
      <c r="C582" s="15" t="s">
        <v>161</v>
      </c>
      <c r="D582" s="15" t="s">
        <v>332</v>
      </c>
      <c r="E582" s="16">
        <v>171146.75</v>
      </c>
      <c r="F582" s="16">
        <v>171146.75</v>
      </c>
      <c r="G582" s="15">
        <v>34</v>
      </c>
      <c r="H582" s="15" t="s">
        <v>659</v>
      </c>
      <c r="I582" s="23">
        <v>171146.75</v>
      </c>
    </row>
    <row r="583" spans="1:9" s="17" customFormat="1" x14ac:dyDescent="0.25">
      <c r="A583" s="14">
        <v>46169</v>
      </c>
      <c r="B583" s="15" t="s">
        <v>839</v>
      </c>
      <c r="C583" s="15" t="s">
        <v>161</v>
      </c>
      <c r="D583" s="15" t="s">
        <v>332</v>
      </c>
      <c r="E583" s="16">
        <v>85216.51</v>
      </c>
      <c r="F583" s="16">
        <v>85216.51</v>
      </c>
      <c r="G583" s="15">
        <v>34</v>
      </c>
      <c r="H583" s="15" t="s">
        <v>659</v>
      </c>
      <c r="I583" s="23">
        <v>85216.51</v>
      </c>
    </row>
    <row r="584" spans="1:9" s="17" customFormat="1" x14ac:dyDescent="0.25">
      <c r="A584" s="14">
        <v>46169</v>
      </c>
      <c r="B584" s="15" t="s">
        <v>840</v>
      </c>
      <c r="C584" s="15" t="s">
        <v>188</v>
      </c>
      <c r="D584" s="15" t="s">
        <v>321</v>
      </c>
      <c r="E584" s="16">
        <v>172200</v>
      </c>
      <c r="F584" s="16">
        <v>172200</v>
      </c>
      <c r="G584" s="15">
        <v>34</v>
      </c>
      <c r="H584" s="15" t="s">
        <v>659</v>
      </c>
      <c r="I584" s="23">
        <v>172200</v>
      </c>
    </row>
    <row r="585" spans="1:9" s="17" customFormat="1" x14ac:dyDescent="0.25">
      <c r="A585" s="14">
        <v>46169</v>
      </c>
      <c r="B585" s="15" t="s">
        <v>841</v>
      </c>
      <c r="C585" s="15" t="s">
        <v>188</v>
      </c>
      <c r="D585" s="15" t="s">
        <v>321</v>
      </c>
      <c r="E585" s="16">
        <v>188677</v>
      </c>
      <c r="F585" s="16">
        <v>188677</v>
      </c>
      <c r="G585" s="15">
        <v>34</v>
      </c>
      <c r="H585" s="15" t="s">
        <v>659</v>
      </c>
      <c r="I585" s="23">
        <v>188677</v>
      </c>
    </row>
    <row r="586" spans="1:9" s="17" customFormat="1" x14ac:dyDescent="0.25">
      <c r="A586" s="14">
        <v>46170</v>
      </c>
      <c r="B586" s="15" t="s">
        <v>842</v>
      </c>
      <c r="C586" s="15" t="s">
        <v>91</v>
      </c>
      <c r="D586" s="15" t="s">
        <v>332</v>
      </c>
      <c r="E586" s="16">
        <v>123615.58</v>
      </c>
      <c r="F586" s="16">
        <v>123615.58</v>
      </c>
      <c r="G586" s="15">
        <v>33</v>
      </c>
      <c r="H586" s="15" t="s">
        <v>659</v>
      </c>
      <c r="I586" s="23">
        <v>123615.58</v>
      </c>
    </row>
    <row r="587" spans="1:9" s="17" customFormat="1" x14ac:dyDescent="0.25">
      <c r="A587" s="14">
        <v>46170</v>
      </c>
      <c r="B587" s="15" t="s">
        <v>843</v>
      </c>
      <c r="C587" s="15" t="s">
        <v>188</v>
      </c>
      <c r="D587" s="15" t="s">
        <v>321</v>
      </c>
      <c r="E587" s="16">
        <v>169752</v>
      </c>
      <c r="F587" s="16">
        <v>169752</v>
      </c>
      <c r="G587" s="15">
        <v>33</v>
      </c>
      <c r="H587" s="15" t="s">
        <v>659</v>
      </c>
      <c r="I587" s="23">
        <v>169752</v>
      </c>
    </row>
    <row r="588" spans="1:9" s="17" customFormat="1" x14ac:dyDescent="0.25">
      <c r="A588" s="14">
        <v>46170</v>
      </c>
      <c r="B588" s="15" t="s">
        <v>844</v>
      </c>
      <c r="C588" s="15" t="s">
        <v>188</v>
      </c>
      <c r="D588" s="15" t="s">
        <v>321</v>
      </c>
      <c r="E588" s="16">
        <v>169752</v>
      </c>
      <c r="F588" s="16">
        <v>169752</v>
      </c>
      <c r="G588" s="15">
        <v>33</v>
      </c>
      <c r="H588" s="15" t="s">
        <v>659</v>
      </c>
      <c r="I588" s="23">
        <v>169752</v>
      </c>
    </row>
    <row r="589" spans="1:9" s="17" customFormat="1" x14ac:dyDescent="0.25">
      <c r="A589" s="14">
        <v>46171</v>
      </c>
      <c r="B589" s="15" t="s">
        <v>845</v>
      </c>
      <c r="C589" s="15" t="s">
        <v>13</v>
      </c>
      <c r="D589" s="15" t="s">
        <v>347</v>
      </c>
      <c r="E589" s="16">
        <v>62170.95</v>
      </c>
      <c r="F589" s="16">
        <v>62170.95</v>
      </c>
      <c r="G589" s="15">
        <v>32</v>
      </c>
      <c r="H589" s="15" t="s">
        <v>659</v>
      </c>
      <c r="I589" s="23">
        <v>62170.95</v>
      </c>
    </row>
    <row r="590" spans="1:9" s="17" customFormat="1" x14ac:dyDescent="0.25">
      <c r="A590" s="14">
        <v>46171</v>
      </c>
      <c r="B590" s="15" t="s">
        <v>846</v>
      </c>
      <c r="C590" s="15" t="s">
        <v>43</v>
      </c>
      <c r="D590" s="15" t="s">
        <v>321</v>
      </c>
      <c r="E590" s="16">
        <v>76410</v>
      </c>
      <c r="F590" s="16">
        <v>76410</v>
      </c>
      <c r="G590" s="15">
        <v>32</v>
      </c>
      <c r="H590" s="15" t="s">
        <v>659</v>
      </c>
      <c r="I590" s="23">
        <v>76410</v>
      </c>
    </row>
    <row r="591" spans="1:9" s="17" customFormat="1" x14ac:dyDescent="0.25">
      <c r="A591" s="14">
        <v>46171</v>
      </c>
      <c r="B591" s="15" t="s">
        <v>847</v>
      </c>
      <c r="C591" s="15" t="s">
        <v>43</v>
      </c>
      <c r="D591" s="15" t="s">
        <v>321</v>
      </c>
      <c r="E591" s="16">
        <v>90276</v>
      </c>
      <c r="F591" s="16">
        <v>90276</v>
      </c>
      <c r="G591" s="15">
        <v>32</v>
      </c>
      <c r="H591" s="15" t="s">
        <v>659</v>
      </c>
      <c r="I591" s="23">
        <v>90276</v>
      </c>
    </row>
    <row r="592" spans="1:9" s="17" customFormat="1" x14ac:dyDescent="0.25">
      <c r="A592" s="14">
        <v>46171</v>
      </c>
      <c r="B592" s="15" t="s">
        <v>848</v>
      </c>
      <c r="C592" s="15" t="s">
        <v>125</v>
      </c>
      <c r="D592" s="15" t="s">
        <v>280</v>
      </c>
      <c r="E592" s="16">
        <v>20535</v>
      </c>
      <c r="F592" s="16">
        <v>20535</v>
      </c>
      <c r="G592" s="15">
        <v>32</v>
      </c>
      <c r="H592" s="15" t="s">
        <v>659</v>
      </c>
      <c r="I592" s="23">
        <v>20535</v>
      </c>
    </row>
    <row r="593" spans="1:9" s="17" customFormat="1" x14ac:dyDescent="0.25">
      <c r="A593" s="14">
        <v>46171</v>
      </c>
      <c r="B593" s="15" t="s">
        <v>849</v>
      </c>
      <c r="C593" s="15" t="s">
        <v>156</v>
      </c>
      <c r="D593" s="15" t="s">
        <v>347</v>
      </c>
      <c r="E593" s="16">
        <v>22868.400000000001</v>
      </c>
      <c r="F593" s="16">
        <v>22868.400000000001</v>
      </c>
      <c r="G593" s="15">
        <v>32</v>
      </c>
      <c r="H593" s="15" t="s">
        <v>659</v>
      </c>
      <c r="I593" s="23">
        <v>22868.400000000001</v>
      </c>
    </row>
    <row r="594" spans="1:9" s="17" customFormat="1" x14ac:dyDescent="0.25">
      <c r="A594" s="14">
        <v>46171</v>
      </c>
      <c r="B594" s="15" t="s">
        <v>850</v>
      </c>
      <c r="C594" s="15" t="s">
        <v>205</v>
      </c>
      <c r="D594" s="15" t="s">
        <v>321</v>
      </c>
      <c r="E594" s="16">
        <v>1021155.32</v>
      </c>
      <c r="F594" s="16">
        <v>1021155.32</v>
      </c>
      <c r="G594" s="15">
        <v>32</v>
      </c>
      <c r="H594" s="15" t="s">
        <v>659</v>
      </c>
      <c r="I594" s="23">
        <v>1021155.32</v>
      </c>
    </row>
    <row r="595" spans="1:9" s="17" customFormat="1" x14ac:dyDescent="0.25">
      <c r="A595" s="14">
        <v>46172</v>
      </c>
      <c r="B595" s="15" t="s">
        <v>851</v>
      </c>
      <c r="C595" s="15" t="s">
        <v>22</v>
      </c>
      <c r="D595" s="15" t="s">
        <v>332</v>
      </c>
      <c r="E595" s="16">
        <v>182712.9</v>
      </c>
      <c r="F595" s="16">
        <v>182712.9</v>
      </c>
      <c r="G595" s="15">
        <v>31</v>
      </c>
      <c r="H595" s="15" t="s">
        <v>659</v>
      </c>
      <c r="I595" s="23">
        <v>182712.9</v>
      </c>
    </row>
    <row r="596" spans="1:9" s="17" customFormat="1" x14ac:dyDescent="0.25">
      <c r="A596" s="14">
        <v>46172</v>
      </c>
      <c r="B596" s="15" t="s">
        <v>852</v>
      </c>
      <c r="C596" s="15" t="s">
        <v>44</v>
      </c>
      <c r="D596" s="15" t="s">
        <v>306</v>
      </c>
      <c r="E596" s="16">
        <v>85492</v>
      </c>
      <c r="F596" s="16">
        <v>85492</v>
      </c>
      <c r="G596" s="15">
        <v>31</v>
      </c>
      <c r="H596" s="15" t="s">
        <v>659</v>
      </c>
      <c r="I596" s="23">
        <v>85492</v>
      </c>
    </row>
    <row r="597" spans="1:9" s="17" customFormat="1" x14ac:dyDescent="0.25">
      <c r="A597" s="14">
        <v>46172</v>
      </c>
      <c r="B597" s="15" t="s">
        <v>853</v>
      </c>
      <c r="C597" s="15" t="s">
        <v>44</v>
      </c>
      <c r="D597" s="15" t="s">
        <v>319</v>
      </c>
      <c r="E597" s="16">
        <v>125280</v>
      </c>
      <c r="F597" s="16">
        <v>125280</v>
      </c>
      <c r="G597" s="15">
        <v>31</v>
      </c>
      <c r="H597" s="15" t="s">
        <v>659</v>
      </c>
      <c r="I597" s="23">
        <v>125280</v>
      </c>
    </row>
    <row r="598" spans="1:9" s="17" customFormat="1" x14ac:dyDescent="0.25">
      <c r="A598" s="14">
        <v>46172</v>
      </c>
      <c r="B598" s="15" t="s">
        <v>854</v>
      </c>
      <c r="C598" s="15" t="s">
        <v>44</v>
      </c>
      <c r="D598" s="15" t="s">
        <v>321</v>
      </c>
      <c r="E598" s="16">
        <v>71340</v>
      </c>
      <c r="F598" s="16">
        <v>71340</v>
      </c>
      <c r="G598" s="15">
        <v>31</v>
      </c>
      <c r="H598" s="15" t="s">
        <v>659</v>
      </c>
      <c r="I598" s="23">
        <v>71340</v>
      </c>
    </row>
    <row r="599" spans="1:9" s="17" customFormat="1" x14ac:dyDescent="0.25">
      <c r="A599" s="14">
        <v>46172</v>
      </c>
      <c r="B599" s="15" t="s">
        <v>855</v>
      </c>
      <c r="C599" s="15" t="s">
        <v>44</v>
      </c>
      <c r="D599" s="15" t="s">
        <v>531</v>
      </c>
      <c r="E599" s="16">
        <v>120060</v>
      </c>
      <c r="F599" s="16">
        <v>120060</v>
      </c>
      <c r="G599" s="15">
        <v>31</v>
      </c>
      <c r="H599" s="15" t="s">
        <v>659</v>
      </c>
      <c r="I599" s="23">
        <v>120060</v>
      </c>
    </row>
    <row r="600" spans="1:9" s="17" customFormat="1" x14ac:dyDescent="0.25">
      <c r="A600" s="14">
        <v>46172</v>
      </c>
      <c r="B600" s="15" t="s">
        <v>686</v>
      </c>
      <c r="C600" s="15" t="s">
        <v>54</v>
      </c>
      <c r="D600" s="15" t="s">
        <v>306</v>
      </c>
      <c r="E600" s="16">
        <v>237600</v>
      </c>
      <c r="F600" s="16">
        <v>43200</v>
      </c>
      <c r="G600" s="15">
        <v>31</v>
      </c>
      <c r="H600" s="15" t="s">
        <v>659</v>
      </c>
      <c r="I600" s="23">
        <v>43200</v>
      </c>
    </row>
    <row r="601" spans="1:9" s="17" customFormat="1" x14ac:dyDescent="0.25">
      <c r="A601" s="14">
        <v>46172</v>
      </c>
      <c r="B601" s="15" t="s">
        <v>856</v>
      </c>
      <c r="C601" s="15" t="s">
        <v>84</v>
      </c>
      <c r="D601" s="15" t="s">
        <v>306</v>
      </c>
      <c r="E601" s="16">
        <v>61992</v>
      </c>
      <c r="F601" s="16">
        <v>61992</v>
      </c>
      <c r="G601" s="15">
        <v>31</v>
      </c>
      <c r="H601" s="15" t="s">
        <v>659</v>
      </c>
      <c r="I601" s="23">
        <v>61992</v>
      </c>
    </row>
    <row r="602" spans="1:9" s="17" customFormat="1" x14ac:dyDescent="0.25">
      <c r="A602" s="14">
        <v>46172</v>
      </c>
      <c r="B602" s="15" t="s">
        <v>857</v>
      </c>
      <c r="C602" s="15" t="s">
        <v>86</v>
      </c>
      <c r="D602" s="15" t="s">
        <v>332</v>
      </c>
      <c r="E602" s="16">
        <v>123901.43</v>
      </c>
      <c r="F602" s="16">
        <v>123901.43</v>
      </c>
      <c r="G602" s="15">
        <v>31</v>
      </c>
      <c r="H602" s="15" t="s">
        <v>659</v>
      </c>
      <c r="I602" s="23">
        <v>123901.43</v>
      </c>
    </row>
    <row r="603" spans="1:9" s="17" customFormat="1" x14ac:dyDescent="0.25">
      <c r="A603" s="14">
        <v>46172</v>
      </c>
      <c r="B603" s="15" t="s">
        <v>858</v>
      </c>
      <c r="C603" s="15" t="s">
        <v>86</v>
      </c>
      <c r="D603" s="15" t="s">
        <v>332</v>
      </c>
      <c r="E603" s="16">
        <v>110308.8</v>
      </c>
      <c r="F603" s="16">
        <v>110308.8</v>
      </c>
      <c r="G603" s="15">
        <v>31</v>
      </c>
      <c r="H603" s="15" t="s">
        <v>659</v>
      </c>
      <c r="I603" s="23">
        <v>110308.8</v>
      </c>
    </row>
    <row r="604" spans="1:9" s="17" customFormat="1" x14ac:dyDescent="0.25">
      <c r="A604" s="14">
        <v>46172</v>
      </c>
      <c r="B604" s="15" t="s">
        <v>859</v>
      </c>
      <c r="C604" s="15" t="s">
        <v>86</v>
      </c>
      <c r="D604" s="15" t="s">
        <v>332</v>
      </c>
      <c r="E604" s="16">
        <v>129460.12</v>
      </c>
      <c r="F604" s="16">
        <v>129460.12</v>
      </c>
      <c r="G604" s="15">
        <v>31</v>
      </c>
      <c r="H604" s="15" t="s">
        <v>659</v>
      </c>
      <c r="I604" s="23">
        <v>129460.12</v>
      </c>
    </row>
    <row r="605" spans="1:9" s="17" customFormat="1" x14ac:dyDescent="0.25">
      <c r="A605" s="14">
        <v>46172</v>
      </c>
      <c r="B605" s="15" t="s">
        <v>860</v>
      </c>
      <c r="C605" s="15" t="s">
        <v>91</v>
      </c>
      <c r="D605" s="15" t="s">
        <v>332</v>
      </c>
      <c r="E605" s="16">
        <v>119578.66</v>
      </c>
      <c r="F605" s="16">
        <v>119578.66</v>
      </c>
      <c r="G605" s="15">
        <v>31</v>
      </c>
      <c r="H605" s="15" t="s">
        <v>659</v>
      </c>
      <c r="I605" s="23">
        <v>119578.66</v>
      </c>
    </row>
    <row r="606" spans="1:9" s="17" customFormat="1" x14ac:dyDescent="0.25">
      <c r="A606" s="14">
        <v>46172</v>
      </c>
      <c r="B606" s="15" t="s">
        <v>861</v>
      </c>
      <c r="C606" s="15" t="s">
        <v>102</v>
      </c>
      <c r="D606" s="15" t="s">
        <v>335</v>
      </c>
      <c r="E606" s="16">
        <v>300000</v>
      </c>
      <c r="F606" s="16">
        <v>108242</v>
      </c>
      <c r="G606" s="15">
        <v>31</v>
      </c>
      <c r="H606" s="15" t="s">
        <v>659</v>
      </c>
      <c r="I606" s="23">
        <v>-108242</v>
      </c>
    </row>
    <row r="607" spans="1:9" s="17" customFormat="1" x14ac:dyDescent="0.25">
      <c r="A607" s="14">
        <v>46173</v>
      </c>
      <c r="B607" s="15" t="s">
        <v>862</v>
      </c>
      <c r="C607" s="15" t="s">
        <v>12</v>
      </c>
      <c r="D607" s="15" t="s">
        <v>306</v>
      </c>
      <c r="E607" s="16">
        <v>80439.38</v>
      </c>
      <c r="F607" s="16">
        <v>80439.38</v>
      </c>
      <c r="G607" s="15">
        <v>30</v>
      </c>
      <c r="H607" s="15" t="s">
        <v>748</v>
      </c>
      <c r="I607" s="23">
        <v>80439.38</v>
      </c>
    </row>
    <row r="608" spans="1:9" s="17" customFormat="1" x14ac:dyDescent="0.25">
      <c r="A608" s="14">
        <v>46173</v>
      </c>
      <c r="B608" s="15" t="s">
        <v>863</v>
      </c>
      <c r="C608" s="15" t="s">
        <v>14</v>
      </c>
      <c r="D608" s="15" t="s">
        <v>280</v>
      </c>
      <c r="E608" s="16">
        <v>35913.4</v>
      </c>
      <c r="F608" s="16">
        <v>35913.4</v>
      </c>
      <c r="G608" s="15">
        <v>30</v>
      </c>
      <c r="H608" s="15" t="s">
        <v>748</v>
      </c>
      <c r="I608" s="23">
        <v>35913.4</v>
      </c>
    </row>
    <row r="609" spans="1:9" s="17" customFormat="1" x14ac:dyDescent="0.25">
      <c r="A609" s="14">
        <v>46173</v>
      </c>
      <c r="B609" s="15" t="s">
        <v>880</v>
      </c>
      <c r="C609" s="15" t="s">
        <v>18</v>
      </c>
      <c r="D609" s="15" t="s">
        <v>332</v>
      </c>
      <c r="E609" s="16">
        <v>56632.78</v>
      </c>
      <c r="F609" s="16">
        <v>56632.78</v>
      </c>
      <c r="G609" s="15">
        <v>30</v>
      </c>
      <c r="H609" s="15" t="s">
        <v>748</v>
      </c>
      <c r="I609" s="23">
        <v>56632.78</v>
      </c>
    </row>
    <row r="610" spans="1:9" s="17" customFormat="1" x14ac:dyDescent="0.25">
      <c r="A610" s="14">
        <v>46173</v>
      </c>
      <c r="B610" s="15" t="s">
        <v>879</v>
      </c>
      <c r="C610" s="15" t="s">
        <v>18</v>
      </c>
      <c r="D610" s="15" t="s">
        <v>332</v>
      </c>
      <c r="E610" s="16">
        <v>53097.279999999999</v>
      </c>
      <c r="F610" s="16">
        <v>53097.279999999999</v>
      </c>
      <c r="G610" s="15">
        <v>30</v>
      </c>
      <c r="H610" s="15" t="s">
        <v>748</v>
      </c>
      <c r="I610" s="23">
        <v>53097.279999999999</v>
      </c>
    </row>
    <row r="611" spans="1:9" s="17" customFormat="1" x14ac:dyDescent="0.25">
      <c r="A611" s="14">
        <v>46173</v>
      </c>
      <c r="B611" s="15" t="s">
        <v>878</v>
      </c>
      <c r="C611" s="15" t="s">
        <v>18</v>
      </c>
      <c r="D611" s="15" t="s">
        <v>332</v>
      </c>
      <c r="E611" s="16">
        <v>52019.03</v>
      </c>
      <c r="F611" s="16">
        <v>52019.03</v>
      </c>
      <c r="G611" s="15">
        <v>30</v>
      </c>
      <c r="H611" s="15" t="s">
        <v>748</v>
      </c>
      <c r="I611" s="23">
        <v>52019.03</v>
      </c>
    </row>
    <row r="612" spans="1:9" s="17" customFormat="1" x14ac:dyDescent="0.25">
      <c r="A612" s="14">
        <v>46173</v>
      </c>
      <c r="B612" s="15" t="s">
        <v>877</v>
      </c>
      <c r="C612" s="15" t="s">
        <v>18</v>
      </c>
      <c r="D612" s="15" t="s">
        <v>332</v>
      </c>
      <c r="E612" s="16">
        <v>59637.5</v>
      </c>
      <c r="F612" s="16">
        <v>59637.5</v>
      </c>
      <c r="G612" s="15">
        <v>30</v>
      </c>
      <c r="H612" s="15" t="s">
        <v>748</v>
      </c>
      <c r="I612" s="23">
        <v>59637.5</v>
      </c>
    </row>
    <row r="613" spans="1:9" s="17" customFormat="1" x14ac:dyDescent="0.25">
      <c r="A613" s="14">
        <v>46173</v>
      </c>
      <c r="B613" s="15" t="s">
        <v>876</v>
      </c>
      <c r="C613" s="15" t="s">
        <v>18</v>
      </c>
      <c r="D613" s="15" t="s">
        <v>332</v>
      </c>
      <c r="E613" s="16">
        <v>59655.19</v>
      </c>
      <c r="F613" s="16">
        <v>59655.19</v>
      </c>
      <c r="G613" s="15">
        <v>30</v>
      </c>
      <c r="H613" s="15" t="s">
        <v>748</v>
      </c>
      <c r="I613" s="23">
        <v>59655.19</v>
      </c>
    </row>
    <row r="614" spans="1:9" s="17" customFormat="1" x14ac:dyDescent="0.25">
      <c r="A614" s="14">
        <v>46173</v>
      </c>
      <c r="B614" s="15" t="s">
        <v>875</v>
      </c>
      <c r="C614" s="15" t="s">
        <v>18</v>
      </c>
      <c r="D614" s="15" t="s">
        <v>332</v>
      </c>
      <c r="E614" s="16">
        <v>77516.009999999995</v>
      </c>
      <c r="F614" s="16">
        <v>77516.009999999995</v>
      </c>
      <c r="G614" s="15">
        <v>30</v>
      </c>
      <c r="H614" s="15" t="s">
        <v>748</v>
      </c>
      <c r="I614" s="23">
        <v>77516.009999999995</v>
      </c>
    </row>
    <row r="615" spans="1:9" s="17" customFormat="1" x14ac:dyDescent="0.25">
      <c r="A615" s="14">
        <v>46173</v>
      </c>
      <c r="B615" s="15" t="s">
        <v>872</v>
      </c>
      <c r="C615" s="15" t="s">
        <v>18</v>
      </c>
      <c r="D615" s="15" t="s">
        <v>332</v>
      </c>
      <c r="E615" s="16">
        <v>57057.4</v>
      </c>
      <c r="F615" s="16">
        <v>57057.4</v>
      </c>
      <c r="G615" s="15">
        <v>30</v>
      </c>
      <c r="H615" s="15" t="s">
        <v>748</v>
      </c>
      <c r="I615" s="23">
        <v>57057.4</v>
      </c>
    </row>
    <row r="616" spans="1:9" s="17" customFormat="1" x14ac:dyDescent="0.25">
      <c r="A616" s="14">
        <v>46173</v>
      </c>
      <c r="B616" s="15" t="s">
        <v>864</v>
      </c>
      <c r="C616" s="15" t="s">
        <v>18</v>
      </c>
      <c r="D616" s="15" t="s">
        <v>332</v>
      </c>
      <c r="E616" s="16">
        <v>75920.97</v>
      </c>
      <c r="F616" s="16">
        <v>75920.97</v>
      </c>
      <c r="G616" s="15">
        <v>30</v>
      </c>
      <c r="H616" s="15" t="s">
        <v>748</v>
      </c>
      <c r="I616" s="23">
        <v>75920.97</v>
      </c>
    </row>
    <row r="617" spans="1:9" s="17" customFormat="1" x14ac:dyDescent="0.25">
      <c r="A617" s="14">
        <v>46173</v>
      </c>
      <c r="B617" s="15" t="s">
        <v>874</v>
      </c>
      <c r="C617" s="15" t="s">
        <v>18</v>
      </c>
      <c r="D617" s="15" t="s">
        <v>332</v>
      </c>
      <c r="E617" s="16">
        <v>54688.6</v>
      </c>
      <c r="F617" s="16">
        <v>54688.6</v>
      </c>
      <c r="G617" s="15">
        <v>30</v>
      </c>
      <c r="H617" s="15" t="s">
        <v>748</v>
      </c>
      <c r="I617" s="23">
        <v>54688.6</v>
      </c>
    </row>
    <row r="618" spans="1:9" s="17" customFormat="1" x14ac:dyDescent="0.25">
      <c r="A618" s="14">
        <v>46173</v>
      </c>
      <c r="B618" s="15" t="s">
        <v>873</v>
      </c>
      <c r="C618" s="15" t="s">
        <v>18</v>
      </c>
      <c r="D618" s="15" t="s">
        <v>332</v>
      </c>
      <c r="E618" s="16">
        <v>57746.39</v>
      </c>
      <c r="F618" s="16">
        <v>57746.39</v>
      </c>
      <c r="G618" s="15">
        <v>30</v>
      </c>
      <c r="H618" s="15" t="s">
        <v>748</v>
      </c>
      <c r="I618" s="23">
        <v>57746.39</v>
      </c>
    </row>
    <row r="619" spans="1:9" s="17" customFormat="1" x14ac:dyDescent="0.25">
      <c r="A619" s="14">
        <v>46173</v>
      </c>
      <c r="B619" s="15" t="s">
        <v>871</v>
      </c>
      <c r="C619" s="15" t="s">
        <v>18</v>
      </c>
      <c r="D619" s="15" t="s">
        <v>332</v>
      </c>
      <c r="E619" s="16">
        <v>57339.48</v>
      </c>
      <c r="F619" s="16">
        <v>57339.48</v>
      </c>
      <c r="G619" s="15">
        <v>30</v>
      </c>
      <c r="H619" s="15" t="s">
        <v>748</v>
      </c>
      <c r="I619" s="23">
        <v>57339.48</v>
      </c>
    </row>
    <row r="620" spans="1:9" s="17" customFormat="1" x14ac:dyDescent="0.25">
      <c r="A620" s="14">
        <v>46173</v>
      </c>
      <c r="B620" s="15" t="s">
        <v>870</v>
      </c>
      <c r="C620" s="15" t="s">
        <v>18</v>
      </c>
      <c r="D620" s="15" t="s">
        <v>332</v>
      </c>
      <c r="E620" s="16">
        <v>58506.18</v>
      </c>
      <c r="F620" s="16">
        <v>58506.18</v>
      </c>
      <c r="G620" s="15">
        <v>30</v>
      </c>
      <c r="H620" s="15" t="s">
        <v>748</v>
      </c>
      <c r="I620" s="23">
        <v>58506.18</v>
      </c>
    </row>
    <row r="621" spans="1:9" s="17" customFormat="1" x14ac:dyDescent="0.25">
      <c r="A621" s="14">
        <v>46173</v>
      </c>
      <c r="B621" s="15" t="s">
        <v>869</v>
      </c>
      <c r="C621" s="15" t="s">
        <v>18</v>
      </c>
      <c r="D621" s="15" t="s">
        <v>332</v>
      </c>
      <c r="E621" s="16">
        <v>57693.32</v>
      </c>
      <c r="F621" s="16">
        <v>57693.32</v>
      </c>
      <c r="G621" s="15">
        <v>30</v>
      </c>
      <c r="H621" s="15" t="s">
        <v>748</v>
      </c>
      <c r="I621" s="23">
        <v>57693.32</v>
      </c>
    </row>
    <row r="622" spans="1:9" s="17" customFormat="1" x14ac:dyDescent="0.25">
      <c r="A622" s="14">
        <v>46173</v>
      </c>
      <c r="B622" s="15" t="s">
        <v>868</v>
      </c>
      <c r="C622" s="15" t="s">
        <v>18</v>
      </c>
      <c r="D622" s="15" t="s">
        <v>332</v>
      </c>
      <c r="E622" s="16">
        <v>58559.25</v>
      </c>
      <c r="F622" s="16">
        <v>58559.25</v>
      </c>
      <c r="G622" s="15">
        <v>30</v>
      </c>
      <c r="H622" s="15" t="s">
        <v>748</v>
      </c>
      <c r="I622" s="23">
        <v>58559.25</v>
      </c>
    </row>
    <row r="623" spans="1:9" s="17" customFormat="1" x14ac:dyDescent="0.25">
      <c r="A623" s="14">
        <v>46173</v>
      </c>
      <c r="B623" s="15" t="s">
        <v>867</v>
      </c>
      <c r="C623" s="15" t="s">
        <v>18</v>
      </c>
      <c r="D623" s="15" t="s">
        <v>332</v>
      </c>
      <c r="E623" s="16">
        <v>49897.93</v>
      </c>
      <c r="F623" s="16">
        <v>49897.93</v>
      </c>
      <c r="G623" s="15">
        <v>30</v>
      </c>
      <c r="H623" s="15" t="s">
        <v>748</v>
      </c>
      <c r="I623" s="23">
        <v>49897.93</v>
      </c>
    </row>
    <row r="624" spans="1:9" s="17" customFormat="1" x14ac:dyDescent="0.25">
      <c r="A624" s="14">
        <v>46173</v>
      </c>
      <c r="B624" s="15" t="s">
        <v>866</v>
      </c>
      <c r="C624" s="15" t="s">
        <v>18</v>
      </c>
      <c r="D624" s="15" t="s">
        <v>332</v>
      </c>
      <c r="E624" s="16">
        <v>45921.120000000003</v>
      </c>
      <c r="F624" s="16">
        <v>45921.120000000003</v>
      </c>
      <c r="G624" s="15">
        <v>30</v>
      </c>
      <c r="H624" s="15" t="s">
        <v>748</v>
      </c>
      <c r="I624" s="23">
        <v>45921.120000000003</v>
      </c>
    </row>
    <row r="625" spans="1:9" s="17" customFormat="1" x14ac:dyDescent="0.25">
      <c r="A625" s="14">
        <v>46173</v>
      </c>
      <c r="B625" s="15" t="s">
        <v>865</v>
      </c>
      <c r="C625" s="15" t="s">
        <v>18</v>
      </c>
      <c r="D625" s="15" t="s">
        <v>332</v>
      </c>
      <c r="E625" s="16">
        <v>52160.57</v>
      </c>
      <c r="F625" s="16">
        <v>52160.57</v>
      </c>
      <c r="G625" s="15">
        <v>30</v>
      </c>
      <c r="H625" s="15" t="s">
        <v>748</v>
      </c>
      <c r="I625" s="23">
        <v>52160.57</v>
      </c>
    </row>
    <row r="626" spans="1:9" s="17" customFormat="1" x14ac:dyDescent="0.25">
      <c r="A626" s="14">
        <v>46173</v>
      </c>
      <c r="B626" s="15" t="s">
        <v>881</v>
      </c>
      <c r="C626" s="15" t="s">
        <v>22</v>
      </c>
      <c r="D626" s="15" t="s">
        <v>332</v>
      </c>
      <c r="E626" s="16">
        <v>58628.5</v>
      </c>
      <c r="F626" s="16">
        <v>58628.5</v>
      </c>
      <c r="G626" s="15">
        <v>30</v>
      </c>
      <c r="H626" s="15" t="s">
        <v>748</v>
      </c>
      <c r="I626" s="23">
        <v>58628.5</v>
      </c>
    </row>
    <row r="627" spans="1:9" s="17" customFormat="1" x14ac:dyDescent="0.25">
      <c r="A627" s="14">
        <v>46173</v>
      </c>
      <c r="B627" s="15" t="s">
        <v>882</v>
      </c>
      <c r="C627" s="15" t="s">
        <v>22</v>
      </c>
      <c r="D627" s="15" t="s">
        <v>332</v>
      </c>
      <c r="E627" s="16">
        <v>121700.01</v>
      </c>
      <c r="F627" s="16">
        <v>121700.01</v>
      </c>
      <c r="G627" s="15">
        <v>30</v>
      </c>
      <c r="H627" s="15" t="s">
        <v>748</v>
      </c>
      <c r="I627" s="23">
        <v>121700.01</v>
      </c>
    </row>
    <row r="628" spans="1:9" s="17" customFormat="1" x14ac:dyDescent="0.25">
      <c r="A628" s="14">
        <v>46173</v>
      </c>
      <c r="B628" s="15" t="s">
        <v>883</v>
      </c>
      <c r="C628" s="15" t="s">
        <v>24</v>
      </c>
      <c r="D628" s="15" t="s">
        <v>280</v>
      </c>
      <c r="E628" s="16">
        <v>51988</v>
      </c>
      <c r="F628" s="16">
        <v>10</v>
      </c>
      <c r="G628" s="15">
        <v>30</v>
      </c>
      <c r="H628" s="15" t="s">
        <v>748</v>
      </c>
      <c r="I628" s="23">
        <v>-10</v>
      </c>
    </row>
    <row r="629" spans="1:9" s="17" customFormat="1" x14ac:dyDescent="0.25">
      <c r="A629" s="14">
        <v>46173</v>
      </c>
      <c r="B629" s="15" t="s">
        <v>884</v>
      </c>
      <c r="C629" s="15" t="s">
        <v>26</v>
      </c>
      <c r="D629" s="15" t="s">
        <v>306</v>
      </c>
      <c r="E629" s="16">
        <v>1173190.19</v>
      </c>
      <c r="F629" s="16">
        <v>1173190.19</v>
      </c>
      <c r="G629" s="15">
        <v>30</v>
      </c>
      <c r="H629" s="15" t="s">
        <v>748</v>
      </c>
      <c r="I629" s="23">
        <v>1173190.19</v>
      </c>
    </row>
    <row r="630" spans="1:9" s="17" customFormat="1" x14ac:dyDescent="0.25">
      <c r="A630" s="14">
        <v>46173</v>
      </c>
      <c r="B630" s="15" t="s">
        <v>885</v>
      </c>
      <c r="C630" s="15" t="s">
        <v>37</v>
      </c>
      <c r="D630" s="15" t="s">
        <v>531</v>
      </c>
      <c r="E630" s="16">
        <v>136665.01</v>
      </c>
      <c r="F630" s="16">
        <v>136665.01</v>
      </c>
      <c r="G630" s="15">
        <v>30</v>
      </c>
      <c r="H630" s="15" t="s">
        <v>748</v>
      </c>
      <c r="I630" s="23">
        <v>136665.01</v>
      </c>
    </row>
    <row r="631" spans="1:9" s="17" customFormat="1" x14ac:dyDescent="0.25">
      <c r="A631" s="14">
        <v>46173</v>
      </c>
      <c r="B631" s="15" t="s">
        <v>886</v>
      </c>
      <c r="C631" s="15" t="s">
        <v>40</v>
      </c>
      <c r="D631" s="15" t="s">
        <v>306</v>
      </c>
      <c r="E631" s="16">
        <v>25500</v>
      </c>
      <c r="F631" s="16">
        <v>75255.28</v>
      </c>
      <c r="G631" s="15">
        <v>30</v>
      </c>
      <c r="H631" s="15" t="s">
        <v>748</v>
      </c>
      <c r="I631" s="23">
        <v>75255.28</v>
      </c>
    </row>
    <row r="632" spans="1:9" s="17" customFormat="1" x14ac:dyDescent="0.25">
      <c r="A632" s="14">
        <v>46173</v>
      </c>
      <c r="B632" s="15" t="s">
        <v>887</v>
      </c>
      <c r="C632" s="15" t="s">
        <v>44</v>
      </c>
      <c r="D632" s="15" t="s">
        <v>280</v>
      </c>
      <c r="E632" s="16">
        <v>183860</v>
      </c>
      <c r="F632" s="16">
        <v>183860</v>
      </c>
      <c r="G632" s="15">
        <v>30</v>
      </c>
      <c r="H632" s="15" t="s">
        <v>748</v>
      </c>
      <c r="I632" s="23">
        <v>183860</v>
      </c>
    </row>
    <row r="633" spans="1:9" s="17" customFormat="1" x14ac:dyDescent="0.25">
      <c r="A633" s="14">
        <v>46173</v>
      </c>
      <c r="B633" s="15" t="s">
        <v>888</v>
      </c>
      <c r="C633" s="15" t="s">
        <v>44</v>
      </c>
      <c r="D633" s="15" t="s">
        <v>280</v>
      </c>
      <c r="E633" s="16">
        <v>195436.79999999999</v>
      </c>
      <c r="F633" s="16">
        <v>195436.79999999999</v>
      </c>
      <c r="G633" s="15">
        <v>30</v>
      </c>
      <c r="H633" s="15" t="s">
        <v>748</v>
      </c>
      <c r="I633" s="23">
        <v>195436.79999999999</v>
      </c>
    </row>
    <row r="634" spans="1:9" s="17" customFormat="1" x14ac:dyDescent="0.25">
      <c r="A634" s="14">
        <v>46173</v>
      </c>
      <c r="B634" s="15" t="s">
        <v>889</v>
      </c>
      <c r="C634" s="15" t="s">
        <v>47</v>
      </c>
      <c r="D634" s="15" t="s">
        <v>1666</v>
      </c>
      <c r="E634" s="16">
        <v>3933</v>
      </c>
      <c r="F634" s="16">
        <v>3933</v>
      </c>
      <c r="G634" s="15">
        <v>30</v>
      </c>
      <c r="H634" s="15" t="s">
        <v>748</v>
      </c>
      <c r="I634" s="23">
        <v>3933</v>
      </c>
    </row>
    <row r="635" spans="1:9" s="17" customFormat="1" x14ac:dyDescent="0.25">
      <c r="A635" s="14">
        <v>46173</v>
      </c>
      <c r="B635" s="15" t="s">
        <v>890</v>
      </c>
      <c r="C635" s="15" t="s">
        <v>60</v>
      </c>
      <c r="D635" s="15" t="s">
        <v>335</v>
      </c>
      <c r="E635" s="16">
        <v>15312</v>
      </c>
      <c r="F635" s="16">
        <v>15312</v>
      </c>
      <c r="G635" s="15">
        <v>30</v>
      </c>
      <c r="H635" s="15" t="s">
        <v>748</v>
      </c>
      <c r="I635" s="23">
        <v>15312</v>
      </c>
    </row>
    <row r="636" spans="1:9" s="17" customFormat="1" x14ac:dyDescent="0.25">
      <c r="A636" s="14">
        <v>46173</v>
      </c>
      <c r="B636" s="15" t="s">
        <v>891</v>
      </c>
      <c r="C636" s="15" t="s">
        <v>60</v>
      </c>
      <c r="D636" s="15" t="s">
        <v>347</v>
      </c>
      <c r="E636" s="16">
        <v>8378.68</v>
      </c>
      <c r="F636" s="16">
        <v>8378.68</v>
      </c>
      <c r="G636" s="15">
        <v>30</v>
      </c>
      <c r="H636" s="15" t="s">
        <v>748</v>
      </c>
      <c r="I636" s="23">
        <v>8378.68</v>
      </c>
    </row>
    <row r="637" spans="1:9" s="17" customFormat="1" x14ac:dyDescent="0.25">
      <c r="A637" s="14">
        <v>46173</v>
      </c>
      <c r="B637" s="15" t="s">
        <v>892</v>
      </c>
      <c r="C637" s="15" t="s">
        <v>60</v>
      </c>
      <c r="D637" s="15" t="s">
        <v>335</v>
      </c>
      <c r="E637" s="16">
        <v>15312</v>
      </c>
      <c r="F637" s="16">
        <v>15312</v>
      </c>
      <c r="G637" s="15">
        <v>30</v>
      </c>
      <c r="H637" s="15" t="s">
        <v>748</v>
      </c>
      <c r="I637" s="23">
        <v>15312</v>
      </c>
    </row>
    <row r="638" spans="1:9" s="17" customFormat="1" x14ac:dyDescent="0.25">
      <c r="A638" s="14">
        <v>46173</v>
      </c>
      <c r="B638" s="15" t="s">
        <v>893</v>
      </c>
      <c r="C638" s="15" t="s">
        <v>60</v>
      </c>
      <c r="D638" s="15" t="s">
        <v>347</v>
      </c>
      <c r="E638" s="16">
        <v>7656</v>
      </c>
      <c r="F638" s="16">
        <v>7656</v>
      </c>
      <c r="G638" s="15">
        <v>30</v>
      </c>
      <c r="H638" s="15" t="s">
        <v>748</v>
      </c>
      <c r="I638" s="23">
        <v>7656</v>
      </c>
    </row>
    <row r="639" spans="1:9" s="17" customFormat="1" x14ac:dyDescent="0.25">
      <c r="A639" s="14">
        <v>46173</v>
      </c>
      <c r="B639" s="15" t="s">
        <v>894</v>
      </c>
      <c r="C639" s="15" t="s">
        <v>60</v>
      </c>
      <c r="D639" s="15" t="s">
        <v>335</v>
      </c>
      <c r="E639" s="16">
        <v>15312</v>
      </c>
      <c r="F639" s="16">
        <v>15312</v>
      </c>
      <c r="G639" s="15">
        <v>30</v>
      </c>
      <c r="H639" s="15" t="s">
        <v>748</v>
      </c>
      <c r="I639" s="23">
        <v>15312</v>
      </c>
    </row>
    <row r="640" spans="1:9" s="17" customFormat="1" x14ac:dyDescent="0.25">
      <c r="A640" s="14">
        <v>46173</v>
      </c>
      <c r="B640" s="15" t="s">
        <v>895</v>
      </c>
      <c r="C640" s="15" t="s">
        <v>64</v>
      </c>
      <c r="D640" s="15" t="s">
        <v>335</v>
      </c>
      <c r="E640" s="16">
        <v>14500</v>
      </c>
      <c r="F640" s="16">
        <v>14500</v>
      </c>
      <c r="G640" s="15">
        <v>30</v>
      </c>
      <c r="H640" s="15" t="s">
        <v>748</v>
      </c>
      <c r="I640" s="23">
        <v>14500</v>
      </c>
    </row>
    <row r="641" spans="1:9" s="17" customFormat="1" x14ac:dyDescent="0.25">
      <c r="A641" s="14">
        <v>46173</v>
      </c>
      <c r="B641" s="15" t="s">
        <v>896</v>
      </c>
      <c r="C641" s="15" t="s">
        <v>64</v>
      </c>
      <c r="D641" s="15" t="s">
        <v>335</v>
      </c>
      <c r="E641" s="16">
        <v>47900</v>
      </c>
      <c r="F641" s="16">
        <v>47900</v>
      </c>
      <c r="G641" s="15">
        <v>30</v>
      </c>
      <c r="H641" s="15" t="s">
        <v>748</v>
      </c>
      <c r="I641" s="23">
        <v>47900</v>
      </c>
    </row>
    <row r="642" spans="1:9" s="17" customFormat="1" x14ac:dyDescent="0.25">
      <c r="A642" s="14">
        <v>46173</v>
      </c>
      <c r="B642" s="15" t="s">
        <v>897</v>
      </c>
      <c r="C642" s="15" t="s">
        <v>64</v>
      </c>
      <c r="D642" s="15" t="s">
        <v>531</v>
      </c>
      <c r="E642" s="16">
        <v>74474.320000000007</v>
      </c>
      <c r="F642" s="16">
        <v>74474.320000000007</v>
      </c>
      <c r="G642" s="15">
        <v>30</v>
      </c>
      <c r="H642" s="15" t="s">
        <v>748</v>
      </c>
      <c r="I642" s="23">
        <v>74474.320000000007</v>
      </c>
    </row>
    <row r="643" spans="1:9" s="17" customFormat="1" x14ac:dyDescent="0.25">
      <c r="A643" s="14">
        <v>46173</v>
      </c>
      <c r="B643" s="15" t="s">
        <v>898</v>
      </c>
      <c r="C643" s="15" t="s">
        <v>64</v>
      </c>
      <c r="D643" s="15" t="s">
        <v>531</v>
      </c>
      <c r="E643" s="16">
        <v>25520</v>
      </c>
      <c r="F643" s="16">
        <v>25520</v>
      </c>
      <c r="G643" s="15">
        <v>30</v>
      </c>
      <c r="H643" s="15" t="s">
        <v>748</v>
      </c>
      <c r="I643" s="23">
        <v>25520</v>
      </c>
    </row>
    <row r="644" spans="1:9" s="17" customFormat="1" x14ac:dyDescent="0.25">
      <c r="A644" s="14">
        <v>46173</v>
      </c>
      <c r="B644" s="15" t="s">
        <v>900</v>
      </c>
      <c r="C644" s="15" t="s">
        <v>64</v>
      </c>
      <c r="D644" s="15" t="s">
        <v>531</v>
      </c>
      <c r="E644" s="16">
        <v>90480</v>
      </c>
      <c r="F644" s="16">
        <v>90480</v>
      </c>
      <c r="G644" s="15">
        <v>30</v>
      </c>
      <c r="H644" s="15" t="s">
        <v>748</v>
      </c>
      <c r="I644" s="23">
        <v>90480</v>
      </c>
    </row>
    <row r="645" spans="1:9" s="17" customFormat="1" x14ac:dyDescent="0.25">
      <c r="A645" s="14">
        <v>46173</v>
      </c>
      <c r="B645" s="15" t="s">
        <v>901</v>
      </c>
      <c r="C645" s="15" t="s">
        <v>64</v>
      </c>
      <c r="D645" s="15" t="s">
        <v>531</v>
      </c>
      <c r="E645" s="16">
        <v>45240</v>
      </c>
      <c r="F645" s="16">
        <v>45240</v>
      </c>
      <c r="G645" s="15">
        <v>30</v>
      </c>
      <c r="H645" s="15" t="s">
        <v>748</v>
      </c>
      <c r="I645" s="23">
        <v>45240</v>
      </c>
    </row>
    <row r="646" spans="1:9" s="17" customFormat="1" x14ac:dyDescent="0.25">
      <c r="A646" s="14">
        <v>46173</v>
      </c>
      <c r="B646" s="15" t="s">
        <v>899</v>
      </c>
      <c r="C646" s="15" t="s">
        <v>64</v>
      </c>
      <c r="D646" s="15" t="s">
        <v>531</v>
      </c>
      <c r="E646" s="16">
        <v>60552</v>
      </c>
      <c r="F646" s="16">
        <v>60552</v>
      </c>
      <c r="G646" s="15">
        <v>30</v>
      </c>
      <c r="H646" s="15" t="s">
        <v>748</v>
      </c>
      <c r="I646" s="23">
        <v>60552</v>
      </c>
    </row>
    <row r="647" spans="1:9" s="17" customFormat="1" x14ac:dyDescent="0.25">
      <c r="A647" s="14">
        <v>46173</v>
      </c>
      <c r="B647" s="15" t="s">
        <v>1070</v>
      </c>
      <c r="C647" s="15" t="s">
        <v>71</v>
      </c>
      <c r="D647" s="15" t="s">
        <v>347</v>
      </c>
      <c r="E647" s="16">
        <v>1761145.26</v>
      </c>
      <c r="F647" s="16">
        <v>1761145.26</v>
      </c>
      <c r="G647" s="15">
        <v>30</v>
      </c>
      <c r="H647" s="15" t="s">
        <v>748</v>
      </c>
      <c r="I647" s="23">
        <v>1761145.26</v>
      </c>
    </row>
    <row r="648" spans="1:9" s="17" customFormat="1" x14ac:dyDescent="0.25">
      <c r="A648" s="14">
        <v>46173</v>
      </c>
      <c r="B648" s="15" t="s">
        <v>902</v>
      </c>
      <c r="C648" s="15" t="s">
        <v>73</v>
      </c>
      <c r="D648" s="15" t="s">
        <v>280</v>
      </c>
      <c r="E648" s="16">
        <v>887192</v>
      </c>
      <c r="F648" s="16">
        <v>887192</v>
      </c>
      <c r="G648" s="15">
        <v>30</v>
      </c>
      <c r="H648" s="15" t="s">
        <v>748</v>
      </c>
      <c r="I648" s="23">
        <v>887192</v>
      </c>
    </row>
    <row r="649" spans="1:9" s="17" customFormat="1" x14ac:dyDescent="0.25">
      <c r="A649" s="14">
        <v>46173</v>
      </c>
      <c r="B649" s="15" t="s">
        <v>903</v>
      </c>
      <c r="C649" s="15" t="s">
        <v>84</v>
      </c>
      <c r="D649" s="15" t="s">
        <v>306</v>
      </c>
      <c r="E649" s="16">
        <v>64851</v>
      </c>
      <c r="F649" s="16">
        <v>64851</v>
      </c>
      <c r="G649" s="15">
        <v>30</v>
      </c>
      <c r="H649" s="15" t="s">
        <v>748</v>
      </c>
      <c r="I649" s="23">
        <v>64851</v>
      </c>
    </row>
    <row r="650" spans="1:9" s="17" customFormat="1" x14ac:dyDescent="0.25">
      <c r="A650" s="14">
        <v>46173</v>
      </c>
      <c r="B650" s="15" t="s">
        <v>904</v>
      </c>
      <c r="C650" s="15" t="s">
        <v>86</v>
      </c>
      <c r="D650" s="15" t="s">
        <v>332</v>
      </c>
      <c r="E650" s="16">
        <v>116702.81</v>
      </c>
      <c r="F650" s="16">
        <v>116702.81</v>
      </c>
      <c r="G650" s="15">
        <v>30</v>
      </c>
      <c r="H650" s="15" t="s">
        <v>748</v>
      </c>
      <c r="I650" s="23">
        <v>116702.81</v>
      </c>
    </row>
    <row r="651" spans="1:9" s="17" customFormat="1" x14ac:dyDescent="0.25">
      <c r="A651" s="14">
        <v>46173</v>
      </c>
      <c r="B651" s="15" t="s">
        <v>905</v>
      </c>
      <c r="C651" s="15" t="s">
        <v>91</v>
      </c>
      <c r="D651" s="15" t="s">
        <v>332</v>
      </c>
      <c r="E651" s="16">
        <v>112745.42</v>
      </c>
      <c r="F651" s="16">
        <v>112745.42</v>
      </c>
      <c r="G651" s="15">
        <v>30</v>
      </c>
      <c r="H651" s="15" t="s">
        <v>748</v>
      </c>
      <c r="I651" s="23">
        <v>112745.42</v>
      </c>
    </row>
    <row r="652" spans="1:9" s="17" customFormat="1" x14ac:dyDescent="0.25">
      <c r="A652" s="14">
        <v>46173</v>
      </c>
      <c r="B652" s="15" t="s">
        <v>907</v>
      </c>
      <c r="C652" s="15" t="s">
        <v>97</v>
      </c>
      <c r="D652" s="15" t="s">
        <v>531</v>
      </c>
      <c r="E652" s="16">
        <v>6066.8</v>
      </c>
      <c r="F652" s="16">
        <v>6066.8</v>
      </c>
      <c r="G652" s="15">
        <v>30</v>
      </c>
      <c r="H652" s="15" t="s">
        <v>748</v>
      </c>
      <c r="I652" s="23">
        <v>6066.8</v>
      </c>
    </row>
    <row r="653" spans="1:9" s="17" customFormat="1" x14ac:dyDescent="0.25">
      <c r="A653" s="14">
        <v>46173</v>
      </c>
      <c r="B653" s="15" t="s">
        <v>906</v>
      </c>
      <c r="C653" s="15" t="s">
        <v>97</v>
      </c>
      <c r="D653" s="15" t="s">
        <v>531</v>
      </c>
      <c r="E653" s="16">
        <v>7879.2</v>
      </c>
      <c r="F653" s="16">
        <v>7879.2</v>
      </c>
      <c r="G653" s="15">
        <v>30</v>
      </c>
      <c r="H653" s="15" t="s">
        <v>748</v>
      </c>
      <c r="I653" s="23">
        <v>7879.2</v>
      </c>
    </row>
    <row r="654" spans="1:9" s="17" customFormat="1" x14ac:dyDescent="0.25">
      <c r="A654" s="14">
        <v>46173</v>
      </c>
      <c r="B654" s="15" t="s">
        <v>908</v>
      </c>
      <c r="C654" s="15" t="s">
        <v>101</v>
      </c>
      <c r="D654" s="15" t="s">
        <v>280</v>
      </c>
      <c r="E654" s="16">
        <v>492650</v>
      </c>
      <c r="F654" s="16">
        <v>492650</v>
      </c>
      <c r="G654" s="15">
        <v>30</v>
      </c>
      <c r="H654" s="15" t="s">
        <v>748</v>
      </c>
      <c r="I654" s="23">
        <v>492650</v>
      </c>
    </row>
    <row r="655" spans="1:9" s="17" customFormat="1" x14ac:dyDescent="0.25">
      <c r="A655" s="14">
        <v>46173</v>
      </c>
      <c r="B655" s="15" t="s">
        <v>909</v>
      </c>
      <c r="C655" s="15" t="s">
        <v>104</v>
      </c>
      <c r="D655" s="15" t="s">
        <v>335</v>
      </c>
      <c r="E655" s="16">
        <v>2847319.48</v>
      </c>
      <c r="F655" s="16">
        <v>2847319.48</v>
      </c>
      <c r="G655" s="15">
        <v>30</v>
      </c>
      <c r="H655" s="15" t="s">
        <v>748</v>
      </c>
      <c r="I655" s="23">
        <v>2847319.48</v>
      </c>
    </row>
    <row r="656" spans="1:9" s="17" customFormat="1" x14ac:dyDescent="0.25">
      <c r="A656" s="14">
        <v>46173</v>
      </c>
      <c r="B656" s="15" t="s">
        <v>910</v>
      </c>
      <c r="C656" s="15" t="s">
        <v>107</v>
      </c>
      <c r="D656" s="15" t="s">
        <v>306</v>
      </c>
      <c r="E656" s="16">
        <v>1730882.4</v>
      </c>
      <c r="F656" s="16">
        <v>1730882.4</v>
      </c>
      <c r="G656" s="15">
        <v>30</v>
      </c>
      <c r="H656" s="15" t="s">
        <v>748</v>
      </c>
      <c r="I656" s="23">
        <v>1730882.4</v>
      </c>
    </row>
    <row r="657" spans="1:9" s="17" customFormat="1" x14ac:dyDescent="0.25">
      <c r="A657" s="14">
        <v>46173</v>
      </c>
      <c r="B657" s="15" t="s">
        <v>914</v>
      </c>
      <c r="C657" s="15" t="s">
        <v>112</v>
      </c>
      <c r="D657" s="15" t="s">
        <v>280</v>
      </c>
      <c r="E657" s="16">
        <v>7107</v>
      </c>
      <c r="F657" s="16">
        <v>7107</v>
      </c>
      <c r="G657" s="15">
        <v>30</v>
      </c>
      <c r="H657" s="15" t="s">
        <v>748</v>
      </c>
      <c r="I657" s="23">
        <v>7107</v>
      </c>
    </row>
    <row r="658" spans="1:9" s="17" customFormat="1" x14ac:dyDescent="0.25">
      <c r="A658" s="14">
        <v>46173</v>
      </c>
      <c r="B658" s="15" t="s">
        <v>913</v>
      </c>
      <c r="C658" s="15" t="s">
        <v>112</v>
      </c>
      <c r="D658" s="15" t="s">
        <v>347</v>
      </c>
      <c r="E658" s="16">
        <v>49772.7</v>
      </c>
      <c r="F658" s="16">
        <v>49772.7</v>
      </c>
      <c r="G658" s="15">
        <v>30</v>
      </c>
      <c r="H658" s="15" t="s">
        <v>748</v>
      </c>
      <c r="I658" s="23">
        <v>49772.7</v>
      </c>
    </row>
    <row r="659" spans="1:9" s="17" customFormat="1" x14ac:dyDescent="0.25">
      <c r="A659" s="14">
        <v>46173</v>
      </c>
      <c r="B659" s="15" t="s">
        <v>912</v>
      </c>
      <c r="C659" s="15" t="s">
        <v>112</v>
      </c>
      <c r="D659" s="15" t="s">
        <v>280</v>
      </c>
      <c r="E659" s="16">
        <v>34071</v>
      </c>
      <c r="F659" s="16">
        <v>34071</v>
      </c>
      <c r="G659" s="15">
        <v>30</v>
      </c>
      <c r="H659" s="15" t="s">
        <v>748</v>
      </c>
      <c r="I659" s="23">
        <v>34071</v>
      </c>
    </row>
    <row r="660" spans="1:9" s="17" customFormat="1" x14ac:dyDescent="0.25">
      <c r="A660" s="14">
        <v>46173</v>
      </c>
      <c r="B660" s="15" t="s">
        <v>911</v>
      </c>
      <c r="C660" s="15" t="s">
        <v>112</v>
      </c>
      <c r="D660" s="15" t="s">
        <v>280</v>
      </c>
      <c r="E660" s="16">
        <v>81057</v>
      </c>
      <c r="F660" s="16">
        <v>81057</v>
      </c>
      <c r="G660" s="15">
        <v>30</v>
      </c>
      <c r="H660" s="15" t="s">
        <v>748</v>
      </c>
      <c r="I660" s="23">
        <v>81057</v>
      </c>
    </row>
    <row r="661" spans="1:9" s="17" customFormat="1" x14ac:dyDescent="0.25">
      <c r="A661" s="14">
        <v>46173</v>
      </c>
      <c r="B661" s="15" t="s">
        <v>915</v>
      </c>
      <c r="C661" s="15" t="s">
        <v>117</v>
      </c>
      <c r="D661" s="15" t="s">
        <v>332</v>
      </c>
      <c r="E661" s="16">
        <v>39510.980000000003</v>
      </c>
      <c r="F661" s="16">
        <v>39510.980000000003</v>
      </c>
      <c r="G661" s="15">
        <v>30</v>
      </c>
      <c r="H661" s="15" t="s">
        <v>748</v>
      </c>
      <c r="I661" s="23">
        <v>39510.980000000003</v>
      </c>
    </row>
    <row r="662" spans="1:9" s="17" customFormat="1" x14ac:dyDescent="0.25">
      <c r="A662" s="14">
        <v>46173</v>
      </c>
      <c r="B662" s="15" t="s">
        <v>916</v>
      </c>
      <c r="C662" s="15" t="s">
        <v>117</v>
      </c>
      <c r="D662" s="15" t="s">
        <v>332</v>
      </c>
      <c r="E662" s="16">
        <v>38772.82</v>
      </c>
      <c r="F662" s="16">
        <v>38772.82</v>
      </c>
      <c r="G662" s="15">
        <v>30</v>
      </c>
      <c r="H662" s="15" t="s">
        <v>748</v>
      </c>
      <c r="I662" s="23">
        <v>38772.82</v>
      </c>
    </row>
    <row r="663" spans="1:9" s="17" customFormat="1" x14ac:dyDescent="0.25">
      <c r="A663" s="14">
        <v>46173</v>
      </c>
      <c r="B663" s="15" t="s">
        <v>917</v>
      </c>
      <c r="C663" s="15" t="s">
        <v>117</v>
      </c>
      <c r="D663" s="15" t="s">
        <v>332</v>
      </c>
      <c r="E663" s="16">
        <v>42333.9</v>
      </c>
      <c r="F663" s="16">
        <v>42333.9</v>
      </c>
      <c r="G663" s="15">
        <v>30</v>
      </c>
      <c r="H663" s="15" t="s">
        <v>748</v>
      </c>
      <c r="I663" s="23">
        <v>42333.9</v>
      </c>
    </row>
    <row r="664" spans="1:9" s="17" customFormat="1" x14ac:dyDescent="0.25">
      <c r="A664" s="14">
        <v>46173</v>
      </c>
      <c r="B664" s="15" t="s">
        <v>918</v>
      </c>
      <c r="C664" s="15" t="s">
        <v>117</v>
      </c>
      <c r="D664" s="15" t="s">
        <v>332</v>
      </c>
      <c r="E664" s="16">
        <v>43072.06</v>
      </c>
      <c r="F664" s="16">
        <v>43072.06</v>
      </c>
      <c r="G664" s="15">
        <v>30</v>
      </c>
      <c r="H664" s="15" t="s">
        <v>748</v>
      </c>
      <c r="I664" s="23">
        <v>43072.06</v>
      </c>
    </row>
    <row r="665" spans="1:9" s="17" customFormat="1" x14ac:dyDescent="0.25">
      <c r="A665" s="14">
        <v>46173</v>
      </c>
      <c r="B665" s="15" t="s">
        <v>919</v>
      </c>
      <c r="C665" s="15" t="s">
        <v>120</v>
      </c>
      <c r="D665" s="15" t="s">
        <v>232</v>
      </c>
      <c r="E665" s="16">
        <v>76700</v>
      </c>
      <c r="F665" s="16">
        <v>76700</v>
      </c>
      <c r="G665" s="15">
        <v>30</v>
      </c>
      <c r="H665" s="15" t="s">
        <v>748</v>
      </c>
      <c r="I665" s="23">
        <v>76700</v>
      </c>
    </row>
    <row r="666" spans="1:9" s="17" customFormat="1" x14ac:dyDescent="0.25">
      <c r="A666" s="14">
        <v>46173</v>
      </c>
      <c r="B666" s="15" t="s">
        <v>756</v>
      </c>
      <c r="C666" s="15" t="s">
        <v>120</v>
      </c>
      <c r="D666" s="15" t="s">
        <v>306</v>
      </c>
      <c r="E666" s="16">
        <v>76700</v>
      </c>
      <c r="F666" s="16">
        <v>76700</v>
      </c>
      <c r="G666" s="15">
        <v>30</v>
      </c>
      <c r="H666" s="15" t="s">
        <v>748</v>
      </c>
      <c r="I666" s="23">
        <v>76700</v>
      </c>
    </row>
    <row r="667" spans="1:9" s="17" customFormat="1" x14ac:dyDescent="0.25">
      <c r="A667" s="14">
        <v>46173</v>
      </c>
      <c r="B667" s="15" t="s">
        <v>920</v>
      </c>
      <c r="C667" s="15" t="s">
        <v>120</v>
      </c>
      <c r="D667" s="15" t="s">
        <v>317</v>
      </c>
      <c r="E667" s="16">
        <v>115050</v>
      </c>
      <c r="F667" s="16">
        <v>115050</v>
      </c>
      <c r="G667" s="15">
        <v>30</v>
      </c>
      <c r="H667" s="15" t="s">
        <v>748</v>
      </c>
      <c r="I667" s="23">
        <v>115050</v>
      </c>
    </row>
    <row r="668" spans="1:9" s="17" customFormat="1" x14ac:dyDescent="0.25">
      <c r="A668" s="14">
        <v>46173</v>
      </c>
      <c r="B668" s="15" t="s">
        <v>922</v>
      </c>
      <c r="C668" s="15" t="s">
        <v>124</v>
      </c>
      <c r="D668" s="15" t="s">
        <v>232</v>
      </c>
      <c r="E668" s="16">
        <v>10000</v>
      </c>
      <c r="F668" s="16">
        <v>10000</v>
      </c>
      <c r="G668" s="15">
        <v>30</v>
      </c>
      <c r="H668" s="15" t="s">
        <v>748</v>
      </c>
      <c r="I668" s="23">
        <v>10000</v>
      </c>
    </row>
    <row r="669" spans="1:9" s="17" customFormat="1" x14ac:dyDescent="0.25">
      <c r="A669" s="14">
        <v>46173</v>
      </c>
      <c r="B669" s="15" t="s">
        <v>921</v>
      </c>
      <c r="C669" s="15" t="s">
        <v>124</v>
      </c>
      <c r="D669" s="15" t="s">
        <v>335</v>
      </c>
      <c r="E669" s="16">
        <v>34650</v>
      </c>
      <c r="F669" s="16">
        <v>69340</v>
      </c>
      <c r="G669" s="15">
        <v>30</v>
      </c>
      <c r="H669" s="15" t="s">
        <v>748</v>
      </c>
      <c r="I669" s="23">
        <v>69340</v>
      </c>
    </row>
    <row r="670" spans="1:9" s="17" customFormat="1" x14ac:dyDescent="0.25">
      <c r="A670" s="14">
        <v>46173</v>
      </c>
      <c r="B670" s="15" t="s">
        <v>923</v>
      </c>
      <c r="C670" s="15" t="s">
        <v>128</v>
      </c>
      <c r="D670" s="15" t="s">
        <v>347</v>
      </c>
      <c r="E670" s="16">
        <v>55841</v>
      </c>
      <c r="F670" s="16">
        <v>55841</v>
      </c>
      <c r="G670" s="15">
        <v>30</v>
      </c>
      <c r="H670" s="15" t="s">
        <v>748</v>
      </c>
      <c r="I670" s="23">
        <v>55841</v>
      </c>
    </row>
    <row r="671" spans="1:9" s="17" customFormat="1" x14ac:dyDescent="0.25">
      <c r="A671" s="14">
        <v>46173</v>
      </c>
      <c r="B671" s="15" t="s">
        <v>924</v>
      </c>
      <c r="C671" s="15" t="s">
        <v>128</v>
      </c>
      <c r="D671" s="15" t="s">
        <v>531</v>
      </c>
      <c r="E671" s="16">
        <v>47810</v>
      </c>
      <c r="F671" s="16">
        <v>47810</v>
      </c>
      <c r="G671" s="15">
        <v>30</v>
      </c>
      <c r="H671" s="15" t="s">
        <v>748</v>
      </c>
      <c r="I671" s="23">
        <v>47810</v>
      </c>
    </row>
    <row r="672" spans="1:9" s="17" customFormat="1" x14ac:dyDescent="0.25">
      <c r="A672" s="14">
        <v>46173</v>
      </c>
      <c r="B672" s="15" t="s">
        <v>925</v>
      </c>
      <c r="C672" s="15" t="s">
        <v>128</v>
      </c>
      <c r="D672" s="15" t="s">
        <v>531</v>
      </c>
      <c r="E672" s="16">
        <v>12489</v>
      </c>
      <c r="F672" s="16">
        <v>12489</v>
      </c>
      <c r="G672" s="15">
        <v>30</v>
      </c>
      <c r="H672" s="15" t="s">
        <v>748</v>
      </c>
      <c r="I672" s="23">
        <v>12489</v>
      </c>
    </row>
    <row r="673" spans="1:9" s="17" customFormat="1" x14ac:dyDescent="0.25">
      <c r="A673" s="14">
        <v>46173</v>
      </c>
      <c r="B673" s="15" t="s">
        <v>926</v>
      </c>
      <c r="C673" s="15" t="s">
        <v>128</v>
      </c>
      <c r="D673" s="15" t="s">
        <v>280</v>
      </c>
      <c r="E673" s="16">
        <v>88902.080000000002</v>
      </c>
      <c r="F673" s="16">
        <v>88902.080000000002</v>
      </c>
      <c r="G673" s="15">
        <v>30</v>
      </c>
      <c r="H673" s="15" t="s">
        <v>748</v>
      </c>
      <c r="I673" s="23">
        <v>88902.080000000002</v>
      </c>
    </row>
    <row r="674" spans="1:9" s="17" customFormat="1" x14ac:dyDescent="0.25">
      <c r="A674" s="14">
        <v>46173</v>
      </c>
      <c r="B674" s="15" t="s">
        <v>927</v>
      </c>
      <c r="C674" s="15" t="s">
        <v>128</v>
      </c>
      <c r="D674" s="15" t="s">
        <v>280</v>
      </c>
      <c r="E674" s="16">
        <v>98906.44</v>
      </c>
      <c r="F674" s="16">
        <v>98906.44</v>
      </c>
      <c r="G674" s="15">
        <v>30</v>
      </c>
      <c r="H674" s="15" t="s">
        <v>748</v>
      </c>
      <c r="I674" s="23">
        <v>98906.44</v>
      </c>
    </row>
    <row r="675" spans="1:9" s="17" customFormat="1" x14ac:dyDescent="0.25">
      <c r="A675" s="14">
        <v>46173</v>
      </c>
      <c r="B675" s="15" t="s">
        <v>928</v>
      </c>
      <c r="C675" s="15" t="s">
        <v>128</v>
      </c>
      <c r="D675" s="15" t="s">
        <v>280</v>
      </c>
      <c r="E675" s="16">
        <v>12027</v>
      </c>
      <c r="F675" s="16">
        <v>12027</v>
      </c>
      <c r="G675" s="15">
        <v>30</v>
      </c>
      <c r="H675" s="15" t="s">
        <v>748</v>
      </c>
      <c r="I675" s="23">
        <v>12027</v>
      </c>
    </row>
    <row r="676" spans="1:9" s="17" customFormat="1" x14ac:dyDescent="0.25">
      <c r="A676" s="14">
        <v>46173</v>
      </c>
      <c r="B676" s="15" t="s">
        <v>929</v>
      </c>
      <c r="C676" s="15" t="s">
        <v>139</v>
      </c>
      <c r="D676" s="15" t="s">
        <v>280</v>
      </c>
      <c r="E676" s="16">
        <v>37066</v>
      </c>
      <c r="F676" s="16">
        <v>1000</v>
      </c>
      <c r="G676" s="15">
        <v>30</v>
      </c>
      <c r="H676" s="15" t="s">
        <v>748</v>
      </c>
      <c r="I676" s="23">
        <v>1000</v>
      </c>
    </row>
    <row r="677" spans="1:9" s="17" customFormat="1" x14ac:dyDescent="0.25">
      <c r="A677" s="14">
        <v>46173</v>
      </c>
      <c r="B677" s="15" t="s">
        <v>930</v>
      </c>
      <c r="C677" s="15" t="s">
        <v>140</v>
      </c>
      <c r="D677" s="15" t="s">
        <v>531</v>
      </c>
      <c r="E677" s="16">
        <v>21406</v>
      </c>
      <c r="F677" s="16">
        <v>21406</v>
      </c>
      <c r="G677" s="15">
        <v>30</v>
      </c>
      <c r="H677" s="15" t="s">
        <v>748</v>
      </c>
      <c r="I677" s="23">
        <v>21406</v>
      </c>
    </row>
    <row r="678" spans="1:9" s="17" customFormat="1" x14ac:dyDescent="0.25">
      <c r="A678" s="14">
        <v>46173</v>
      </c>
      <c r="B678" s="15" t="s">
        <v>931</v>
      </c>
      <c r="C678" s="15" t="s">
        <v>146</v>
      </c>
      <c r="D678" s="15" t="s">
        <v>317</v>
      </c>
      <c r="E678" s="16">
        <v>209623.42</v>
      </c>
      <c r="F678" s="16">
        <v>209623.42</v>
      </c>
      <c r="G678" s="15">
        <v>30</v>
      </c>
      <c r="H678" s="15" t="s">
        <v>748</v>
      </c>
      <c r="I678" s="23">
        <v>209623.42</v>
      </c>
    </row>
    <row r="679" spans="1:9" s="17" customFormat="1" x14ac:dyDescent="0.25">
      <c r="A679" s="14">
        <v>46173</v>
      </c>
      <c r="B679" s="15" t="s">
        <v>932</v>
      </c>
      <c r="C679" s="15" t="s">
        <v>147</v>
      </c>
      <c r="D679" s="15" t="s">
        <v>335</v>
      </c>
      <c r="E679" s="16">
        <v>264316</v>
      </c>
      <c r="F679" s="16">
        <v>75203</v>
      </c>
      <c r="G679" s="15">
        <v>30</v>
      </c>
      <c r="H679" s="15" t="s">
        <v>748</v>
      </c>
      <c r="I679" s="23">
        <v>75203</v>
      </c>
    </row>
    <row r="680" spans="1:9" s="17" customFormat="1" x14ac:dyDescent="0.25">
      <c r="A680" s="14">
        <v>46173</v>
      </c>
      <c r="B680" s="15" t="s">
        <v>933</v>
      </c>
      <c r="C680" s="15" t="s">
        <v>147</v>
      </c>
      <c r="D680" s="15" t="s">
        <v>335</v>
      </c>
      <c r="E680" s="16">
        <v>22680</v>
      </c>
      <c r="F680" s="16">
        <v>22680</v>
      </c>
      <c r="G680" s="15">
        <v>30</v>
      </c>
      <c r="H680" s="15" t="s">
        <v>748</v>
      </c>
      <c r="I680" s="23">
        <v>22680</v>
      </c>
    </row>
    <row r="681" spans="1:9" s="17" customFormat="1" x14ac:dyDescent="0.25">
      <c r="A681" s="14">
        <v>46173</v>
      </c>
      <c r="B681" s="15" t="s">
        <v>934</v>
      </c>
      <c r="C681" s="15" t="s">
        <v>147</v>
      </c>
      <c r="D681" s="15" t="s">
        <v>335</v>
      </c>
      <c r="E681" s="16">
        <v>470229.6</v>
      </c>
      <c r="F681" s="16">
        <v>470229.6</v>
      </c>
      <c r="G681" s="15">
        <v>30</v>
      </c>
      <c r="H681" s="15" t="s">
        <v>748</v>
      </c>
      <c r="I681" s="23">
        <v>470229.6</v>
      </c>
    </row>
    <row r="682" spans="1:9" s="17" customFormat="1" x14ac:dyDescent="0.25">
      <c r="A682" s="14">
        <v>46173</v>
      </c>
      <c r="B682" s="15" t="s">
        <v>935</v>
      </c>
      <c r="C682" s="15" t="s">
        <v>151</v>
      </c>
      <c r="D682" s="15" t="s">
        <v>284</v>
      </c>
      <c r="E682" s="16">
        <v>156825</v>
      </c>
      <c r="F682" s="16">
        <v>156825</v>
      </c>
      <c r="G682" s="15">
        <v>30</v>
      </c>
      <c r="H682" s="15" t="s">
        <v>748</v>
      </c>
      <c r="I682" s="23">
        <v>156825</v>
      </c>
    </row>
    <row r="683" spans="1:9" s="17" customFormat="1" x14ac:dyDescent="0.25">
      <c r="A683" s="14">
        <v>46173</v>
      </c>
      <c r="B683" s="15" t="s">
        <v>936</v>
      </c>
      <c r="C683" s="15" t="s">
        <v>151</v>
      </c>
      <c r="D683" s="15" t="s">
        <v>284</v>
      </c>
      <c r="E683" s="16">
        <v>196031.76</v>
      </c>
      <c r="F683" s="16">
        <v>196031.76</v>
      </c>
      <c r="G683" s="15">
        <v>30</v>
      </c>
      <c r="H683" s="15" t="s">
        <v>748</v>
      </c>
      <c r="I683" s="23">
        <v>196031.76</v>
      </c>
    </row>
    <row r="684" spans="1:9" s="17" customFormat="1" x14ac:dyDescent="0.25">
      <c r="A684" s="14">
        <v>46173</v>
      </c>
      <c r="B684" s="15" t="s">
        <v>937</v>
      </c>
      <c r="C684" s="15" t="s">
        <v>153</v>
      </c>
      <c r="D684" s="15" t="s">
        <v>531</v>
      </c>
      <c r="E684" s="16">
        <v>563934</v>
      </c>
      <c r="F684" s="16">
        <v>425594.04</v>
      </c>
      <c r="G684" s="15">
        <v>30</v>
      </c>
      <c r="H684" s="15" t="s">
        <v>748</v>
      </c>
      <c r="I684" s="23">
        <v>425594.04</v>
      </c>
    </row>
    <row r="685" spans="1:9" s="17" customFormat="1" x14ac:dyDescent="0.25">
      <c r="A685" s="14">
        <v>46173</v>
      </c>
      <c r="B685" s="15" t="s">
        <v>938</v>
      </c>
      <c r="C685" s="15" t="s">
        <v>154</v>
      </c>
      <c r="D685" s="15" t="s">
        <v>531</v>
      </c>
      <c r="E685" s="16">
        <v>24759</v>
      </c>
      <c r="F685" s="16">
        <v>24759</v>
      </c>
      <c r="G685" s="15">
        <v>30</v>
      </c>
      <c r="H685" s="15" t="s">
        <v>748</v>
      </c>
      <c r="I685" s="23">
        <v>24759</v>
      </c>
    </row>
    <row r="686" spans="1:9" s="17" customFormat="1" x14ac:dyDescent="0.25">
      <c r="A686" s="14">
        <v>46173</v>
      </c>
      <c r="B686" s="15" t="s">
        <v>939</v>
      </c>
      <c r="C686" s="15" t="s">
        <v>161</v>
      </c>
      <c r="D686" s="15" t="s">
        <v>332</v>
      </c>
      <c r="E686" s="16">
        <v>83859.31</v>
      </c>
      <c r="F686" s="16">
        <v>83859.31</v>
      </c>
      <c r="G686" s="15">
        <v>30</v>
      </c>
      <c r="H686" s="15" t="s">
        <v>748</v>
      </c>
      <c r="I686" s="23">
        <v>83859.31</v>
      </c>
    </row>
    <row r="687" spans="1:9" s="17" customFormat="1" x14ac:dyDescent="0.25">
      <c r="A687" s="14">
        <v>46173</v>
      </c>
      <c r="B687" s="15" t="s">
        <v>940</v>
      </c>
      <c r="C687" s="15" t="s">
        <v>161</v>
      </c>
      <c r="D687" s="15" t="s">
        <v>332</v>
      </c>
      <c r="E687" s="16">
        <v>262260.87</v>
      </c>
      <c r="F687" s="16">
        <v>262260.87</v>
      </c>
      <c r="G687" s="15">
        <v>30</v>
      </c>
      <c r="H687" s="15" t="s">
        <v>748</v>
      </c>
      <c r="I687" s="23">
        <v>262260.87</v>
      </c>
    </row>
    <row r="688" spans="1:9" s="17" customFormat="1" x14ac:dyDescent="0.25">
      <c r="A688" s="14">
        <v>46173</v>
      </c>
      <c r="B688" s="15" t="s">
        <v>941</v>
      </c>
      <c r="C688" s="15" t="s">
        <v>164</v>
      </c>
      <c r="D688" s="15" t="s">
        <v>321</v>
      </c>
      <c r="E688" s="16">
        <v>461500</v>
      </c>
      <c r="F688" s="16">
        <v>452270</v>
      </c>
      <c r="G688" s="15">
        <v>30</v>
      </c>
      <c r="H688" s="15" t="s">
        <v>748</v>
      </c>
      <c r="I688" s="23">
        <v>452270</v>
      </c>
    </row>
    <row r="689" spans="1:9" s="17" customFormat="1" x14ac:dyDescent="0.25">
      <c r="A689" s="14">
        <v>46173</v>
      </c>
      <c r="B689" s="15" t="s">
        <v>942</v>
      </c>
      <c r="C689" s="15" t="s">
        <v>164</v>
      </c>
      <c r="D689" s="15" t="s">
        <v>321</v>
      </c>
      <c r="E689" s="16">
        <v>16000</v>
      </c>
      <c r="F689" s="16">
        <v>15680</v>
      </c>
      <c r="G689" s="15">
        <v>30</v>
      </c>
      <c r="H689" s="15" t="s">
        <v>748</v>
      </c>
      <c r="I689" s="23">
        <v>15680</v>
      </c>
    </row>
    <row r="690" spans="1:9" s="17" customFormat="1" x14ac:dyDescent="0.25">
      <c r="A690" s="14">
        <v>46173</v>
      </c>
      <c r="B690" s="15" t="s">
        <v>943</v>
      </c>
      <c r="C690" s="15" t="s">
        <v>164</v>
      </c>
      <c r="D690" s="15" t="s">
        <v>280</v>
      </c>
      <c r="E690" s="16">
        <v>105000</v>
      </c>
      <c r="F690" s="16">
        <v>102900</v>
      </c>
      <c r="G690" s="15">
        <v>30</v>
      </c>
      <c r="H690" s="15" t="s">
        <v>748</v>
      </c>
      <c r="I690" s="23">
        <v>102900</v>
      </c>
    </row>
    <row r="691" spans="1:9" s="17" customFormat="1" x14ac:dyDescent="0.25">
      <c r="A691" s="14">
        <v>46173</v>
      </c>
      <c r="B691" s="15" t="s">
        <v>944</v>
      </c>
      <c r="C691" s="15" t="s">
        <v>164</v>
      </c>
      <c r="D691" s="15" t="s">
        <v>280</v>
      </c>
      <c r="E691" s="16">
        <v>92610</v>
      </c>
      <c r="F691" s="16">
        <v>92610</v>
      </c>
      <c r="G691" s="15">
        <v>30</v>
      </c>
      <c r="H691" s="15" t="s">
        <v>748</v>
      </c>
      <c r="I691" s="23">
        <v>92610</v>
      </c>
    </row>
    <row r="692" spans="1:9" s="17" customFormat="1" x14ac:dyDescent="0.25">
      <c r="A692" s="14">
        <v>46173</v>
      </c>
      <c r="B692" s="15" t="s">
        <v>945</v>
      </c>
      <c r="C692" s="15" t="s">
        <v>164</v>
      </c>
      <c r="D692" s="15" t="s">
        <v>280</v>
      </c>
      <c r="E692" s="16">
        <v>14602</v>
      </c>
      <c r="F692" s="16">
        <v>14602</v>
      </c>
      <c r="G692" s="15">
        <v>30</v>
      </c>
      <c r="H692" s="15" t="s">
        <v>748</v>
      </c>
      <c r="I692" s="23">
        <v>14602</v>
      </c>
    </row>
    <row r="693" spans="1:9" s="17" customFormat="1" x14ac:dyDescent="0.25">
      <c r="A693" s="14">
        <v>46173</v>
      </c>
      <c r="B693" s="15" t="s">
        <v>946</v>
      </c>
      <c r="C693" s="15" t="s">
        <v>173</v>
      </c>
      <c r="D693" s="15" t="s">
        <v>531</v>
      </c>
      <c r="E693" s="16">
        <v>527240</v>
      </c>
      <c r="F693" s="16">
        <v>527240</v>
      </c>
      <c r="G693" s="15">
        <v>30</v>
      </c>
      <c r="H693" s="15" t="s">
        <v>748</v>
      </c>
      <c r="I693" s="23">
        <v>527240</v>
      </c>
    </row>
    <row r="694" spans="1:9" s="17" customFormat="1" x14ac:dyDescent="0.25">
      <c r="A694" s="14">
        <v>46173</v>
      </c>
      <c r="B694" s="15" t="s">
        <v>947</v>
      </c>
      <c r="C694" s="15" t="s">
        <v>176</v>
      </c>
      <c r="D694" s="15" t="s">
        <v>347</v>
      </c>
      <c r="E694" s="16">
        <v>145928</v>
      </c>
      <c r="F694" s="16">
        <v>145928</v>
      </c>
      <c r="G694" s="15">
        <v>30</v>
      </c>
      <c r="H694" s="15" t="s">
        <v>748</v>
      </c>
      <c r="I694" s="23">
        <v>145928</v>
      </c>
    </row>
    <row r="695" spans="1:9" s="17" customFormat="1" x14ac:dyDescent="0.25">
      <c r="A695" s="14">
        <v>46173</v>
      </c>
      <c r="B695" s="15" t="s">
        <v>950</v>
      </c>
      <c r="C695" s="15" t="s">
        <v>186</v>
      </c>
      <c r="D695" s="15" t="s">
        <v>306</v>
      </c>
      <c r="E695" s="16">
        <v>412960</v>
      </c>
      <c r="F695" s="16">
        <v>412960</v>
      </c>
      <c r="G695" s="15">
        <v>30</v>
      </c>
      <c r="H695" s="15" t="s">
        <v>748</v>
      </c>
      <c r="I695" s="23">
        <v>412960</v>
      </c>
    </row>
    <row r="696" spans="1:9" s="17" customFormat="1" x14ac:dyDescent="0.25">
      <c r="A696" s="14">
        <v>46173</v>
      </c>
      <c r="B696" s="15" t="s">
        <v>951</v>
      </c>
      <c r="C696" s="15" t="s">
        <v>188</v>
      </c>
      <c r="D696" s="15" t="s">
        <v>321</v>
      </c>
      <c r="E696" s="16">
        <v>169752</v>
      </c>
      <c r="F696" s="16">
        <v>169752</v>
      </c>
      <c r="G696" s="15">
        <v>30</v>
      </c>
      <c r="H696" s="15" t="s">
        <v>748</v>
      </c>
      <c r="I696" s="23">
        <v>169752</v>
      </c>
    </row>
    <row r="697" spans="1:9" s="17" customFormat="1" x14ac:dyDescent="0.25">
      <c r="A697" s="14">
        <v>46173</v>
      </c>
      <c r="B697" s="15" t="s">
        <v>952</v>
      </c>
      <c r="C697" s="15" t="s">
        <v>188</v>
      </c>
      <c r="D697" s="15" t="s">
        <v>321</v>
      </c>
      <c r="E697" s="16">
        <v>28674</v>
      </c>
      <c r="F697" s="16">
        <v>28674</v>
      </c>
      <c r="G697" s="15">
        <v>30</v>
      </c>
      <c r="H697" s="15" t="s">
        <v>748</v>
      </c>
      <c r="I697" s="23">
        <v>28674</v>
      </c>
    </row>
    <row r="698" spans="1:9" s="17" customFormat="1" x14ac:dyDescent="0.25">
      <c r="A698" s="14">
        <v>46173</v>
      </c>
      <c r="B698" s="15" t="s">
        <v>953</v>
      </c>
      <c r="C698" s="15" t="s">
        <v>190</v>
      </c>
      <c r="D698" s="15" t="s">
        <v>306</v>
      </c>
      <c r="E698" s="16">
        <v>645922.80000000005</v>
      </c>
      <c r="F698" s="16">
        <v>645922.80000000005</v>
      </c>
      <c r="G698" s="15">
        <v>30</v>
      </c>
      <c r="H698" s="15" t="s">
        <v>748</v>
      </c>
      <c r="I698" s="23">
        <v>645922.80000000005</v>
      </c>
    </row>
    <row r="699" spans="1:9" s="17" customFormat="1" x14ac:dyDescent="0.25">
      <c r="A699" s="14">
        <v>46173</v>
      </c>
      <c r="B699" s="15" t="s">
        <v>954</v>
      </c>
      <c r="C699" s="15" t="s">
        <v>198</v>
      </c>
      <c r="D699" s="15" t="s">
        <v>319</v>
      </c>
      <c r="E699" s="16">
        <v>94814.01</v>
      </c>
      <c r="F699" s="16">
        <v>94814.01</v>
      </c>
      <c r="G699" s="15">
        <v>30</v>
      </c>
      <c r="H699" s="15" t="s">
        <v>748</v>
      </c>
      <c r="I699" s="23">
        <v>94814.01</v>
      </c>
    </row>
    <row r="700" spans="1:9" s="17" customFormat="1" x14ac:dyDescent="0.25">
      <c r="A700" s="14">
        <v>46173</v>
      </c>
      <c r="B700" s="15" t="s">
        <v>1071</v>
      </c>
      <c r="C700" s="15" t="s">
        <v>202</v>
      </c>
      <c r="D700" s="15" t="s">
        <v>531</v>
      </c>
      <c r="E700" s="16">
        <v>679140</v>
      </c>
      <c r="F700" s="16">
        <v>679140</v>
      </c>
      <c r="G700" s="15">
        <v>30</v>
      </c>
      <c r="H700" s="15" t="s">
        <v>748</v>
      </c>
      <c r="I700" s="23">
        <v>679140</v>
      </c>
    </row>
    <row r="701" spans="1:9" s="17" customFormat="1" x14ac:dyDescent="0.25">
      <c r="A701" s="14">
        <v>46173</v>
      </c>
      <c r="B701" s="15" t="s">
        <v>955</v>
      </c>
      <c r="C701" s="15" t="s">
        <v>202</v>
      </c>
      <c r="D701" s="15" t="s">
        <v>531</v>
      </c>
      <c r="E701" s="16">
        <v>62720</v>
      </c>
      <c r="F701" s="16">
        <v>62720</v>
      </c>
      <c r="G701" s="15">
        <v>30</v>
      </c>
      <c r="H701" s="15" t="s">
        <v>748</v>
      </c>
      <c r="I701" s="23">
        <v>62720</v>
      </c>
    </row>
    <row r="702" spans="1:9" s="17" customFormat="1" x14ac:dyDescent="0.25">
      <c r="A702" s="14">
        <v>46173</v>
      </c>
      <c r="B702" s="15" t="s">
        <v>956</v>
      </c>
      <c r="C702" s="15" t="s">
        <v>202</v>
      </c>
      <c r="D702" s="15" t="s">
        <v>531</v>
      </c>
      <c r="E702" s="16">
        <v>227089.52</v>
      </c>
      <c r="F702" s="16">
        <v>227089.52</v>
      </c>
      <c r="G702" s="15">
        <v>30</v>
      </c>
      <c r="H702" s="15" t="s">
        <v>748</v>
      </c>
      <c r="I702" s="23">
        <v>227089.52</v>
      </c>
    </row>
    <row r="703" spans="1:9" s="17" customFormat="1" x14ac:dyDescent="0.25">
      <c r="A703" s="14">
        <v>46173</v>
      </c>
      <c r="B703" s="15" t="s">
        <v>957</v>
      </c>
      <c r="C703" s="15" t="s">
        <v>202</v>
      </c>
      <c r="D703" s="15" t="s">
        <v>531</v>
      </c>
      <c r="E703" s="16">
        <v>279300</v>
      </c>
      <c r="F703" s="16">
        <v>279300</v>
      </c>
      <c r="G703" s="15">
        <v>30</v>
      </c>
      <c r="H703" s="15" t="s">
        <v>748</v>
      </c>
      <c r="I703" s="23">
        <v>279300</v>
      </c>
    </row>
    <row r="704" spans="1:9" s="17" customFormat="1" x14ac:dyDescent="0.25">
      <c r="A704" s="14">
        <v>46173</v>
      </c>
      <c r="B704" s="15" t="s">
        <v>958</v>
      </c>
      <c r="C704" s="15" t="s">
        <v>211</v>
      </c>
      <c r="D704" s="15" t="s">
        <v>335</v>
      </c>
      <c r="E704" s="16">
        <v>373946</v>
      </c>
      <c r="F704" s="16">
        <v>0.89</v>
      </c>
      <c r="G704" s="15">
        <v>30</v>
      </c>
      <c r="H704" s="15" t="s">
        <v>748</v>
      </c>
      <c r="I704" s="23">
        <v>0.89</v>
      </c>
    </row>
    <row r="705" spans="1:9" s="17" customFormat="1" x14ac:dyDescent="0.25">
      <c r="A705" s="14">
        <v>46173</v>
      </c>
      <c r="B705" s="15" t="s">
        <v>528</v>
      </c>
      <c r="C705" s="15" t="s">
        <v>213</v>
      </c>
      <c r="D705" s="15" t="s">
        <v>280</v>
      </c>
      <c r="E705" s="16">
        <v>4667</v>
      </c>
      <c r="F705" s="16">
        <v>3606</v>
      </c>
      <c r="G705" s="15">
        <v>30</v>
      </c>
      <c r="H705" s="15" t="s">
        <v>748</v>
      </c>
      <c r="I705" s="23">
        <v>3606</v>
      </c>
    </row>
    <row r="706" spans="1:9" s="17" customFormat="1" x14ac:dyDescent="0.25">
      <c r="A706" s="14">
        <v>46173</v>
      </c>
      <c r="B706" s="15" t="s">
        <v>959</v>
      </c>
      <c r="C706" s="15" t="s">
        <v>216</v>
      </c>
      <c r="D706" s="15" t="s">
        <v>306</v>
      </c>
      <c r="E706" s="16">
        <v>33000</v>
      </c>
      <c r="F706" s="16">
        <v>32340</v>
      </c>
      <c r="G706" s="15">
        <v>30</v>
      </c>
      <c r="H706" s="15" t="s">
        <v>748</v>
      </c>
      <c r="I706" s="23">
        <v>32340</v>
      </c>
    </row>
    <row r="707" spans="1:9" s="17" customFormat="1" x14ac:dyDescent="0.25">
      <c r="A707" s="14">
        <v>46173</v>
      </c>
      <c r="B707" s="15" t="s">
        <v>960</v>
      </c>
      <c r="C707" s="15" t="s">
        <v>216</v>
      </c>
      <c r="D707" s="15" t="s">
        <v>306</v>
      </c>
      <c r="E707" s="16">
        <v>62125</v>
      </c>
      <c r="F707" s="16">
        <v>60882.5</v>
      </c>
      <c r="G707" s="15">
        <v>30</v>
      </c>
      <c r="H707" s="15" t="s">
        <v>748</v>
      </c>
      <c r="I707" s="23">
        <v>60882.5</v>
      </c>
    </row>
    <row r="708" spans="1:9" s="17" customFormat="1" x14ac:dyDescent="0.25">
      <c r="A708" s="14">
        <v>46174</v>
      </c>
      <c r="B708" s="15" t="s">
        <v>1072</v>
      </c>
      <c r="C708" s="15" t="s">
        <v>26</v>
      </c>
      <c r="D708" s="15" t="s">
        <v>347</v>
      </c>
      <c r="E708" s="16">
        <v>23936.2</v>
      </c>
      <c r="F708" s="16">
        <v>23936.2</v>
      </c>
      <c r="G708" s="15">
        <v>29</v>
      </c>
      <c r="H708" s="15" t="s">
        <v>748</v>
      </c>
      <c r="I708" s="23">
        <v>23936.2</v>
      </c>
    </row>
    <row r="709" spans="1:9" s="17" customFormat="1" x14ac:dyDescent="0.25">
      <c r="A709" s="14">
        <v>46174</v>
      </c>
      <c r="B709" s="15" t="s">
        <v>1073</v>
      </c>
      <c r="C709" s="15" t="s">
        <v>1042</v>
      </c>
      <c r="D709" s="15" t="s">
        <v>335</v>
      </c>
      <c r="E709" s="16">
        <v>9150</v>
      </c>
      <c r="F709" s="16">
        <v>9150</v>
      </c>
      <c r="G709" s="15">
        <v>29</v>
      </c>
      <c r="H709" s="15" t="s">
        <v>748</v>
      </c>
      <c r="I709" s="23">
        <v>9150</v>
      </c>
    </row>
    <row r="710" spans="1:9" s="17" customFormat="1" x14ac:dyDescent="0.25">
      <c r="A710" s="14">
        <v>46174</v>
      </c>
      <c r="B710" s="15" t="s">
        <v>1074</v>
      </c>
      <c r="C710" s="15" t="s">
        <v>1023</v>
      </c>
      <c r="D710" s="15" t="s">
        <v>312</v>
      </c>
      <c r="E710" s="16">
        <v>18951.48</v>
      </c>
      <c r="F710" s="16">
        <v>18951.48</v>
      </c>
      <c r="G710" s="15">
        <v>29</v>
      </c>
      <c r="H710" s="15" t="s">
        <v>748</v>
      </c>
      <c r="I710" s="23">
        <v>-18951.48</v>
      </c>
    </row>
    <row r="711" spans="1:9" s="17" customFormat="1" x14ac:dyDescent="0.25">
      <c r="A711" s="14">
        <v>46174</v>
      </c>
      <c r="B711" s="15" t="s">
        <v>1075</v>
      </c>
      <c r="C711" s="15" t="s">
        <v>1023</v>
      </c>
      <c r="D711" s="15" t="s">
        <v>312</v>
      </c>
      <c r="E711" s="16">
        <v>10718.46</v>
      </c>
      <c r="F711" s="16">
        <v>10718.46</v>
      </c>
      <c r="G711" s="15">
        <v>29</v>
      </c>
      <c r="H711" s="15" t="s">
        <v>748</v>
      </c>
      <c r="I711" s="23">
        <v>-10718.46</v>
      </c>
    </row>
    <row r="712" spans="1:9" s="17" customFormat="1" x14ac:dyDescent="0.25">
      <c r="A712" s="14">
        <v>46174</v>
      </c>
      <c r="B712" s="15" t="s">
        <v>1076</v>
      </c>
      <c r="C712" s="15" t="s">
        <v>69</v>
      </c>
      <c r="D712" s="15" t="s">
        <v>306</v>
      </c>
      <c r="E712" s="16">
        <v>56262.34</v>
      </c>
      <c r="F712" s="16">
        <v>56262.34</v>
      </c>
      <c r="G712" s="15">
        <v>29</v>
      </c>
      <c r="H712" s="15" t="s">
        <v>748</v>
      </c>
      <c r="I712" s="23">
        <v>56262.34</v>
      </c>
    </row>
    <row r="713" spans="1:9" s="17" customFormat="1" x14ac:dyDescent="0.25">
      <c r="A713" s="14">
        <v>46174</v>
      </c>
      <c r="B713" s="15" t="s">
        <v>1077</v>
      </c>
      <c r="C713" s="15" t="s">
        <v>69</v>
      </c>
      <c r="D713" s="15" t="s">
        <v>306</v>
      </c>
      <c r="E713" s="16">
        <v>56262.34</v>
      </c>
      <c r="F713" s="16">
        <v>56262.34</v>
      </c>
      <c r="G713" s="15">
        <v>29</v>
      </c>
      <c r="H713" s="15" t="s">
        <v>748</v>
      </c>
      <c r="I713" s="23">
        <v>56262.34</v>
      </c>
    </row>
    <row r="714" spans="1:9" s="17" customFormat="1" x14ac:dyDescent="0.25">
      <c r="A714" s="14">
        <v>46174</v>
      </c>
      <c r="B714" s="15" t="s">
        <v>1078</v>
      </c>
      <c r="C714" s="15" t="s">
        <v>78</v>
      </c>
      <c r="D714" s="15" t="s">
        <v>347</v>
      </c>
      <c r="E714" s="16">
        <v>159054.56</v>
      </c>
      <c r="F714" s="16">
        <v>159054.56</v>
      </c>
      <c r="G714" s="15">
        <v>29</v>
      </c>
      <c r="H714" s="15" t="s">
        <v>748</v>
      </c>
      <c r="I714" s="23">
        <v>159054.56</v>
      </c>
    </row>
    <row r="715" spans="1:9" s="17" customFormat="1" x14ac:dyDescent="0.25">
      <c r="A715" s="14">
        <v>46174</v>
      </c>
      <c r="B715" s="15" t="s">
        <v>1079</v>
      </c>
      <c r="C715" s="15" t="s">
        <v>99</v>
      </c>
      <c r="D715" s="15" t="s">
        <v>306</v>
      </c>
      <c r="E715" s="16">
        <v>413467.96</v>
      </c>
      <c r="F715" s="16">
        <v>413467.96</v>
      </c>
      <c r="G715" s="15">
        <v>29</v>
      </c>
      <c r="H715" s="15" t="s">
        <v>748</v>
      </c>
      <c r="I715" s="23">
        <v>413467.96</v>
      </c>
    </row>
    <row r="716" spans="1:9" s="17" customFormat="1" x14ac:dyDescent="0.25">
      <c r="A716" s="14">
        <v>46174</v>
      </c>
      <c r="B716" s="15" t="s">
        <v>1080</v>
      </c>
      <c r="C716" s="15" t="s">
        <v>1029</v>
      </c>
      <c r="D716" s="15" t="s">
        <v>312</v>
      </c>
      <c r="E716" s="16">
        <v>6891.58</v>
      </c>
      <c r="F716" s="16">
        <v>6891.58</v>
      </c>
      <c r="G716" s="15">
        <v>29</v>
      </c>
      <c r="H716" s="15" t="s">
        <v>748</v>
      </c>
      <c r="I716" s="23">
        <v>-6891.58</v>
      </c>
    </row>
    <row r="717" spans="1:9" s="17" customFormat="1" x14ac:dyDescent="0.25">
      <c r="A717" s="14">
        <v>46174</v>
      </c>
      <c r="B717" s="15" t="s">
        <v>1081</v>
      </c>
      <c r="C717" s="15" t="s">
        <v>114</v>
      </c>
      <c r="D717" s="15" t="s">
        <v>531</v>
      </c>
      <c r="E717" s="16">
        <v>53080.800000000003</v>
      </c>
      <c r="F717" s="16">
        <v>53080.800000000003</v>
      </c>
      <c r="G717" s="15">
        <v>29</v>
      </c>
      <c r="H717" s="15" t="s">
        <v>748</v>
      </c>
      <c r="I717" s="23">
        <v>53080.800000000003</v>
      </c>
    </row>
    <row r="718" spans="1:9" s="17" customFormat="1" x14ac:dyDescent="0.25">
      <c r="A718" s="14">
        <v>46174</v>
      </c>
      <c r="B718" s="15" t="s">
        <v>1082</v>
      </c>
      <c r="C718" s="15" t="s">
        <v>114</v>
      </c>
      <c r="D718" s="15" t="s">
        <v>531</v>
      </c>
      <c r="E718" s="16">
        <v>57304</v>
      </c>
      <c r="F718" s="16">
        <v>57304</v>
      </c>
      <c r="G718" s="15">
        <v>29</v>
      </c>
      <c r="H718" s="15" t="s">
        <v>748</v>
      </c>
      <c r="I718" s="23">
        <v>57304</v>
      </c>
    </row>
    <row r="719" spans="1:9" s="17" customFormat="1" x14ac:dyDescent="0.25">
      <c r="A719" s="14">
        <v>46174</v>
      </c>
      <c r="B719" s="15" t="s">
        <v>1083</v>
      </c>
      <c r="C719" s="15" t="s">
        <v>114</v>
      </c>
      <c r="D719" s="15" t="s">
        <v>531</v>
      </c>
      <c r="E719" s="16">
        <v>60320</v>
      </c>
      <c r="F719" s="16">
        <v>60320</v>
      </c>
      <c r="G719" s="15">
        <v>29</v>
      </c>
      <c r="H719" s="15" t="s">
        <v>748</v>
      </c>
      <c r="I719" s="23">
        <v>60320</v>
      </c>
    </row>
    <row r="720" spans="1:9" s="17" customFormat="1" x14ac:dyDescent="0.25">
      <c r="A720" s="14">
        <v>46174</v>
      </c>
      <c r="B720" s="15" t="s">
        <v>1084</v>
      </c>
      <c r="C720" s="15" t="s">
        <v>1030</v>
      </c>
      <c r="D720" s="15" t="s">
        <v>312</v>
      </c>
      <c r="E720" s="16">
        <v>6048</v>
      </c>
      <c r="F720" s="16">
        <v>6048</v>
      </c>
      <c r="G720" s="15">
        <v>29</v>
      </c>
      <c r="H720" s="15" t="s">
        <v>748</v>
      </c>
      <c r="I720" s="23">
        <v>-6048</v>
      </c>
    </row>
    <row r="721" spans="1:9" s="17" customFormat="1" x14ac:dyDescent="0.25">
      <c r="A721" s="14">
        <v>46174</v>
      </c>
      <c r="B721" s="15" t="s">
        <v>1085</v>
      </c>
      <c r="C721" s="15" t="s">
        <v>132</v>
      </c>
      <c r="D721" s="15" t="s">
        <v>335</v>
      </c>
      <c r="E721" s="16">
        <v>421258</v>
      </c>
      <c r="F721" s="16">
        <v>421258</v>
      </c>
      <c r="G721" s="15">
        <v>29</v>
      </c>
      <c r="H721" s="15" t="s">
        <v>748</v>
      </c>
      <c r="I721" s="23">
        <v>421258</v>
      </c>
    </row>
    <row r="722" spans="1:9" s="17" customFormat="1" x14ac:dyDescent="0.25">
      <c r="A722" s="14">
        <v>46174</v>
      </c>
      <c r="B722" s="15" t="s">
        <v>1086</v>
      </c>
      <c r="C722" s="15" t="s">
        <v>132</v>
      </c>
      <c r="D722" s="15" t="s">
        <v>335</v>
      </c>
      <c r="E722" s="16">
        <v>74752</v>
      </c>
      <c r="F722" s="16">
        <v>74752</v>
      </c>
      <c r="G722" s="15">
        <v>29</v>
      </c>
      <c r="H722" s="15" t="s">
        <v>748</v>
      </c>
      <c r="I722" s="23">
        <v>74752</v>
      </c>
    </row>
    <row r="723" spans="1:9" s="17" customFormat="1" x14ac:dyDescent="0.25">
      <c r="A723" s="14">
        <v>46174</v>
      </c>
      <c r="B723" s="15" t="s">
        <v>1087</v>
      </c>
      <c r="C723" s="15" t="s">
        <v>144</v>
      </c>
      <c r="D723" s="15" t="s">
        <v>306</v>
      </c>
      <c r="E723" s="16">
        <v>9549.9</v>
      </c>
      <c r="F723" s="16">
        <v>9549.9</v>
      </c>
      <c r="G723" s="15">
        <v>29</v>
      </c>
      <c r="H723" s="15" t="s">
        <v>748</v>
      </c>
      <c r="I723" s="23">
        <v>9549.9</v>
      </c>
    </row>
    <row r="724" spans="1:9" s="17" customFormat="1" x14ac:dyDescent="0.25">
      <c r="A724" s="14">
        <v>46174</v>
      </c>
      <c r="B724" s="15" t="s">
        <v>1088</v>
      </c>
      <c r="C724" s="15" t="s">
        <v>144</v>
      </c>
      <c r="D724" s="15" t="s">
        <v>306</v>
      </c>
      <c r="E724" s="16">
        <v>21487.27</v>
      </c>
      <c r="F724" s="16">
        <v>21487.27</v>
      </c>
      <c r="G724" s="15">
        <v>29</v>
      </c>
      <c r="H724" s="15" t="s">
        <v>748</v>
      </c>
      <c r="I724" s="23">
        <v>21487.27</v>
      </c>
    </row>
    <row r="725" spans="1:9" s="17" customFormat="1" x14ac:dyDescent="0.25">
      <c r="A725" s="14">
        <v>46174</v>
      </c>
      <c r="B725" s="15" t="s">
        <v>1089</v>
      </c>
      <c r="C725" s="15" t="s">
        <v>144</v>
      </c>
      <c r="D725" s="15" t="s">
        <v>306</v>
      </c>
      <c r="E725" s="16">
        <v>9549.9</v>
      </c>
      <c r="F725" s="16">
        <v>9549.9</v>
      </c>
      <c r="G725" s="15">
        <v>29</v>
      </c>
      <c r="H725" s="15" t="s">
        <v>748</v>
      </c>
      <c r="I725" s="23">
        <v>9549.9</v>
      </c>
    </row>
    <row r="726" spans="1:9" s="17" customFormat="1" x14ac:dyDescent="0.25">
      <c r="A726" s="14">
        <v>46174</v>
      </c>
      <c r="B726" s="15" t="s">
        <v>1090</v>
      </c>
      <c r="C726" s="15" t="s">
        <v>144</v>
      </c>
      <c r="D726" s="15" t="s">
        <v>306</v>
      </c>
      <c r="E726" s="16">
        <v>11672.1</v>
      </c>
      <c r="F726" s="16">
        <v>11672.1</v>
      </c>
      <c r="G726" s="15">
        <v>29</v>
      </c>
      <c r="H726" s="15" t="s">
        <v>748</v>
      </c>
      <c r="I726" s="23">
        <v>11672.1</v>
      </c>
    </row>
    <row r="727" spans="1:9" s="17" customFormat="1" x14ac:dyDescent="0.25">
      <c r="A727" s="14">
        <v>46174</v>
      </c>
      <c r="B727" s="15" t="s">
        <v>1091</v>
      </c>
      <c r="C727" s="15" t="s">
        <v>1031</v>
      </c>
      <c r="D727" s="15" t="s">
        <v>312</v>
      </c>
      <c r="E727" s="16">
        <v>1852.02</v>
      </c>
      <c r="F727" s="16">
        <v>1852.02</v>
      </c>
      <c r="G727" s="15">
        <v>29</v>
      </c>
      <c r="H727" s="15" t="s">
        <v>748</v>
      </c>
      <c r="I727" s="23">
        <v>-1852.02</v>
      </c>
    </row>
    <row r="728" spans="1:9" s="17" customFormat="1" x14ac:dyDescent="0.25">
      <c r="A728" s="14">
        <v>46174</v>
      </c>
      <c r="B728" s="15" t="s">
        <v>1092</v>
      </c>
      <c r="C728" s="15" t="s">
        <v>162</v>
      </c>
      <c r="D728" s="15" t="s">
        <v>312</v>
      </c>
      <c r="E728" s="16">
        <v>54183.66</v>
      </c>
      <c r="F728" s="16">
        <v>54183.66</v>
      </c>
      <c r="G728" s="15">
        <v>29</v>
      </c>
      <c r="H728" s="15" t="s">
        <v>748</v>
      </c>
      <c r="I728" s="23">
        <v>-54183.66</v>
      </c>
    </row>
    <row r="729" spans="1:9" s="17" customFormat="1" x14ac:dyDescent="0.25">
      <c r="A729" s="14">
        <v>46174</v>
      </c>
      <c r="B729" s="15" t="s">
        <v>1093</v>
      </c>
      <c r="C729" s="15" t="s">
        <v>1032</v>
      </c>
      <c r="D729" s="15" t="s">
        <v>312</v>
      </c>
      <c r="E729" s="16">
        <v>1200</v>
      </c>
      <c r="F729" s="16">
        <v>1200</v>
      </c>
      <c r="G729" s="15">
        <v>29</v>
      </c>
      <c r="H729" s="15" t="s">
        <v>748</v>
      </c>
      <c r="I729" s="23">
        <v>-1200</v>
      </c>
    </row>
    <row r="730" spans="1:9" s="17" customFormat="1" x14ac:dyDescent="0.25">
      <c r="A730" s="14">
        <v>46174</v>
      </c>
      <c r="B730" s="15" t="s">
        <v>1094</v>
      </c>
      <c r="C730" s="15" t="s">
        <v>174</v>
      </c>
      <c r="D730" s="15" t="s">
        <v>319</v>
      </c>
      <c r="E730" s="16">
        <v>60900</v>
      </c>
      <c r="F730" s="16">
        <v>60900</v>
      </c>
      <c r="G730" s="15">
        <v>29</v>
      </c>
      <c r="H730" s="15" t="s">
        <v>748</v>
      </c>
      <c r="I730" s="23">
        <v>60900</v>
      </c>
    </row>
    <row r="731" spans="1:9" s="17" customFormat="1" x14ac:dyDescent="0.25">
      <c r="A731" s="14">
        <v>46174</v>
      </c>
      <c r="B731" s="15" t="s">
        <v>1095</v>
      </c>
      <c r="C731" s="15" t="s">
        <v>174</v>
      </c>
      <c r="D731" s="15" t="s">
        <v>319</v>
      </c>
      <c r="E731" s="16">
        <v>69020</v>
      </c>
      <c r="F731" s="16">
        <v>69020</v>
      </c>
      <c r="G731" s="15">
        <v>29</v>
      </c>
      <c r="H731" s="15" t="s">
        <v>748</v>
      </c>
      <c r="I731" s="23">
        <v>69020</v>
      </c>
    </row>
    <row r="732" spans="1:9" s="17" customFormat="1" x14ac:dyDescent="0.25">
      <c r="A732" s="14">
        <v>46174</v>
      </c>
      <c r="B732" s="15" t="s">
        <v>1096</v>
      </c>
      <c r="C732" s="15" t="s">
        <v>188</v>
      </c>
      <c r="D732" s="15" t="s">
        <v>321</v>
      </c>
      <c r="E732" s="16">
        <v>172046</v>
      </c>
      <c r="F732" s="16">
        <v>172046</v>
      </c>
      <c r="G732" s="15">
        <v>29</v>
      </c>
      <c r="H732" s="15" t="s">
        <v>748</v>
      </c>
      <c r="I732" s="23">
        <v>172046</v>
      </c>
    </row>
    <row r="733" spans="1:9" s="17" customFormat="1" x14ac:dyDescent="0.25">
      <c r="A733" s="14">
        <v>46174</v>
      </c>
      <c r="B733" s="15" t="s">
        <v>1097</v>
      </c>
      <c r="C733" s="15" t="s">
        <v>188</v>
      </c>
      <c r="D733" s="15" t="s">
        <v>321</v>
      </c>
      <c r="E733" s="16">
        <v>169752</v>
      </c>
      <c r="F733" s="16">
        <v>169752</v>
      </c>
      <c r="G733" s="15">
        <v>29</v>
      </c>
      <c r="H733" s="15" t="s">
        <v>748</v>
      </c>
      <c r="I733" s="23">
        <v>169752</v>
      </c>
    </row>
    <row r="734" spans="1:9" s="17" customFormat="1" x14ac:dyDescent="0.25">
      <c r="A734" s="14">
        <v>46175</v>
      </c>
      <c r="B734" s="15" t="s">
        <v>1098</v>
      </c>
      <c r="C734" s="15" t="s">
        <v>13</v>
      </c>
      <c r="D734" s="15" t="s">
        <v>321</v>
      </c>
      <c r="E734" s="16">
        <v>120950</v>
      </c>
      <c r="F734" s="16">
        <v>120950</v>
      </c>
      <c r="G734" s="15">
        <v>28</v>
      </c>
      <c r="H734" s="15" t="s">
        <v>748</v>
      </c>
      <c r="I734" s="23">
        <v>120950</v>
      </c>
    </row>
    <row r="735" spans="1:9" s="17" customFormat="1" x14ac:dyDescent="0.25">
      <c r="A735" s="14">
        <v>46175</v>
      </c>
      <c r="B735" s="15" t="s">
        <v>1099</v>
      </c>
      <c r="C735" s="15" t="s">
        <v>22</v>
      </c>
      <c r="D735" s="15" t="s">
        <v>332</v>
      </c>
      <c r="E735" s="16">
        <v>183305.93</v>
      </c>
      <c r="F735" s="16">
        <v>183305.93</v>
      </c>
      <c r="G735" s="15">
        <v>28</v>
      </c>
      <c r="H735" s="15" t="s">
        <v>748</v>
      </c>
      <c r="I735" s="23">
        <v>183305.93</v>
      </c>
    </row>
    <row r="736" spans="1:9" s="17" customFormat="1" x14ac:dyDescent="0.25">
      <c r="A736" s="14">
        <v>46175</v>
      </c>
      <c r="B736" s="15" t="s">
        <v>1100</v>
      </c>
      <c r="C736" s="15" t="s">
        <v>22</v>
      </c>
      <c r="D736" s="15" t="s">
        <v>332</v>
      </c>
      <c r="E736" s="16">
        <v>57090.93</v>
      </c>
      <c r="F736" s="16">
        <v>57090.93</v>
      </c>
      <c r="G736" s="15">
        <v>28</v>
      </c>
      <c r="H736" s="15" t="s">
        <v>748</v>
      </c>
      <c r="I736" s="23">
        <v>57090.93</v>
      </c>
    </row>
    <row r="737" spans="1:9" s="17" customFormat="1" x14ac:dyDescent="0.25">
      <c r="A737" s="14">
        <v>46175</v>
      </c>
      <c r="B737" s="15" t="s">
        <v>1101</v>
      </c>
      <c r="C737" s="15" t="s">
        <v>32</v>
      </c>
      <c r="D737" s="15" t="s">
        <v>319</v>
      </c>
      <c r="E737" s="16">
        <v>73080</v>
      </c>
      <c r="F737" s="16">
        <v>73080</v>
      </c>
      <c r="G737" s="15">
        <v>28</v>
      </c>
      <c r="H737" s="15" t="s">
        <v>748</v>
      </c>
      <c r="I737" s="23">
        <v>73080</v>
      </c>
    </row>
    <row r="738" spans="1:9" s="17" customFormat="1" x14ac:dyDescent="0.25">
      <c r="A738" s="14">
        <v>46175</v>
      </c>
      <c r="B738" s="15" t="s">
        <v>1102</v>
      </c>
      <c r="C738" s="15" t="s">
        <v>43</v>
      </c>
      <c r="D738" s="15" t="s">
        <v>321</v>
      </c>
      <c r="E738" s="16">
        <v>77924</v>
      </c>
      <c r="F738" s="16">
        <v>77924</v>
      </c>
      <c r="G738" s="15">
        <v>28</v>
      </c>
      <c r="H738" s="15" t="s">
        <v>748</v>
      </c>
      <c r="I738" s="23">
        <v>77924</v>
      </c>
    </row>
    <row r="739" spans="1:9" s="17" customFormat="1" x14ac:dyDescent="0.25">
      <c r="A739" s="14">
        <v>46175</v>
      </c>
      <c r="B739" s="15" t="s">
        <v>1103</v>
      </c>
      <c r="C739" s="15" t="s">
        <v>43</v>
      </c>
      <c r="D739" s="15" t="s">
        <v>321</v>
      </c>
      <c r="E739" s="16">
        <v>89623</v>
      </c>
      <c r="F739" s="16">
        <v>89623</v>
      </c>
      <c r="G739" s="15">
        <v>28</v>
      </c>
      <c r="H739" s="15" t="s">
        <v>748</v>
      </c>
      <c r="I739" s="23">
        <v>89623</v>
      </c>
    </row>
    <row r="740" spans="1:9" s="17" customFormat="1" x14ac:dyDescent="0.25">
      <c r="A740" s="14">
        <v>46175</v>
      </c>
      <c r="B740" s="15" t="s">
        <v>1104</v>
      </c>
      <c r="C740" s="15" t="s">
        <v>68</v>
      </c>
      <c r="D740" s="15" t="s">
        <v>321</v>
      </c>
      <c r="E740" s="16">
        <v>95816</v>
      </c>
      <c r="F740" s="16">
        <v>95816</v>
      </c>
      <c r="G740" s="15">
        <v>28</v>
      </c>
      <c r="H740" s="15" t="s">
        <v>748</v>
      </c>
      <c r="I740" s="23">
        <v>95816</v>
      </c>
    </row>
    <row r="741" spans="1:9" s="17" customFormat="1" x14ac:dyDescent="0.25">
      <c r="A741" s="14">
        <v>46175</v>
      </c>
      <c r="B741" s="15" t="s">
        <v>1105</v>
      </c>
      <c r="C741" s="15" t="s">
        <v>173</v>
      </c>
      <c r="D741" s="15" t="s">
        <v>531</v>
      </c>
      <c r="E741" s="16">
        <v>34300</v>
      </c>
      <c r="F741" s="16">
        <v>34300</v>
      </c>
      <c r="G741" s="15">
        <v>28</v>
      </c>
      <c r="H741" s="15" t="s">
        <v>748</v>
      </c>
      <c r="I741" s="23">
        <v>34300</v>
      </c>
    </row>
    <row r="742" spans="1:9" s="17" customFormat="1" x14ac:dyDescent="0.25">
      <c r="A742" s="14">
        <v>46176</v>
      </c>
      <c r="B742" s="15" t="s">
        <v>793</v>
      </c>
      <c r="C742" s="15" t="s">
        <v>1050</v>
      </c>
      <c r="D742" s="15" t="s">
        <v>306</v>
      </c>
      <c r="E742" s="16">
        <v>1416</v>
      </c>
      <c r="F742" s="16">
        <v>1416</v>
      </c>
      <c r="G742" s="15">
        <v>27</v>
      </c>
      <c r="H742" s="15" t="s">
        <v>748</v>
      </c>
      <c r="I742" s="23">
        <v>1416</v>
      </c>
    </row>
    <row r="743" spans="1:9" s="17" customFormat="1" x14ac:dyDescent="0.25">
      <c r="A743" s="14">
        <v>46176</v>
      </c>
      <c r="B743" s="15" t="s">
        <v>794</v>
      </c>
      <c r="C743" s="15" t="s">
        <v>1050</v>
      </c>
      <c r="D743" s="15" t="s">
        <v>232</v>
      </c>
      <c r="E743" s="16">
        <v>24780</v>
      </c>
      <c r="F743" s="16">
        <v>24780</v>
      </c>
      <c r="G743" s="15">
        <v>27</v>
      </c>
      <c r="H743" s="15" t="s">
        <v>748</v>
      </c>
      <c r="I743" s="23">
        <v>24780</v>
      </c>
    </row>
    <row r="744" spans="1:9" s="17" customFormat="1" x14ac:dyDescent="0.25">
      <c r="A744" s="14">
        <v>46176</v>
      </c>
      <c r="B744" s="15" t="s">
        <v>1106</v>
      </c>
      <c r="C744" s="15" t="s">
        <v>43</v>
      </c>
      <c r="D744" s="15" t="s">
        <v>321</v>
      </c>
      <c r="E744" s="16">
        <v>77193</v>
      </c>
      <c r="F744" s="16">
        <v>77193</v>
      </c>
      <c r="G744" s="15">
        <v>27</v>
      </c>
      <c r="H744" s="15" t="s">
        <v>748</v>
      </c>
      <c r="I744" s="23">
        <v>77193</v>
      </c>
    </row>
    <row r="745" spans="1:9" s="17" customFormat="1" x14ac:dyDescent="0.25">
      <c r="A745" s="14">
        <v>46176</v>
      </c>
      <c r="B745" s="15" t="s">
        <v>1107</v>
      </c>
      <c r="C745" s="15" t="s">
        <v>43</v>
      </c>
      <c r="D745" s="15" t="s">
        <v>321</v>
      </c>
      <c r="E745" s="16">
        <v>75261</v>
      </c>
      <c r="F745" s="16">
        <v>75261</v>
      </c>
      <c r="G745" s="15">
        <v>27</v>
      </c>
      <c r="H745" s="15" t="s">
        <v>748</v>
      </c>
      <c r="I745" s="23">
        <v>75261</v>
      </c>
    </row>
    <row r="746" spans="1:9" s="17" customFormat="1" x14ac:dyDescent="0.25">
      <c r="A746" s="14">
        <v>46176</v>
      </c>
      <c r="B746" s="15" t="s">
        <v>1108</v>
      </c>
      <c r="C746" s="15" t="s">
        <v>1049</v>
      </c>
      <c r="D746" s="15" t="s">
        <v>306</v>
      </c>
      <c r="E746" s="16">
        <v>14072</v>
      </c>
      <c r="F746" s="16">
        <v>14072</v>
      </c>
      <c r="G746" s="15">
        <v>27</v>
      </c>
      <c r="H746" s="15" t="s">
        <v>748</v>
      </c>
      <c r="I746" s="23">
        <v>14072</v>
      </c>
    </row>
    <row r="747" spans="1:9" s="17" customFormat="1" x14ac:dyDescent="0.25">
      <c r="A747" s="14">
        <v>46176</v>
      </c>
      <c r="B747" s="15" t="s">
        <v>1109</v>
      </c>
      <c r="C747" s="15" t="s">
        <v>152</v>
      </c>
      <c r="D747" s="15" t="s">
        <v>321</v>
      </c>
      <c r="E747" s="16">
        <v>76478.399999999994</v>
      </c>
      <c r="F747" s="16">
        <v>76478.399999999994</v>
      </c>
      <c r="G747" s="15">
        <v>27</v>
      </c>
      <c r="H747" s="15" t="s">
        <v>748</v>
      </c>
      <c r="I747" s="23">
        <v>76478.399999999994</v>
      </c>
    </row>
    <row r="748" spans="1:9" s="17" customFormat="1" x14ac:dyDescent="0.25">
      <c r="A748" s="14">
        <v>46176</v>
      </c>
      <c r="B748" s="15" t="s">
        <v>1110</v>
      </c>
      <c r="C748" s="15" t="s">
        <v>188</v>
      </c>
      <c r="D748" s="15" t="s">
        <v>321</v>
      </c>
      <c r="E748" s="16">
        <v>68818</v>
      </c>
      <c r="F748" s="16">
        <v>68818</v>
      </c>
      <c r="G748" s="15">
        <v>27</v>
      </c>
      <c r="H748" s="15" t="s">
        <v>748</v>
      </c>
      <c r="I748" s="23">
        <v>68818</v>
      </c>
    </row>
    <row r="749" spans="1:9" s="17" customFormat="1" x14ac:dyDescent="0.25">
      <c r="A749" s="14">
        <v>46177</v>
      </c>
      <c r="B749" s="15" t="s">
        <v>1111</v>
      </c>
      <c r="C749" s="15" t="s">
        <v>61</v>
      </c>
      <c r="D749" s="15" t="s">
        <v>332</v>
      </c>
      <c r="E749" s="16">
        <v>100000</v>
      </c>
      <c r="F749" s="16">
        <v>33000</v>
      </c>
      <c r="G749" s="15">
        <v>26</v>
      </c>
      <c r="H749" s="15" t="s">
        <v>748</v>
      </c>
      <c r="I749" s="23">
        <v>-33000</v>
      </c>
    </row>
    <row r="750" spans="1:9" s="17" customFormat="1" x14ac:dyDescent="0.25">
      <c r="A750" s="14">
        <v>46177</v>
      </c>
      <c r="B750" s="15" t="s">
        <v>1112</v>
      </c>
      <c r="C750" s="15" t="s">
        <v>1026</v>
      </c>
      <c r="D750" s="15" t="s">
        <v>531</v>
      </c>
      <c r="E750" s="16">
        <v>25000</v>
      </c>
      <c r="F750" s="16">
        <v>21035</v>
      </c>
      <c r="G750" s="15">
        <v>26</v>
      </c>
      <c r="H750" s="15" t="s">
        <v>748</v>
      </c>
      <c r="I750" s="23">
        <v>-21035</v>
      </c>
    </row>
    <row r="751" spans="1:9" s="17" customFormat="1" x14ac:dyDescent="0.25">
      <c r="A751" s="14">
        <v>46177</v>
      </c>
      <c r="B751" s="15" t="s">
        <v>1113</v>
      </c>
      <c r="C751" s="15" t="s">
        <v>84</v>
      </c>
      <c r="D751" s="15" t="s">
        <v>306</v>
      </c>
      <c r="E751" s="16">
        <v>64969</v>
      </c>
      <c r="F751" s="16">
        <v>64969</v>
      </c>
      <c r="G751" s="15">
        <v>26</v>
      </c>
      <c r="H751" s="15" t="s">
        <v>748</v>
      </c>
      <c r="I751" s="23">
        <v>64969</v>
      </c>
    </row>
    <row r="752" spans="1:9" s="17" customFormat="1" x14ac:dyDescent="0.25">
      <c r="A752" s="14">
        <v>46177</v>
      </c>
      <c r="B752" s="15" t="s">
        <v>1114</v>
      </c>
      <c r="C752" s="15" t="s">
        <v>188</v>
      </c>
      <c r="D752" s="15" t="s">
        <v>321</v>
      </c>
      <c r="E752" s="16">
        <v>143372</v>
      </c>
      <c r="F752" s="16">
        <v>143372</v>
      </c>
      <c r="G752" s="15">
        <v>26</v>
      </c>
      <c r="H752" s="15" t="s">
        <v>748</v>
      </c>
      <c r="I752" s="23">
        <v>143372</v>
      </c>
    </row>
    <row r="753" spans="1:9" s="17" customFormat="1" x14ac:dyDescent="0.25">
      <c r="A753" s="14">
        <v>46178</v>
      </c>
      <c r="B753" s="15" t="s">
        <v>1115</v>
      </c>
      <c r="C753" s="15" t="s">
        <v>75</v>
      </c>
      <c r="D753" s="15" t="s">
        <v>335</v>
      </c>
      <c r="E753" s="16">
        <v>1416</v>
      </c>
      <c r="F753" s="16">
        <v>1416</v>
      </c>
      <c r="G753" s="15">
        <v>25</v>
      </c>
      <c r="H753" s="15" t="s">
        <v>748</v>
      </c>
      <c r="I753" s="23">
        <v>1416</v>
      </c>
    </row>
    <row r="754" spans="1:9" s="17" customFormat="1" x14ac:dyDescent="0.25">
      <c r="A754" s="14">
        <v>46178</v>
      </c>
      <c r="B754" s="15" t="s">
        <v>1116</v>
      </c>
      <c r="C754" s="15" t="s">
        <v>84</v>
      </c>
      <c r="D754" s="15" t="s">
        <v>306</v>
      </c>
      <c r="E754" s="16">
        <v>69836</v>
      </c>
      <c r="F754" s="16">
        <v>69836</v>
      </c>
      <c r="G754" s="15">
        <v>25</v>
      </c>
      <c r="H754" s="15" t="s">
        <v>748</v>
      </c>
      <c r="I754" s="23">
        <v>69836</v>
      </c>
    </row>
    <row r="755" spans="1:9" s="17" customFormat="1" x14ac:dyDescent="0.25">
      <c r="A755" s="14">
        <v>46178</v>
      </c>
      <c r="B755" s="15" t="s">
        <v>1117</v>
      </c>
      <c r="C755" s="15" t="s">
        <v>174</v>
      </c>
      <c r="D755" s="15" t="s">
        <v>319</v>
      </c>
      <c r="E755" s="16">
        <v>69020</v>
      </c>
      <c r="F755" s="16">
        <v>69020</v>
      </c>
      <c r="G755" s="15">
        <v>25</v>
      </c>
      <c r="H755" s="15" t="s">
        <v>748</v>
      </c>
      <c r="I755" s="23">
        <v>69020</v>
      </c>
    </row>
    <row r="756" spans="1:9" s="17" customFormat="1" x14ac:dyDescent="0.25">
      <c r="A756" s="14">
        <v>46178</v>
      </c>
      <c r="B756" s="15" t="s">
        <v>1118</v>
      </c>
      <c r="C756" s="15" t="s">
        <v>197</v>
      </c>
      <c r="D756" s="15" t="s">
        <v>319</v>
      </c>
      <c r="E756" s="16">
        <v>593588.19999999995</v>
      </c>
      <c r="F756" s="16">
        <v>593588.19999999995</v>
      </c>
      <c r="G756" s="15">
        <v>25</v>
      </c>
      <c r="H756" s="15" t="s">
        <v>748</v>
      </c>
      <c r="I756" s="23">
        <v>593588.19999999995</v>
      </c>
    </row>
    <row r="757" spans="1:9" s="17" customFormat="1" x14ac:dyDescent="0.25">
      <c r="A757" s="14">
        <v>46179</v>
      </c>
      <c r="B757" s="15" t="s">
        <v>1119</v>
      </c>
      <c r="C757" s="15" t="s">
        <v>32</v>
      </c>
      <c r="D757" s="15" t="s">
        <v>319</v>
      </c>
      <c r="E757" s="16">
        <v>73080</v>
      </c>
      <c r="F757" s="16">
        <v>73080</v>
      </c>
      <c r="G757" s="15">
        <v>24</v>
      </c>
      <c r="H757" s="15" t="s">
        <v>748</v>
      </c>
      <c r="I757" s="23">
        <v>73080</v>
      </c>
    </row>
    <row r="758" spans="1:9" s="17" customFormat="1" x14ac:dyDescent="0.25">
      <c r="A758" s="14">
        <v>46179</v>
      </c>
      <c r="B758" s="15" t="s">
        <v>1120</v>
      </c>
      <c r="C758" s="15" t="s">
        <v>43</v>
      </c>
      <c r="D758" s="15" t="s">
        <v>321</v>
      </c>
      <c r="E758" s="16">
        <v>77402</v>
      </c>
      <c r="F758" s="16">
        <v>77402</v>
      </c>
      <c r="G758" s="15">
        <v>24</v>
      </c>
      <c r="H758" s="15" t="s">
        <v>748</v>
      </c>
      <c r="I758" s="23">
        <v>77402</v>
      </c>
    </row>
    <row r="759" spans="1:9" s="17" customFormat="1" x14ac:dyDescent="0.25">
      <c r="A759" s="14">
        <v>46179</v>
      </c>
      <c r="B759" s="15" t="s">
        <v>1121</v>
      </c>
      <c r="C759" s="15" t="s">
        <v>84</v>
      </c>
      <c r="D759" s="15" t="s">
        <v>306</v>
      </c>
      <c r="E759" s="16">
        <v>57220</v>
      </c>
      <c r="F759" s="16">
        <v>57220</v>
      </c>
      <c r="G759" s="15">
        <v>24</v>
      </c>
      <c r="H759" s="15" t="s">
        <v>748</v>
      </c>
      <c r="I759" s="23">
        <v>57220</v>
      </c>
    </row>
    <row r="760" spans="1:9" s="17" customFormat="1" x14ac:dyDescent="0.25">
      <c r="A760" s="14">
        <v>46179</v>
      </c>
      <c r="B760" s="15" t="s">
        <v>1122</v>
      </c>
      <c r="C760" s="15" t="s">
        <v>1058</v>
      </c>
      <c r="D760" s="15" t="s">
        <v>306</v>
      </c>
      <c r="E760" s="16">
        <v>90038</v>
      </c>
      <c r="F760" s="16">
        <v>90038</v>
      </c>
      <c r="G760" s="15">
        <v>24</v>
      </c>
      <c r="H760" s="15" t="s">
        <v>748</v>
      </c>
      <c r="I760" s="23">
        <v>90038</v>
      </c>
    </row>
    <row r="761" spans="1:9" s="17" customFormat="1" x14ac:dyDescent="0.25">
      <c r="A761" s="14">
        <v>46179</v>
      </c>
      <c r="B761" s="15" t="s">
        <v>1123</v>
      </c>
      <c r="C761" s="15" t="s">
        <v>1049</v>
      </c>
      <c r="D761" s="15" t="s">
        <v>306</v>
      </c>
      <c r="E761" s="16">
        <v>8076</v>
      </c>
      <c r="F761" s="16">
        <v>8076</v>
      </c>
      <c r="G761" s="15">
        <v>24</v>
      </c>
      <c r="H761" s="15" t="s">
        <v>748</v>
      </c>
      <c r="I761" s="23">
        <v>8076</v>
      </c>
    </row>
    <row r="762" spans="1:9" s="17" customFormat="1" x14ac:dyDescent="0.25">
      <c r="A762" s="14">
        <v>46179</v>
      </c>
      <c r="B762" s="15" t="s">
        <v>1124</v>
      </c>
      <c r="C762" s="15" t="s">
        <v>188</v>
      </c>
      <c r="D762" s="15" t="s">
        <v>321</v>
      </c>
      <c r="E762" s="16">
        <v>57349</v>
      </c>
      <c r="F762" s="16">
        <v>57349</v>
      </c>
      <c r="G762" s="15">
        <v>24</v>
      </c>
      <c r="H762" s="15" t="s">
        <v>748</v>
      </c>
      <c r="I762" s="23">
        <v>57349</v>
      </c>
    </row>
    <row r="763" spans="1:9" s="17" customFormat="1" x14ac:dyDescent="0.25">
      <c r="A763" s="14">
        <v>46179</v>
      </c>
      <c r="B763" s="15" t="s">
        <v>1125</v>
      </c>
      <c r="C763" s="15" t="s">
        <v>188</v>
      </c>
      <c r="D763" s="15" t="s">
        <v>321</v>
      </c>
      <c r="E763" s="16">
        <v>199574</v>
      </c>
      <c r="F763" s="16">
        <v>199574</v>
      </c>
      <c r="G763" s="15">
        <v>24</v>
      </c>
      <c r="H763" s="15" t="s">
        <v>748</v>
      </c>
      <c r="I763" s="23">
        <v>199574</v>
      </c>
    </row>
    <row r="764" spans="1:9" s="17" customFormat="1" x14ac:dyDescent="0.25">
      <c r="A764" s="14">
        <v>46179</v>
      </c>
      <c r="B764" s="15" t="s">
        <v>1126</v>
      </c>
      <c r="C764" s="15" t="s">
        <v>188</v>
      </c>
      <c r="D764" s="15" t="s">
        <v>321</v>
      </c>
      <c r="E764" s="16">
        <v>172046</v>
      </c>
      <c r="F764" s="16">
        <v>172046</v>
      </c>
      <c r="G764" s="15">
        <v>24</v>
      </c>
      <c r="H764" s="15" t="s">
        <v>748</v>
      </c>
      <c r="I764" s="23">
        <v>172046</v>
      </c>
    </row>
    <row r="765" spans="1:9" s="17" customFormat="1" x14ac:dyDescent="0.25">
      <c r="A765" s="14">
        <v>46180</v>
      </c>
      <c r="B765" s="15" t="s">
        <v>1127</v>
      </c>
      <c r="C765" s="15" t="s">
        <v>174</v>
      </c>
      <c r="D765" s="15" t="s">
        <v>319</v>
      </c>
      <c r="E765" s="16">
        <v>60900</v>
      </c>
      <c r="F765" s="16">
        <v>60900</v>
      </c>
      <c r="G765" s="15">
        <v>23</v>
      </c>
      <c r="H765" s="15" t="s">
        <v>748</v>
      </c>
      <c r="I765" s="23">
        <v>60900</v>
      </c>
    </row>
    <row r="766" spans="1:9" s="17" customFormat="1" x14ac:dyDescent="0.25">
      <c r="A766" s="14">
        <v>46181</v>
      </c>
      <c r="B766" s="15" t="s">
        <v>1128</v>
      </c>
      <c r="C766" s="15" t="s">
        <v>43</v>
      </c>
      <c r="D766" s="15" t="s">
        <v>321</v>
      </c>
      <c r="E766" s="16">
        <v>77402</v>
      </c>
      <c r="F766" s="16">
        <v>77402</v>
      </c>
      <c r="G766" s="15">
        <v>22</v>
      </c>
      <c r="H766" s="15" t="s">
        <v>748</v>
      </c>
      <c r="I766" s="23">
        <v>77402</v>
      </c>
    </row>
    <row r="767" spans="1:9" s="17" customFormat="1" x14ac:dyDescent="0.25">
      <c r="A767" s="14">
        <v>46181</v>
      </c>
      <c r="B767" s="15" t="s">
        <v>1129</v>
      </c>
      <c r="C767" s="15" t="s">
        <v>43</v>
      </c>
      <c r="D767" s="15" t="s">
        <v>321</v>
      </c>
      <c r="E767" s="16">
        <v>80327</v>
      </c>
      <c r="F767" s="16">
        <v>80327</v>
      </c>
      <c r="G767" s="15">
        <v>22</v>
      </c>
      <c r="H767" s="15" t="s">
        <v>748</v>
      </c>
      <c r="I767" s="23">
        <v>80327</v>
      </c>
    </row>
    <row r="768" spans="1:9" s="17" customFormat="1" x14ac:dyDescent="0.25">
      <c r="A768" s="14">
        <v>46181</v>
      </c>
      <c r="B768" s="15" t="s">
        <v>1130</v>
      </c>
      <c r="C768" s="15" t="s">
        <v>61</v>
      </c>
      <c r="D768" s="15" t="s">
        <v>332</v>
      </c>
      <c r="E768" s="16">
        <v>50000</v>
      </c>
      <c r="F768" s="16">
        <v>50000</v>
      </c>
      <c r="G768" s="15">
        <v>22</v>
      </c>
      <c r="H768" s="15" t="s">
        <v>748</v>
      </c>
      <c r="I768" s="23">
        <v>-50000</v>
      </c>
    </row>
    <row r="769" spans="1:9" s="17" customFormat="1" x14ac:dyDescent="0.25">
      <c r="A769" s="14">
        <v>46181</v>
      </c>
      <c r="B769" s="15" t="s">
        <v>1131</v>
      </c>
      <c r="C769" s="15" t="s">
        <v>108</v>
      </c>
      <c r="D769" s="15" t="s">
        <v>306</v>
      </c>
      <c r="E769" s="16">
        <v>56350</v>
      </c>
      <c r="F769" s="16">
        <v>56350</v>
      </c>
      <c r="G769" s="15">
        <v>22</v>
      </c>
      <c r="H769" s="15" t="s">
        <v>748</v>
      </c>
      <c r="I769" s="23">
        <v>56350</v>
      </c>
    </row>
    <row r="770" spans="1:9" s="17" customFormat="1" x14ac:dyDescent="0.25">
      <c r="A770" s="14">
        <v>46181</v>
      </c>
      <c r="B770" s="15" t="s">
        <v>1132</v>
      </c>
      <c r="C770" s="15" t="s">
        <v>188</v>
      </c>
      <c r="D770" s="15" t="s">
        <v>321</v>
      </c>
      <c r="E770" s="16">
        <v>169752</v>
      </c>
      <c r="F770" s="16">
        <v>169752</v>
      </c>
      <c r="G770" s="15">
        <v>22</v>
      </c>
      <c r="H770" s="15" t="s">
        <v>748</v>
      </c>
      <c r="I770" s="23">
        <v>169752</v>
      </c>
    </row>
    <row r="771" spans="1:9" s="17" customFormat="1" x14ac:dyDescent="0.25">
      <c r="A771" s="14">
        <v>46182</v>
      </c>
      <c r="B771" s="15" t="s">
        <v>1133</v>
      </c>
      <c r="C771" s="15" t="s">
        <v>1027</v>
      </c>
      <c r="D771" s="15" t="s">
        <v>317</v>
      </c>
      <c r="E771" s="16">
        <v>25000</v>
      </c>
      <c r="F771" s="16">
        <v>17998</v>
      </c>
      <c r="G771" s="15">
        <v>21</v>
      </c>
      <c r="H771" s="15" t="s">
        <v>748</v>
      </c>
      <c r="I771" s="23">
        <v>-17998</v>
      </c>
    </row>
    <row r="772" spans="1:9" s="17" customFormat="1" x14ac:dyDescent="0.25">
      <c r="A772" s="14">
        <v>46182</v>
      </c>
      <c r="B772" s="15" t="s">
        <v>1134</v>
      </c>
      <c r="C772" s="15" t="s">
        <v>70</v>
      </c>
      <c r="D772" s="15" t="s">
        <v>317</v>
      </c>
      <c r="E772" s="16">
        <v>1726002</v>
      </c>
      <c r="F772" s="16">
        <v>1726002</v>
      </c>
      <c r="G772" s="15">
        <v>21</v>
      </c>
      <c r="H772" s="15" t="s">
        <v>748</v>
      </c>
      <c r="I772" s="23">
        <v>1726002</v>
      </c>
    </row>
    <row r="773" spans="1:9" s="17" customFormat="1" x14ac:dyDescent="0.25">
      <c r="A773" s="14">
        <v>46182</v>
      </c>
      <c r="B773" s="15" t="s">
        <v>1135</v>
      </c>
      <c r="C773" s="15" t="s">
        <v>174</v>
      </c>
      <c r="D773" s="15" t="s">
        <v>319</v>
      </c>
      <c r="E773" s="16">
        <v>60900</v>
      </c>
      <c r="F773" s="16">
        <v>60900</v>
      </c>
      <c r="G773" s="15">
        <v>21</v>
      </c>
      <c r="H773" s="15" t="s">
        <v>748</v>
      </c>
      <c r="I773" s="23">
        <v>60900</v>
      </c>
    </row>
    <row r="774" spans="1:9" s="17" customFormat="1" x14ac:dyDescent="0.25">
      <c r="A774" s="14">
        <v>46182</v>
      </c>
      <c r="B774" s="15" t="s">
        <v>1136</v>
      </c>
      <c r="C774" s="15" t="s">
        <v>179</v>
      </c>
      <c r="D774" s="15" t="s">
        <v>306</v>
      </c>
      <c r="E774" s="16">
        <v>144336</v>
      </c>
      <c r="F774" s="16">
        <v>144336</v>
      </c>
      <c r="G774" s="15">
        <v>21</v>
      </c>
      <c r="H774" s="15" t="s">
        <v>748</v>
      </c>
      <c r="I774" s="23">
        <v>144336</v>
      </c>
    </row>
    <row r="775" spans="1:9" s="17" customFormat="1" x14ac:dyDescent="0.25">
      <c r="A775" s="14">
        <v>46183</v>
      </c>
      <c r="B775" s="15" t="s">
        <v>1137</v>
      </c>
      <c r="C775" s="15" t="s">
        <v>37</v>
      </c>
      <c r="D775" s="15" t="s">
        <v>531</v>
      </c>
      <c r="E775" s="16">
        <v>28065</v>
      </c>
      <c r="F775" s="16">
        <v>28065</v>
      </c>
      <c r="G775" s="15">
        <v>20</v>
      </c>
      <c r="H775" s="15" t="s">
        <v>748</v>
      </c>
      <c r="I775" s="23">
        <v>28065</v>
      </c>
    </row>
    <row r="776" spans="1:9" s="17" customFormat="1" x14ac:dyDescent="0.25">
      <c r="A776" s="14">
        <v>46183</v>
      </c>
      <c r="B776" s="15" t="s">
        <v>1138</v>
      </c>
      <c r="C776" s="15" t="s">
        <v>179</v>
      </c>
      <c r="D776" s="15" t="s">
        <v>306</v>
      </c>
      <c r="E776" s="16">
        <v>130758</v>
      </c>
      <c r="F776" s="16">
        <v>130758</v>
      </c>
      <c r="G776" s="15">
        <v>20</v>
      </c>
      <c r="H776" s="15" t="s">
        <v>748</v>
      </c>
      <c r="I776" s="23">
        <v>130758</v>
      </c>
    </row>
    <row r="777" spans="1:9" s="17" customFormat="1" x14ac:dyDescent="0.25">
      <c r="A777" s="14">
        <v>46184</v>
      </c>
      <c r="B777" s="15" t="s">
        <v>1139</v>
      </c>
      <c r="C777" s="15" t="s">
        <v>1050</v>
      </c>
      <c r="D777" s="15" t="s">
        <v>306</v>
      </c>
      <c r="E777" s="16">
        <v>4248</v>
      </c>
      <c r="F777" s="16">
        <v>4248</v>
      </c>
      <c r="G777" s="15">
        <v>19</v>
      </c>
      <c r="H777" s="15" t="s">
        <v>748</v>
      </c>
      <c r="I777" s="23">
        <v>4248</v>
      </c>
    </row>
    <row r="778" spans="1:9" s="17" customFormat="1" x14ac:dyDescent="0.25">
      <c r="A778" s="14">
        <v>46184</v>
      </c>
      <c r="B778" s="15" t="s">
        <v>1140</v>
      </c>
      <c r="C778" s="15" t="s">
        <v>19</v>
      </c>
      <c r="D778" s="15" t="s">
        <v>306</v>
      </c>
      <c r="E778" s="16">
        <v>960031.74</v>
      </c>
      <c r="F778" s="16">
        <v>35</v>
      </c>
      <c r="G778" s="15">
        <v>19</v>
      </c>
      <c r="H778" s="15" t="s">
        <v>748</v>
      </c>
      <c r="I778" s="23">
        <v>-35</v>
      </c>
    </row>
    <row r="779" spans="1:9" s="17" customFormat="1" x14ac:dyDescent="0.25">
      <c r="A779" s="14">
        <v>46184</v>
      </c>
      <c r="B779" s="15" t="s">
        <v>1141</v>
      </c>
      <c r="C779" s="15" t="s">
        <v>161</v>
      </c>
      <c r="D779" s="15" t="s">
        <v>332</v>
      </c>
      <c r="E779" s="16">
        <v>262260.87</v>
      </c>
      <c r="F779" s="16">
        <v>262260.87</v>
      </c>
      <c r="G779" s="15">
        <v>19</v>
      </c>
      <c r="H779" s="15" t="s">
        <v>748</v>
      </c>
      <c r="I779" s="23">
        <v>262260.87</v>
      </c>
    </row>
    <row r="780" spans="1:9" s="17" customFormat="1" x14ac:dyDescent="0.25">
      <c r="A780" s="14">
        <v>46184</v>
      </c>
      <c r="B780" s="15" t="s">
        <v>1142</v>
      </c>
      <c r="C780" s="15" t="s">
        <v>1033</v>
      </c>
      <c r="D780" s="15" t="s">
        <v>1666</v>
      </c>
      <c r="E780" s="16">
        <v>2.95</v>
      </c>
      <c r="F780" s="16">
        <v>2.95</v>
      </c>
      <c r="G780" s="15">
        <v>19</v>
      </c>
      <c r="H780" s="15" t="s">
        <v>748</v>
      </c>
      <c r="I780" s="23">
        <v>-2.95</v>
      </c>
    </row>
    <row r="781" spans="1:9" s="17" customFormat="1" x14ac:dyDescent="0.25">
      <c r="A781" s="14">
        <v>46184</v>
      </c>
      <c r="B781" s="15" t="s">
        <v>1143</v>
      </c>
      <c r="C781" s="15" t="s">
        <v>189</v>
      </c>
      <c r="D781" s="15" t="s">
        <v>347</v>
      </c>
      <c r="E781" s="16">
        <v>177967.02</v>
      </c>
      <c r="F781" s="16">
        <v>177967.02</v>
      </c>
      <c r="G781" s="15">
        <v>19</v>
      </c>
      <c r="H781" s="15" t="s">
        <v>748</v>
      </c>
      <c r="I781" s="23">
        <v>177967.02</v>
      </c>
    </row>
    <row r="782" spans="1:9" s="17" customFormat="1" x14ac:dyDescent="0.25">
      <c r="A782" s="14">
        <v>46185</v>
      </c>
      <c r="B782" s="15" t="s">
        <v>1144</v>
      </c>
      <c r="C782" s="15" t="s">
        <v>13</v>
      </c>
      <c r="D782" s="15" t="s">
        <v>306</v>
      </c>
      <c r="E782" s="16">
        <v>44132</v>
      </c>
      <c r="F782" s="16">
        <v>44132</v>
      </c>
      <c r="G782" s="15">
        <v>18</v>
      </c>
      <c r="H782" s="15" t="s">
        <v>748</v>
      </c>
      <c r="I782" s="23">
        <v>44132</v>
      </c>
    </row>
    <row r="783" spans="1:9" s="17" customFormat="1" x14ac:dyDescent="0.25">
      <c r="A783" s="14">
        <v>46185</v>
      </c>
      <c r="B783" s="15" t="s">
        <v>1145</v>
      </c>
      <c r="C783" s="15" t="s">
        <v>43</v>
      </c>
      <c r="D783" s="15" t="s">
        <v>321</v>
      </c>
      <c r="E783" s="16">
        <v>82050</v>
      </c>
      <c r="F783" s="16">
        <v>82050</v>
      </c>
      <c r="G783" s="15">
        <v>18</v>
      </c>
      <c r="H783" s="15" t="s">
        <v>748</v>
      </c>
      <c r="I783" s="23">
        <v>82050</v>
      </c>
    </row>
    <row r="784" spans="1:9" s="17" customFormat="1" x14ac:dyDescent="0.25">
      <c r="A784" s="14">
        <v>46185</v>
      </c>
      <c r="B784" s="15" t="s">
        <v>1146</v>
      </c>
      <c r="C784" s="15" t="s">
        <v>43</v>
      </c>
      <c r="D784" s="15" t="s">
        <v>321</v>
      </c>
      <c r="E784" s="16">
        <v>78682</v>
      </c>
      <c r="F784" s="16">
        <v>78682</v>
      </c>
      <c r="G784" s="15">
        <v>18</v>
      </c>
      <c r="H784" s="15" t="s">
        <v>748</v>
      </c>
      <c r="I784" s="23">
        <v>78682</v>
      </c>
    </row>
    <row r="785" spans="1:9" s="17" customFormat="1" x14ac:dyDescent="0.25">
      <c r="A785" s="14">
        <v>46185</v>
      </c>
      <c r="B785" s="15" t="s">
        <v>1147</v>
      </c>
      <c r="C785" s="15" t="s">
        <v>43</v>
      </c>
      <c r="D785" s="15" t="s">
        <v>321</v>
      </c>
      <c r="E785" s="16">
        <v>87038</v>
      </c>
      <c r="F785" s="16">
        <v>87038</v>
      </c>
      <c r="G785" s="15">
        <v>18</v>
      </c>
      <c r="H785" s="15" t="s">
        <v>748</v>
      </c>
      <c r="I785" s="23">
        <v>87038</v>
      </c>
    </row>
    <row r="786" spans="1:9" s="17" customFormat="1" x14ac:dyDescent="0.25">
      <c r="A786" s="14">
        <v>46185</v>
      </c>
      <c r="B786" s="15" t="s">
        <v>1148</v>
      </c>
      <c r="C786" s="15" t="s">
        <v>79</v>
      </c>
      <c r="D786" s="15" t="s">
        <v>531</v>
      </c>
      <c r="E786" s="16">
        <v>6000</v>
      </c>
      <c r="F786" s="16">
        <v>6000</v>
      </c>
      <c r="G786" s="15">
        <v>18</v>
      </c>
      <c r="H786" s="15" t="s">
        <v>748</v>
      </c>
      <c r="I786" s="23">
        <v>6000</v>
      </c>
    </row>
    <row r="787" spans="1:9" s="17" customFormat="1" x14ac:dyDescent="0.25">
      <c r="A787" s="14">
        <v>46185</v>
      </c>
      <c r="B787" s="15" t="s">
        <v>1149</v>
      </c>
      <c r="C787" s="15" t="s">
        <v>188</v>
      </c>
      <c r="D787" s="15" t="s">
        <v>321</v>
      </c>
      <c r="E787" s="16">
        <v>197853</v>
      </c>
      <c r="F787" s="16">
        <v>197853</v>
      </c>
      <c r="G787" s="15">
        <v>18</v>
      </c>
      <c r="H787" s="15" t="s">
        <v>748</v>
      </c>
      <c r="I787" s="23">
        <v>197853</v>
      </c>
    </row>
    <row r="788" spans="1:9" s="17" customFormat="1" x14ac:dyDescent="0.25">
      <c r="A788" s="14">
        <v>46185</v>
      </c>
      <c r="B788" s="15" t="s">
        <v>1150</v>
      </c>
      <c r="C788" s="15" t="s">
        <v>189</v>
      </c>
      <c r="D788" s="15" t="s">
        <v>347</v>
      </c>
      <c r="E788" s="16">
        <v>217292.46</v>
      </c>
      <c r="F788" s="16">
        <v>217292.46</v>
      </c>
      <c r="G788" s="15">
        <v>18</v>
      </c>
      <c r="H788" s="15" t="s">
        <v>748</v>
      </c>
      <c r="I788" s="23">
        <v>217292.46</v>
      </c>
    </row>
    <row r="789" spans="1:9" s="17" customFormat="1" x14ac:dyDescent="0.25">
      <c r="A789" s="14">
        <v>46186</v>
      </c>
      <c r="B789" s="15" t="s">
        <v>1151</v>
      </c>
      <c r="C789" s="15" t="s">
        <v>68</v>
      </c>
      <c r="D789" s="15" t="s">
        <v>321</v>
      </c>
      <c r="E789" s="16">
        <v>137428</v>
      </c>
      <c r="F789" s="16">
        <v>137428</v>
      </c>
      <c r="G789" s="15">
        <v>17</v>
      </c>
      <c r="H789" s="15" t="s">
        <v>748</v>
      </c>
      <c r="I789" s="23">
        <v>137428</v>
      </c>
    </row>
    <row r="790" spans="1:9" s="17" customFormat="1" x14ac:dyDescent="0.25">
      <c r="A790" s="14">
        <v>46186</v>
      </c>
      <c r="B790" s="15" t="s">
        <v>1152</v>
      </c>
      <c r="C790" s="15" t="s">
        <v>84</v>
      </c>
      <c r="D790" s="15" t="s">
        <v>306</v>
      </c>
      <c r="E790" s="16">
        <v>64024</v>
      </c>
      <c r="F790" s="16">
        <v>64024</v>
      </c>
      <c r="G790" s="15">
        <v>17</v>
      </c>
      <c r="H790" s="15" t="s">
        <v>748</v>
      </c>
      <c r="I790" s="23">
        <v>64024</v>
      </c>
    </row>
    <row r="791" spans="1:9" s="17" customFormat="1" x14ac:dyDescent="0.25">
      <c r="A791" s="14">
        <v>46186</v>
      </c>
      <c r="B791" s="15" t="s">
        <v>1153</v>
      </c>
      <c r="C791" s="15" t="s">
        <v>111</v>
      </c>
      <c r="D791" s="15" t="s">
        <v>335</v>
      </c>
      <c r="E791" s="16">
        <v>71418</v>
      </c>
      <c r="F791" s="16">
        <v>44857.18</v>
      </c>
      <c r="G791" s="15">
        <v>17</v>
      </c>
      <c r="H791" s="15" t="s">
        <v>748</v>
      </c>
      <c r="I791" s="23">
        <v>44857.18</v>
      </c>
    </row>
    <row r="792" spans="1:9" s="17" customFormat="1" x14ac:dyDescent="0.25">
      <c r="A792" s="14">
        <v>46186</v>
      </c>
      <c r="B792" s="15" t="s">
        <v>1154</v>
      </c>
      <c r="C792" s="15" t="s">
        <v>188</v>
      </c>
      <c r="D792" s="15" t="s">
        <v>321</v>
      </c>
      <c r="E792" s="16">
        <v>7169.01</v>
      </c>
      <c r="F792" s="16">
        <v>7169.01</v>
      </c>
      <c r="G792" s="15">
        <v>17</v>
      </c>
      <c r="H792" s="15" t="s">
        <v>748</v>
      </c>
      <c r="I792" s="23">
        <v>7169.01</v>
      </c>
    </row>
    <row r="793" spans="1:9" s="17" customFormat="1" x14ac:dyDescent="0.25">
      <c r="A793" s="14">
        <v>46187</v>
      </c>
      <c r="B793" s="15" t="s">
        <v>1155</v>
      </c>
      <c r="C793" s="15" t="s">
        <v>43</v>
      </c>
      <c r="D793" s="15" t="s">
        <v>321</v>
      </c>
      <c r="E793" s="16">
        <v>77219</v>
      </c>
      <c r="F793" s="16">
        <v>77219</v>
      </c>
      <c r="G793" s="15">
        <v>16</v>
      </c>
      <c r="H793" s="15" t="s">
        <v>748</v>
      </c>
      <c r="I793" s="23">
        <v>77219</v>
      </c>
    </row>
    <row r="794" spans="1:9" s="17" customFormat="1" x14ac:dyDescent="0.25">
      <c r="A794" s="14">
        <v>46187</v>
      </c>
      <c r="B794" s="15" t="s">
        <v>1156</v>
      </c>
      <c r="C794" s="15" t="s">
        <v>188</v>
      </c>
      <c r="D794" s="15" t="s">
        <v>321</v>
      </c>
      <c r="E794" s="16">
        <v>28674</v>
      </c>
      <c r="F794" s="16">
        <v>28674</v>
      </c>
      <c r="G794" s="15">
        <v>16</v>
      </c>
      <c r="H794" s="15" t="s">
        <v>748</v>
      </c>
      <c r="I794" s="23">
        <v>28674</v>
      </c>
    </row>
    <row r="795" spans="1:9" s="17" customFormat="1" x14ac:dyDescent="0.25">
      <c r="A795" s="14">
        <v>46188</v>
      </c>
      <c r="B795" s="15" t="s">
        <v>1157</v>
      </c>
      <c r="C795" s="15" t="s">
        <v>1060</v>
      </c>
      <c r="D795" s="15" t="s">
        <v>319</v>
      </c>
      <c r="E795" s="16">
        <v>93506.4</v>
      </c>
      <c r="F795" s="16">
        <v>93506.4</v>
      </c>
      <c r="G795" s="15">
        <v>15</v>
      </c>
      <c r="H795" s="15" t="s">
        <v>748</v>
      </c>
      <c r="I795" s="23">
        <v>93506.4</v>
      </c>
    </row>
    <row r="796" spans="1:9" s="17" customFormat="1" x14ac:dyDescent="0.25">
      <c r="A796" s="14">
        <v>46188</v>
      </c>
      <c r="B796" s="15" t="s">
        <v>1158</v>
      </c>
      <c r="C796" s="15" t="s">
        <v>35</v>
      </c>
      <c r="D796" s="15" t="s">
        <v>306</v>
      </c>
      <c r="E796" s="16">
        <v>8000</v>
      </c>
      <c r="F796" s="16">
        <v>8000</v>
      </c>
      <c r="G796" s="15">
        <v>15</v>
      </c>
      <c r="H796" s="15" t="s">
        <v>748</v>
      </c>
      <c r="I796" s="23">
        <v>8000</v>
      </c>
    </row>
    <row r="797" spans="1:9" s="17" customFormat="1" x14ac:dyDescent="0.25">
      <c r="A797" s="14">
        <v>46188</v>
      </c>
      <c r="B797" s="15" t="s">
        <v>1159</v>
      </c>
      <c r="C797" s="15" t="s">
        <v>40</v>
      </c>
      <c r="D797" s="15" t="s">
        <v>306</v>
      </c>
      <c r="E797" s="16">
        <v>236126.14</v>
      </c>
      <c r="F797" s="16">
        <v>236126.14</v>
      </c>
      <c r="G797" s="15">
        <v>15</v>
      </c>
      <c r="H797" s="15" t="s">
        <v>748</v>
      </c>
      <c r="I797" s="23">
        <v>236126.14</v>
      </c>
    </row>
    <row r="798" spans="1:9" s="17" customFormat="1" x14ac:dyDescent="0.25">
      <c r="A798" s="14">
        <v>46188</v>
      </c>
      <c r="B798" s="15" t="s">
        <v>1160</v>
      </c>
      <c r="C798" s="15" t="s">
        <v>1062</v>
      </c>
      <c r="D798" s="15" t="s">
        <v>335</v>
      </c>
      <c r="E798" s="16">
        <v>78628</v>
      </c>
      <c r="F798" s="16">
        <v>78628</v>
      </c>
      <c r="G798" s="15">
        <v>15</v>
      </c>
      <c r="H798" s="15" t="s">
        <v>748</v>
      </c>
      <c r="I798" s="23">
        <v>78628</v>
      </c>
    </row>
    <row r="799" spans="1:9" s="17" customFormat="1" x14ac:dyDescent="0.25">
      <c r="A799" s="14">
        <v>46188</v>
      </c>
      <c r="B799" s="15" t="s">
        <v>1161</v>
      </c>
      <c r="C799" s="15" t="s">
        <v>65</v>
      </c>
      <c r="D799" s="15" t="s">
        <v>306</v>
      </c>
      <c r="E799" s="16">
        <v>20000</v>
      </c>
      <c r="F799" s="16">
        <v>20000</v>
      </c>
      <c r="G799" s="15">
        <v>15</v>
      </c>
      <c r="H799" s="15" t="s">
        <v>748</v>
      </c>
      <c r="I799" s="23">
        <v>20000</v>
      </c>
    </row>
    <row r="800" spans="1:9" s="17" customFormat="1" x14ac:dyDescent="0.25">
      <c r="A800" s="14">
        <v>46188</v>
      </c>
      <c r="B800" s="15" t="s">
        <v>1162</v>
      </c>
      <c r="C800" s="15" t="s">
        <v>71</v>
      </c>
      <c r="D800" s="15" t="s">
        <v>317</v>
      </c>
      <c r="E800" s="16">
        <v>1218000</v>
      </c>
      <c r="F800" s="16">
        <v>1218000</v>
      </c>
      <c r="G800" s="15">
        <v>15</v>
      </c>
      <c r="H800" s="15" t="s">
        <v>748</v>
      </c>
      <c r="I800" s="23">
        <v>1218000</v>
      </c>
    </row>
    <row r="801" spans="1:9" s="17" customFormat="1" x14ac:dyDescent="0.25">
      <c r="A801" s="14">
        <v>46188</v>
      </c>
      <c r="B801" s="15" t="s">
        <v>1163</v>
      </c>
      <c r="C801" s="15" t="s">
        <v>75</v>
      </c>
      <c r="D801" s="15" t="s">
        <v>1666</v>
      </c>
      <c r="E801" s="16">
        <v>9531</v>
      </c>
      <c r="F801" s="16">
        <v>9531</v>
      </c>
      <c r="G801" s="15">
        <v>15</v>
      </c>
      <c r="H801" s="15" t="s">
        <v>748</v>
      </c>
      <c r="I801" s="23">
        <v>9531</v>
      </c>
    </row>
    <row r="802" spans="1:9" s="17" customFormat="1" x14ac:dyDescent="0.25">
      <c r="A802" s="14">
        <v>46188</v>
      </c>
      <c r="B802" s="15" t="s">
        <v>1164</v>
      </c>
      <c r="C802" s="15" t="s">
        <v>106</v>
      </c>
      <c r="D802" s="15" t="s">
        <v>280</v>
      </c>
      <c r="E802" s="16">
        <v>75519.990000000005</v>
      </c>
      <c r="F802" s="16">
        <v>75520</v>
      </c>
      <c r="G802" s="15">
        <v>15</v>
      </c>
      <c r="H802" s="15" t="s">
        <v>748</v>
      </c>
      <c r="I802" s="23">
        <v>75520</v>
      </c>
    </row>
    <row r="803" spans="1:9" s="17" customFormat="1" x14ac:dyDescent="0.25">
      <c r="A803" s="14">
        <v>46188</v>
      </c>
      <c r="B803" s="15" t="s">
        <v>1165</v>
      </c>
      <c r="C803" s="15" t="s">
        <v>111</v>
      </c>
      <c r="D803" s="15" t="s">
        <v>335</v>
      </c>
      <c r="E803" s="16">
        <v>70293</v>
      </c>
      <c r="F803" s="16">
        <v>70293</v>
      </c>
      <c r="G803" s="15">
        <v>15</v>
      </c>
      <c r="H803" s="15" t="s">
        <v>748</v>
      </c>
      <c r="I803" s="23">
        <v>70293</v>
      </c>
    </row>
    <row r="804" spans="1:9" s="17" customFormat="1" x14ac:dyDescent="0.25">
      <c r="A804" s="14">
        <v>46188</v>
      </c>
      <c r="B804" s="15" t="s">
        <v>1166</v>
      </c>
      <c r="C804" s="15" t="s">
        <v>111</v>
      </c>
      <c r="D804" s="15" t="s">
        <v>335</v>
      </c>
      <c r="E804" s="16">
        <v>69419</v>
      </c>
      <c r="F804" s="16">
        <v>69419</v>
      </c>
      <c r="G804" s="15">
        <v>15</v>
      </c>
      <c r="H804" s="15" t="s">
        <v>748</v>
      </c>
      <c r="I804" s="23">
        <v>69419</v>
      </c>
    </row>
    <row r="805" spans="1:9" s="17" customFormat="1" x14ac:dyDescent="0.25">
      <c r="A805" s="14">
        <v>46188</v>
      </c>
      <c r="B805" s="15" t="s">
        <v>1167</v>
      </c>
      <c r="C805" s="15" t="s">
        <v>111</v>
      </c>
      <c r="D805" s="15" t="s">
        <v>335</v>
      </c>
      <c r="E805" s="16">
        <v>42027</v>
      </c>
      <c r="F805" s="16">
        <v>42027</v>
      </c>
      <c r="G805" s="15">
        <v>15</v>
      </c>
      <c r="H805" s="15" t="s">
        <v>748</v>
      </c>
      <c r="I805" s="23">
        <v>42027</v>
      </c>
    </row>
    <row r="806" spans="1:9" s="17" customFormat="1" x14ac:dyDescent="0.25">
      <c r="A806" s="14">
        <v>46188</v>
      </c>
      <c r="B806" s="15" t="s">
        <v>1168</v>
      </c>
      <c r="C806" s="15" t="s">
        <v>133</v>
      </c>
      <c r="D806" s="15" t="s">
        <v>347</v>
      </c>
      <c r="E806" s="16">
        <v>31860</v>
      </c>
      <c r="F806" s="16">
        <v>31860</v>
      </c>
      <c r="G806" s="15">
        <v>15</v>
      </c>
      <c r="H806" s="15" t="s">
        <v>748</v>
      </c>
      <c r="I806" s="23">
        <v>31860</v>
      </c>
    </row>
    <row r="807" spans="1:9" s="17" customFormat="1" x14ac:dyDescent="0.25">
      <c r="A807" s="14">
        <v>46188</v>
      </c>
      <c r="B807" s="15" t="s">
        <v>1169</v>
      </c>
      <c r="C807" s="15" t="s">
        <v>161</v>
      </c>
      <c r="D807" s="15" t="s">
        <v>332</v>
      </c>
      <c r="E807" s="16">
        <v>55856.91</v>
      </c>
      <c r="F807" s="16">
        <v>55856.91</v>
      </c>
      <c r="G807" s="15">
        <v>15</v>
      </c>
      <c r="H807" s="15" t="s">
        <v>748</v>
      </c>
      <c r="I807" s="23">
        <v>55856.91</v>
      </c>
    </row>
    <row r="808" spans="1:9" s="17" customFormat="1" x14ac:dyDescent="0.25">
      <c r="A808" s="14">
        <v>46188</v>
      </c>
      <c r="B808" s="15" t="s">
        <v>1170</v>
      </c>
      <c r="C808" s="15" t="s">
        <v>188</v>
      </c>
      <c r="D808" s="15" t="s">
        <v>321</v>
      </c>
      <c r="E808" s="16">
        <v>197853</v>
      </c>
      <c r="F808" s="16">
        <v>197853</v>
      </c>
      <c r="G808" s="15">
        <v>15</v>
      </c>
      <c r="H808" s="15" t="s">
        <v>748</v>
      </c>
      <c r="I808" s="23">
        <v>197853</v>
      </c>
    </row>
    <row r="809" spans="1:9" s="17" customFormat="1" x14ac:dyDescent="0.25">
      <c r="A809" s="14">
        <v>46188</v>
      </c>
      <c r="B809" s="15" t="s">
        <v>1171</v>
      </c>
      <c r="C809" s="15" t="s">
        <v>188</v>
      </c>
      <c r="D809" s="15" t="s">
        <v>321</v>
      </c>
      <c r="E809" s="16">
        <v>57349</v>
      </c>
      <c r="F809" s="16">
        <v>57349</v>
      </c>
      <c r="G809" s="15">
        <v>15</v>
      </c>
      <c r="H809" s="15" t="s">
        <v>748</v>
      </c>
      <c r="I809" s="23">
        <v>57349</v>
      </c>
    </row>
    <row r="810" spans="1:9" s="17" customFormat="1" x14ac:dyDescent="0.25">
      <c r="A810" s="14">
        <v>46188</v>
      </c>
      <c r="B810" s="15" t="s">
        <v>1172</v>
      </c>
      <c r="C810" s="15" t="s">
        <v>204</v>
      </c>
      <c r="D810" s="15" t="s">
        <v>321</v>
      </c>
      <c r="E810" s="16">
        <v>12500</v>
      </c>
      <c r="F810" s="16">
        <v>12375</v>
      </c>
      <c r="G810" s="15">
        <v>15</v>
      </c>
      <c r="H810" s="15" t="s">
        <v>748</v>
      </c>
      <c r="I810" s="23">
        <v>12375</v>
      </c>
    </row>
    <row r="811" spans="1:9" s="17" customFormat="1" x14ac:dyDescent="0.25">
      <c r="A811" s="14">
        <v>46188</v>
      </c>
      <c r="B811" s="15" t="s">
        <v>1173</v>
      </c>
      <c r="C811" s="15" t="s">
        <v>209</v>
      </c>
      <c r="D811" s="15" t="s">
        <v>332</v>
      </c>
      <c r="E811" s="16">
        <v>459101.32</v>
      </c>
      <c r="F811" s="16">
        <v>459101.32</v>
      </c>
      <c r="G811" s="15">
        <v>15</v>
      </c>
      <c r="H811" s="15" t="s">
        <v>748</v>
      </c>
      <c r="I811" s="23">
        <v>459101.32</v>
      </c>
    </row>
    <row r="812" spans="1:9" s="17" customFormat="1" x14ac:dyDescent="0.25">
      <c r="A812" s="14">
        <v>46189</v>
      </c>
      <c r="B812" s="15" t="s">
        <v>1174</v>
      </c>
      <c r="C812" s="15" t="s">
        <v>18</v>
      </c>
      <c r="D812" s="15" t="s">
        <v>332</v>
      </c>
      <c r="E812" s="16">
        <v>59389.8</v>
      </c>
      <c r="F812" s="16">
        <v>59389.8</v>
      </c>
      <c r="G812" s="15">
        <v>14</v>
      </c>
      <c r="H812" s="15" t="s">
        <v>748</v>
      </c>
      <c r="I812" s="23">
        <v>59389.8</v>
      </c>
    </row>
    <row r="813" spans="1:9" s="17" customFormat="1" x14ac:dyDescent="0.25">
      <c r="A813" s="14">
        <v>46189</v>
      </c>
      <c r="B813" s="15" t="s">
        <v>1175</v>
      </c>
      <c r="C813" s="15" t="s">
        <v>18</v>
      </c>
      <c r="D813" s="15" t="s">
        <v>332</v>
      </c>
      <c r="E813" s="16">
        <v>59249.26</v>
      </c>
      <c r="F813" s="16">
        <v>59249.26</v>
      </c>
      <c r="G813" s="15">
        <v>14</v>
      </c>
      <c r="H813" s="15" t="s">
        <v>748</v>
      </c>
      <c r="I813" s="23">
        <v>59249.26</v>
      </c>
    </row>
    <row r="814" spans="1:9" s="17" customFormat="1" x14ac:dyDescent="0.25">
      <c r="A814" s="14">
        <v>46189</v>
      </c>
      <c r="B814" s="15" t="s">
        <v>1176</v>
      </c>
      <c r="C814" s="15" t="s">
        <v>18</v>
      </c>
      <c r="D814" s="15" t="s">
        <v>332</v>
      </c>
      <c r="E814" s="16">
        <v>56774.32</v>
      </c>
      <c r="F814" s="16">
        <v>56774.32</v>
      </c>
      <c r="G814" s="15">
        <v>14</v>
      </c>
      <c r="H814" s="15" t="s">
        <v>748</v>
      </c>
      <c r="I814" s="23">
        <v>56774.32</v>
      </c>
    </row>
    <row r="815" spans="1:9" s="17" customFormat="1" x14ac:dyDescent="0.25">
      <c r="A815" s="14">
        <v>46189</v>
      </c>
      <c r="B815" s="15" t="s">
        <v>1177</v>
      </c>
      <c r="C815" s="15" t="s">
        <v>18</v>
      </c>
      <c r="D815" s="15" t="s">
        <v>332</v>
      </c>
      <c r="E815" s="16">
        <v>56385.08</v>
      </c>
      <c r="F815" s="16">
        <v>56385.08</v>
      </c>
      <c r="G815" s="15">
        <v>14</v>
      </c>
      <c r="H815" s="15" t="s">
        <v>748</v>
      </c>
      <c r="I815" s="23">
        <v>56385.08</v>
      </c>
    </row>
    <row r="816" spans="1:9" s="17" customFormat="1" x14ac:dyDescent="0.25">
      <c r="A816" s="14">
        <v>46189</v>
      </c>
      <c r="B816" s="15" t="s">
        <v>1178</v>
      </c>
      <c r="C816" s="15" t="s">
        <v>18</v>
      </c>
      <c r="D816" s="15" t="s">
        <v>332</v>
      </c>
      <c r="E816" s="16">
        <v>55200.67</v>
      </c>
      <c r="F816" s="16">
        <v>55200.67</v>
      </c>
      <c r="G816" s="15">
        <v>14</v>
      </c>
      <c r="H816" s="15" t="s">
        <v>748</v>
      </c>
      <c r="I816" s="23">
        <v>55200.67</v>
      </c>
    </row>
    <row r="817" spans="1:9" s="17" customFormat="1" x14ac:dyDescent="0.25">
      <c r="A817" s="14">
        <v>46189</v>
      </c>
      <c r="B817" s="15" t="s">
        <v>1179</v>
      </c>
      <c r="C817" s="15" t="s">
        <v>18</v>
      </c>
      <c r="D817" s="15" t="s">
        <v>332</v>
      </c>
      <c r="E817" s="16">
        <v>54759.360000000001</v>
      </c>
      <c r="F817" s="16">
        <v>54759.360000000001</v>
      </c>
      <c r="G817" s="15">
        <v>14</v>
      </c>
      <c r="H817" s="15" t="s">
        <v>748</v>
      </c>
      <c r="I817" s="23">
        <v>54759.360000000001</v>
      </c>
    </row>
    <row r="818" spans="1:9" s="17" customFormat="1" x14ac:dyDescent="0.25">
      <c r="A818" s="14">
        <v>46189</v>
      </c>
      <c r="B818" s="15" t="s">
        <v>1180</v>
      </c>
      <c r="C818" s="15" t="s">
        <v>18</v>
      </c>
      <c r="D818" s="15" t="s">
        <v>332</v>
      </c>
      <c r="E818" s="16">
        <v>57163.54</v>
      </c>
      <c r="F818" s="16">
        <v>57163.54</v>
      </c>
      <c r="G818" s="15">
        <v>14</v>
      </c>
      <c r="H818" s="15" t="s">
        <v>748</v>
      </c>
      <c r="I818" s="23">
        <v>57163.54</v>
      </c>
    </row>
    <row r="819" spans="1:9" s="17" customFormat="1" x14ac:dyDescent="0.25">
      <c r="A819" s="14">
        <v>46189</v>
      </c>
      <c r="B819" s="15" t="s">
        <v>1181</v>
      </c>
      <c r="C819" s="15" t="s">
        <v>18</v>
      </c>
      <c r="D819" s="15" t="s">
        <v>332</v>
      </c>
      <c r="E819" s="16">
        <v>57657.94</v>
      </c>
      <c r="F819" s="16">
        <v>57657.94</v>
      </c>
      <c r="G819" s="15">
        <v>14</v>
      </c>
      <c r="H819" s="15" t="s">
        <v>748</v>
      </c>
      <c r="I819" s="23">
        <v>57657.94</v>
      </c>
    </row>
    <row r="820" spans="1:9" s="17" customFormat="1" x14ac:dyDescent="0.25">
      <c r="A820" s="14">
        <v>46189</v>
      </c>
      <c r="B820" s="15" t="s">
        <v>1182</v>
      </c>
      <c r="C820" s="15" t="s">
        <v>18</v>
      </c>
      <c r="D820" s="15" t="s">
        <v>332</v>
      </c>
      <c r="E820" s="16">
        <v>58100.25</v>
      </c>
      <c r="F820" s="16">
        <v>58100.25</v>
      </c>
      <c r="G820" s="15">
        <v>14</v>
      </c>
      <c r="H820" s="15" t="s">
        <v>748</v>
      </c>
      <c r="I820" s="23">
        <v>58100.25</v>
      </c>
    </row>
    <row r="821" spans="1:9" s="17" customFormat="1" x14ac:dyDescent="0.25">
      <c r="A821" s="14">
        <v>46189</v>
      </c>
      <c r="B821" s="15" t="s">
        <v>1183</v>
      </c>
      <c r="C821" s="15" t="s">
        <v>18</v>
      </c>
      <c r="D821" s="15" t="s">
        <v>332</v>
      </c>
      <c r="E821" s="16">
        <v>57092.78</v>
      </c>
      <c r="F821" s="16">
        <v>57092.78</v>
      </c>
      <c r="G821" s="15">
        <v>14</v>
      </c>
      <c r="H821" s="15" t="s">
        <v>748</v>
      </c>
      <c r="I821" s="23">
        <v>57092.78</v>
      </c>
    </row>
    <row r="822" spans="1:9" s="17" customFormat="1" x14ac:dyDescent="0.25">
      <c r="A822" s="14">
        <v>46189</v>
      </c>
      <c r="B822" s="15" t="s">
        <v>1184</v>
      </c>
      <c r="C822" s="15" t="s">
        <v>18</v>
      </c>
      <c r="D822" s="15" t="s">
        <v>332</v>
      </c>
      <c r="E822" s="16">
        <v>57233.32</v>
      </c>
      <c r="F822" s="16">
        <v>57233.32</v>
      </c>
      <c r="G822" s="15">
        <v>14</v>
      </c>
      <c r="H822" s="15" t="s">
        <v>748</v>
      </c>
      <c r="I822" s="23">
        <v>57233.32</v>
      </c>
    </row>
    <row r="823" spans="1:9" s="17" customFormat="1" x14ac:dyDescent="0.25">
      <c r="A823" s="14">
        <v>46189</v>
      </c>
      <c r="B823" s="15" t="s">
        <v>1185</v>
      </c>
      <c r="C823" s="15" t="s">
        <v>18</v>
      </c>
      <c r="D823" s="15" t="s">
        <v>332</v>
      </c>
      <c r="E823" s="16">
        <v>58171.01</v>
      </c>
      <c r="F823" s="16">
        <v>58171.01</v>
      </c>
      <c r="G823" s="15">
        <v>14</v>
      </c>
      <c r="H823" s="15" t="s">
        <v>748</v>
      </c>
      <c r="I823" s="23">
        <v>58171.01</v>
      </c>
    </row>
    <row r="824" spans="1:9" s="17" customFormat="1" x14ac:dyDescent="0.25">
      <c r="A824" s="14">
        <v>46189</v>
      </c>
      <c r="B824" s="15" t="s">
        <v>1186</v>
      </c>
      <c r="C824" s="15" t="s">
        <v>18</v>
      </c>
      <c r="D824" s="15" t="s">
        <v>332</v>
      </c>
      <c r="E824" s="16">
        <v>60503.43</v>
      </c>
      <c r="F824" s="16">
        <v>60503.43</v>
      </c>
      <c r="G824" s="15">
        <v>14</v>
      </c>
      <c r="H824" s="15" t="s">
        <v>748</v>
      </c>
      <c r="I824" s="23">
        <v>60503.43</v>
      </c>
    </row>
    <row r="825" spans="1:9" s="17" customFormat="1" x14ac:dyDescent="0.25">
      <c r="A825" s="14">
        <v>46189</v>
      </c>
      <c r="B825" s="15" t="s">
        <v>1187</v>
      </c>
      <c r="C825" s="15" t="s">
        <v>18</v>
      </c>
      <c r="D825" s="15" t="s">
        <v>332</v>
      </c>
      <c r="E825" s="16">
        <v>59920.58</v>
      </c>
      <c r="F825" s="16">
        <v>59920.58</v>
      </c>
      <c r="G825" s="15">
        <v>14</v>
      </c>
      <c r="H825" s="15" t="s">
        <v>748</v>
      </c>
      <c r="I825" s="23">
        <v>59920.58</v>
      </c>
    </row>
    <row r="826" spans="1:9" s="17" customFormat="1" x14ac:dyDescent="0.25">
      <c r="A826" s="14">
        <v>46189</v>
      </c>
      <c r="B826" s="15" t="s">
        <v>1188</v>
      </c>
      <c r="C826" s="15" t="s">
        <v>18</v>
      </c>
      <c r="D826" s="15" t="s">
        <v>332</v>
      </c>
      <c r="E826" s="16">
        <v>56261.23</v>
      </c>
      <c r="F826" s="16">
        <v>56261.23</v>
      </c>
      <c r="G826" s="15">
        <v>14</v>
      </c>
      <c r="H826" s="15" t="s">
        <v>748</v>
      </c>
      <c r="I826" s="23">
        <v>56261.23</v>
      </c>
    </row>
    <row r="827" spans="1:9" s="17" customFormat="1" x14ac:dyDescent="0.25">
      <c r="A827" s="14">
        <v>46189</v>
      </c>
      <c r="B827" s="15" t="s">
        <v>1189</v>
      </c>
      <c r="C827" s="15" t="s">
        <v>18</v>
      </c>
      <c r="D827" s="15" t="s">
        <v>332</v>
      </c>
      <c r="E827" s="16">
        <v>59708.26</v>
      </c>
      <c r="F827" s="16">
        <v>59708.26</v>
      </c>
      <c r="G827" s="15">
        <v>14</v>
      </c>
      <c r="H827" s="15" t="s">
        <v>748</v>
      </c>
      <c r="I827" s="23">
        <v>59708.26</v>
      </c>
    </row>
    <row r="828" spans="1:9" s="17" customFormat="1" x14ac:dyDescent="0.25">
      <c r="A828" s="14">
        <v>46189</v>
      </c>
      <c r="B828" s="15" t="s">
        <v>1190</v>
      </c>
      <c r="C828" s="15" t="s">
        <v>18</v>
      </c>
      <c r="D828" s="15" t="s">
        <v>332</v>
      </c>
      <c r="E828" s="16">
        <v>60821.89</v>
      </c>
      <c r="F828" s="16">
        <v>60821.89</v>
      </c>
      <c r="G828" s="15">
        <v>14</v>
      </c>
      <c r="H828" s="15" t="s">
        <v>748</v>
      </c>
      <c r="I828" s="23">
        <v>60821.89</v>
      </c>
    </row>
    <row r="829" spans="1:9" s="17" customFormat="1" x14ac:dyDescent="0.25">
      <c r="A829" s="14">
        <v>46189</v>
      </c>
      <c r="B829" s="15" t="s">
        <v>1191</v>
      </c>
      <c r="C829" s="15" t="s">
        <v>18</v>
      </c>
      <c r="D829" s="15" t="s">
        <v>332</v>
      </c>
      <c r="E829" s="16">
        <v>51719.26</v>
      </c>
      <c r="F829" s="16">
        <v>51719.26</v>
      </c>
      <c r="G829" s="15">
        <v>14</v>
      </c>
      <c r="H829" s="15" t="s">
        <v>748</v>
      </c>
      <c r="I829" s="23">
        <v>51719.26</v>
      </c>
    </row>
    <row r="830" spans="1:9" s="17" customFormat="1" x14ac:dyDescent="0.25">
      <c r="A830" s="14">
        <v>46189</v>
      </c>
      <c r="B830" s="15" t="s">
        <v>1192</v>
      </c>
      <c r="C830" s="15" t="s">
        <v>18</v>
      </c>
      <c r="D830" s="15" t="s">
        <v>332</v>
      </c>
      <c r="E830" s="16">
        <v>47936.06</v>
      </c>
      <c r="F830" s="16">
        <v>47936.06</v>
      </c>
      <c r="G830" s="15">
        <v>14</v>
      </c>
      <c r="H830" s="15" t="s">
        <v>748</v>
      </c>
      <c r="I830" s="23">
        <v>47936.06</v>
      </c>
    </row>
    <row r="831" spans="1:9" s="17" customFormat="1" x14ac:dyDescent="0.25">
      <c r="A831" s="14">
        <v>46189</v>
      </c>
      <c r="B831" s="15" t="s">
        <v>1193</v>
      </c>
      <c r="C831" s="15" t="s">
        <v>18</v>
      </c>
      <c r="D831" s="15" t="s">
        <v>332</v>
      </c>
      <c r="E831" s="16">
        <v>49102.76</v>
      </c>
      <c r="F831" s="16">
        <v>49102.76</v>
      </c>
      <c r="G831" s="15">
        <v>14</v>
      </c>
      <c r="H831" s="15" t="s">
        <v>748</v>
      </c>
      <c r="I831" s="23">
        <v>49102.76</v>
      </c>
    </row>
    <row r="832" spans="1:9" s="17" customFormat="1" x14ac:dyDescent="0.25">
      <c r="A832" s="14">
        <v>46189</v>
      </c>
      <c r="B832" s="15" t="s">
        <v>1194</v>
      </c>
      <c r="C832" s="15" t="s">
        <v>18</v>
      </c>
      <c r="D832" s="15" t="s">
        <v>332</v>
      </c>
      <c r="E832" s="16">
        <v>51383.09</v>
      </c>
      <c r="F832" s="16">
        <v>51383.09</v>
      </c>
      <c r="G832" s="15">
        <v>14</v>
      </c>
      <c r="H832" s="15" t="s">
        <v>748</v>
      </c>
      <c r="I832" s="23">
        <v>51383.09</v>
      </c>
    </row>
    <row r="833" spans="1:9" s="17" customFormat="1" x14ac:dyDescent="0.25">
      <c r="A833" s="14">
        <v>46189</v>
      </c>
      <c r="B833" s="15" t="s">
        <v>1195</v>
      </c>
      <c r="C833" s="15" t="s">
        <v>18</v>
      </c>
      <c r="D833" s="15" t="s">
        <v>332</v>
      </c>
      <c r="E833" s="16">
        <v>59160.79</v>
      </c>
      <c r="F833" s="16">
        <v>59160.79</v>
      </c>
      <c r="G833" s="15">
        <v>14</v>
      </c>
      <c r="H833" s="15" t="s">
        <v>748</v>
      </c>
      <c r="I833" s="23">
        <v>59160.79</v>
      </c>
    </row>
    <row r="834" spans="1:9" s="17" customFormat="1" x14ac:dyDescent="0.25">
      <c r="A834" s="14">
        <v>46189</v>
      </c>
      <c r="B834" s="15" t="s">
        <v>1196</v>
      </c>
      <c r="C834" s="15" t="s">
        <v>18</v>
      </c>
      <c r="D834" s="15" t="s">
        <v>332</v>
      </c>
      <c r="E834" s="16">
        <v>57039.69</v>
      </c>
      <c r="F834" s="16">
        <v>57039.69</v>
      </c>
      <c r="G834" s="15">
        <v>14</v>
      </c>
      <c r="H834" s="15" t="s">
        <v>748</v>
      </c>
      <c r="I834" s="23">
        <v>57039.69</v>
      </c>
    </row>
    <row r="835" spans="1:9" s="17" customFormat="1" x14ac:dyDescent="0.25">
      <c r="A835" s="14">
        <v>46189</v>
      </c>
      <c r="B835" s="15" t="s">
        <v>1197</v>
      </c>
      <c r="C835" s="15" t="s">
        <v>18</v>
      </c>
      <c r="D835" s="15" t="s">
        <v>332</v>
      </c>
      <c r="E835" s="16">
        <v>59372.11</v>
      </c>
      <c r="F835" s="16">
        <v>59372.11</v>
      </c>
      <c r="G835" s="15">
        <v>14</v>
      </c>
      <c r="H835" s="15" t="s">
        <v>748</v>
      </c>
      <c r="I835" s="23">
        <v>59372.11</v>
      </c>
    </row>
    <row r="836" spans="1:9" s="17" customFormat="1" x14ac:dyDescent="0.25">
      <c r="A836" s="14">
        <v>46189</v>
      </c>
      <c r="B836" s="15" t="s">
        <v>1198</v>
      </c>
      <c r="C836" s="15" t="s">
        <v>18</v>
      </c>
      <c r="D836" s="15" t="s">
        <v>332</v>
      </c>
      <c r="E836" s="16">
        <v>58842.33</v>
      </c>
      <c r="F836" s="16">
        <v>58842.33</v>
      </c>
      <c r="G836" s="15">
        <v>14</v>
      </c>
      <c r="H836" s="15" t="s">
        <v>748</v>
      </c>
      <c r="I836" s="23">
        <v>58842.33</v>
      </c>
    </row>
    <row r="837" spans="1:9" s="17" customFormat="1" x14ac:dyDescent="0.25">
      <c r="A837" s="14">
        <v>46189</v>
      </c>
      <c r="B837" s="15" t="s">
        <v>1199</v>
      </c>
      <c r="C837" s="15" t="s">
        <v>18</v>
      </c>
      <c r="D837" s="15" t="s">
        <v>332</v>
      </c>
      <c r="E837" s="16">
        <v>58948.49</v>
      </c>
      <c r="F837" s="16">
        <v>58948.49</v>
      </c>
      <c r="G837" s="15">
        <v>14</v>
      </c>
      <c r="H837" s="15" t="s">
        <v>748</v>
      </c>
      <c r="I837" s="23">
        <v>58948.49</v>
      </c>
    </row>
    <row r="838" spans="1:9" s="17" customFormat="1" x14ac:dyDescent="0.25">
      <c r="A838" s="14">
        <v>46189</v>
      </c>
      <c r="B838" s="15" t="s">
        <v>1200</v>
      </c>
      <c r="C838" s="15" t="s">
        <v>18</v>
      </c>
      <c r="D838" s="15" t="s">
        <v>332</v>
      </c>
      <c r="E838" s="16">
        <v>56986.62</v>
      </c>
      <c r="F838" s="16">
        <v>56986.62</v>
      </c>
      <c r="G838" s="15">
        <v>14</v>
      </c>
      <c r="H838" s="15" t="s">
        <v>748</v>
      </c>
      <c r="I838" s="23">
        <v>56986.62</v>
      </c>
    </row>
    <row r="839" spans="1:9" s="17" customFormat="1" x14ac:dyDescent="0.25">
      <c r="A839" s="14">
        <v>46189</v>
      </c>
      <c r="B839" s="15" t="s">
        <v>1201</v>
      </c>
      <c r="C839" s="15" t="s">
        <v>18</v>
      </c>
      <c r="D839" s="15" t="s">
        <v>332</v>
      </c>
      <c r="E839" s="16">
        <v>57286.39</v>
      </c>
      <c r="F839" s="16">
        <v>57286.39</v>
      </c>
      <c r="G839" s="15">
        <v>14</v>
      </c>
      <c r="H839" s="15" t="s">
        <v>748</v>
      </c>
      <c r="I839" s="23">
        <v>57286.39</v>
      </c>
    </row>
    <row r="840" spans="1:9" s="17" customFormat="1" x14ac:dyDescent="0.25">
      <c r="A840" s="14">
        <v>46189</v>
      </c>
      <c r="B840" s="15" t="s">
        <v>1202</v>
      </c>
      <c r="C840" s="15" t="s">
        <v>18</v>
      </c>
      <c r="D840" s="15" t="s">
        <v>332</v>
      </c>
      <c r="E840" s="16">
        <v>49014.31</v>
      </c>
      <c r="F840" s="16">
        <v>49014.31</v>
      </c>
      <c r="G840" s="15">
        <v>14</v>
      </c>
      <c r="H840" s="15" t="s">
        <v>748</v>
      </c>
      <c r="I840" s="23">
        <v>49014.31</v>
      </c>
    </row>
    <row r="841" spans="1:9" s="17" customFormat="1" x14ac:dyDescent="0.25">
      <c r="A841" s="14">
        <v>46189</v>
      </c>
      <c r="B841" s="15" t="s">
        <v>1203</v>
      </c>
      <c r="C841" s="15" t="s">
        <v>18</v>
      </c>
      <c r="D841" s="15" t="s">
        <v>332</v>
      </c>
      <c r="E841" s="16">
        <v>49120.45</v>
      </c>
      <c r="F841" s="16">
        <v>49120.45</v>
      </c>
      <c r="G841" s="15">
        <v>14</v>
      </c>
      <c r="H841" s="15" t="s">
        <v>748</v>
      </c>
      <c r="I841" s="23">
        <v>49120.45</v>
      </c>
    </row>
    <row r="842" spans="1:9" s="17" customFormat="1" x14ac:dyDescent="0.25">
      <c r="A842" s="14">
        <v>46189</v>
      </c>
      <c r="B842" s="15" t="s">
        <v>1204</v>
      </c>
      <c r="C842" s="15" t="s">
        <v>18</v>
      </c>
      <c r="D842" s="15" t="s">
        <v>332</v>
      </c>
      <c r="E842" s="16">
        <v>51365.4</v>
      </c>
      <c r="F842" s="16">
        <v>51365.4</v>
      </c>
      <c r="G842" s="15">
        <v>14</v>
      </c>
      <c r="H842" s="15" t="s">
        <v>748</v>
      </c>
      <c r="I842" s="23">
        <v>51365.4</v>
      </c>
    </row>
    <row r="843" spans="1:9" s="17" customFormat="1" x14ac:dyDescent="0.25">
      <c r="A843" s="14">
        <v>46189</v>
      </c>
      <c r="B843" s="15" t="s">
        <v>1205</v>
      </c>
      <c r="C843" s="15" t="s">
        <v>18</v>
      </c>
      <c r="D843" s="15" t="s">
        <v>332</v>
      </c>
      <c r="E843" s="16">
        <v>72091.05</v>
      </c>
      <c r="F843" s="16">
        <v>72091.05</v>
      </c>
      <c r="G843" s="15">
        <v>14</v>
      </c>
      <c r="H843" s="15" t="s">
        <v>748</v>
      </c>
      <c r="I843" s="23">
        <v>72091.05</v>
      </c>
    </row>
    <row r="844" spans="1:9" s="17" customFormat="1" x14ac:dyDescent="0.25">
      <c r="A844" s="14">
        <v>46189</v>
      </c>
      <c r="B844" s="15" t="s">
        <v>1206</v>
      </c>
      <c r="C844" s="15" t="s">
        <v>1057</v>
      </c>
      <c r="D844" s="15" t="s">
        <v>306</v>
      </c>
      <c r="E844" s="16">
        <v>88777</v>
      </c>
      <c r="F844" s="16">
        <v>88777</v>
      </c>
      <c r="G844" s="15">
        <v>14</v>
      </c>
      <c r="H844" s="15" t="s">
        <v>748</v>
      </c>
      <c r="I844" s="23">
        <v>88777</v>
      </c>
    </row>
    <row r="845" spans="1:9" s="17" customFormat="1" x14ac:dyDescent="0.25">
      <c r="A845" s="14">
        <v>46189</v>
      </c>
      <c r="B845" s="15" t="s">
        <v>1207</v>
      </c>
      <c r="C845" s="15" t="s">
        <v>43</v>
      </c>
      <c r="D845" s="15" t="s">
        <v>321</v>
      </c>
      <c r="E845" s="16">
        <v>77533</v>
      </c>
      <c r="F845" s="16">
        <v>77533</v>
      </c>
      <c r="G845" s="15">
        <v>14</v>
      </c>
      <c r="H845" s="15" t="s">
        <v>748</v>
      </c>
      <c r="I845" s="23">
        <v>77533</v>
      </c>
    </row>
    <row r="846" spans="1:9" s="17" customFormat="1" x14ac:dyDescent="0.25">
      <c r="A846" s="14">
        <v>46189</v>
      </c>
      <c r="B846" s="15" t="s">
        <v>1208</v>
      </c>
      <c r="C846" s="15" t="s">
        <v>43</v>
      </c>
      <c r="D846" s="15" t="s">
        <v>321</v>
      </c>
      <c r="E846" s="16">
        <v>79387</v>
      </c>
      <c r="F846" s="16">
        <v>79387</v>
      </c>
      <c r="G846" s="15">
        <v>14</v>
      </c>
      <c r="H846" s="15" t="s">
        <v>748</v>
      </c>
      <c r="I846" s="23">
        <v>79387</v>
      </c>
    </row>
    <row r="847" spans="1:9" s="17" customFormat="1" x14ac:dyDescent="0.25">
      <c r="A847" s="14">
        <v>46189</v>
      </c>
      <c r="B847" s="15" t="s">
        <v>1209</v>
      </c>
      <c r="C847" s="15" t="s">
        <v>1025</v>
      </c>
      <c r="D847" s="15" t="s">
        <v>280</v>
      </c>
      <c r="E847" s="16">
        <v>21712</v>
      </c>
      <c r="F847" s="16">
        <v>21712</v>
      </c>
      <c r="G847" s="15">
        <v>14</v>
      </c>
      <c r="H847" s="15" t="s">
        <v>748</v>
      </c>
      <c r="I847" s="23">
        <v>-21712</v>
      </c>
    </row>
    <row r="848" spans="1:9" s="17" customFormat="1" x14ac:dyDescent="0.25">
      <c r="A848" s="14">
        <v>46189</v>
      </c>
      <c r="B848" s="15" t="s">
        <v>1210</v>
      </c>
      <c r="C848" s="15" t="s">
        <v>99</v>
      </c>
      <c r="D848" s="15" t="s">
        <v>306</v>
      </c>
      <c r="E848" s="16">
        <v>199174.96</v>
      </c>
      <c r="F848" s="16">
        <v>199174.96</v>
      </c>
      <c r="G848" s="15">
        <v>14</v>
      </c>
      <c r="H848" s="15" t="s">
        <v>748</v>
      </c>
      <c r="I848" s="23">
        <v>199174.96</v>
      </c>
    </row>
    <row r="849" spans="1:9" s="17" customFormat="1" x14ac:dyDescent="0.25">
      <c r="A849" s="14">
        <v>46189</v>
      </c>
      <c r="B849" s="15" t="s">
        <v>1211</v>
      </c>
      <c r="C849" s="15" t="s">
        <v>1038</v>
      </c>
      <c r="D849" s="15" t="s">
        <v>306</v>
      </c>
      <c r="E849" s="16">
        <v>4970</v>
      </c>
      <c r="F849" s="16">
        <v>4970</v>
      </c>
      <c r="G849" s="15">
        <v>14</v>
      </c>
      <c r="H849" s="15" t="s">
        <v>748</v>
      </c>
      <c r="I849" s="23">
        <v>4970</v>
      </c>
    </row>
    <row r="850" spans="1:9" s="17" customFormat="1" x14ac:dyDescent="0.25">
      <c r="A850" s="14">
        <v>46189</v>
      </c>
      <c r="B850" s="15" t="s">
        <v>1212</v>
      </c>
      <c r="C850" s="15" t="s">
        <v>1021</v>
      </c>
      <c r="D850" s="15" t="s">
        <v>347</v>
      </c>
      <c r="E850" s="16">
        <v>362810</v>
      </c>
      <c r="F850" s="16">
        <v>362810</v>
      </c>
      <c r="G850" s="15">
        <v>14</v>
      </c>
      <c r="H850" s="15" t="s">
        <v>748</v>
      </c>
      <c r="I850" s="23">
        <v>-362810</v>
      </c>
    </row>
    <row r="851" spans="1:9" s="17" customFormat="1" x14ac:dyDescent="0.25">
      <c r="A851" s="14">
        <v>46189</v>
      </c>
      <c r="B851" s="15" t="s">
        <v>1213</v>
      </c>
      <c r="C851" s="15" t="s">
        <v>111</v>
      </c>
      <c r="D851" s="15" t="s">
        <v>335</v>
      </c>
      <c r="E851" s="16">
        <v>47914</v>
      </c>
      <c r="F851" s="16">
        <v>47914</v>
      </c>
      <c r="G851" s="15">
        <v>14</v>
      </c>
      <c r="H851" s="15" t="s">
        <v>748</v>
      </c>
      <c r="I851" s="23">
        <v>47914</v>
      </c>
    </row>
    <row r="852" spans="1:9" s="17" customFormat="1" x14ac:dyDescent="0.25">
      <c r="A852" s="14">
        <v>46189</v>
      </c>
      <c r="B852" s="15" t="s">
        <v>1214</v>
      </c>
      <c r="C852" s="15" t="s">
        <v>135</v>
      </c>
      <c r="D852" s="15" t="s">
        <v>531</v>
      </c>
      <c r="E852" s="16">
        <v>18000.84</v>
      </c>
      <c r="F852" s="16">
        <v>18000.84</v>
      </c>
      <c r="G852" s="15">
        <v>14</v>
      </c>
      <c r="H852" s="15" t="s">
        <v>748</v>
      </c>
      <c r="I852" s="23">
        <v>18000.84</v>
      </c>
    </row>
    <row r="853" spans="1:9" s="17" customFormat="1" x14ac:dyDescent="0.25">
      <c r="A853" s="14">
        <v>46189</v>
      </c>
      <c r="B853" s="15" t="s">
        <v>1215</v>
      </c>
      <c r="C853" s="15" t="s">
        <v>174</v>
      </c>
      <c r="D853" s="15" t="s">
        <v>319</v>
      </c>
      <c r="E853" s="16">
        <v>60900</v>
      </c>
      <c r="F853" s="16">
        <v>60900</v>
      </c>
      <c r="G853" s="15">
        <v>14</v>
      </c>
      <c r="H853" s="15" t="s">
        <v>748</v>
      </c>
      <c r="I853" s="23">
        <v>60900</v>
      </c>
    </row>
    <row r="854" spans="1:9" s="17" customFormat="1" x14ac:dyDescent="0.25">
      <c r="A854" s="14">
        <v>46189</v>
      </c>
      <c r="B854" s="15" t="s">
        <v>1216</v>
      </c>
      <c r="C854" s="15" t="s">
        <v>188</v>
      </c>
      <c r="D854" s="15" t="s">
        <v>321</v>
      </c>
      <c r="E854" s="16">
        <v>200721</v>
      </c>
      <c r="F854" s="16">
        <v>200721</v>
      </c>
      <c r="G854" s="15">
        <v>14</v>
      </c>
      <c r="H854" s="15" t="s">
        <v>748</v>
      </c>
      <c r="I854" s="23">
        <v>200721</v>
      </c>
    </row>
    <row r="855" spans="1:9" s="17" customFormat="1" x14ac:dyDescent="0.25">
      <c r="A855" s="14">
        <v>46189</v>
      </c>
      <c r="B855" s="15" t="s">
        <v>1217</v>
      </c>
      <c r="C855" s="15" t="s">
        <v>188</v>
      </c>
      <c r="D855" s="15" t="s">
        <v>321</v>
      </c>
      <c r="E855" s="16">
        <v>57349</v>
      </c>
      <c r="F855" s="16">
        <v>57349</v>
      </c>
      <c r="G855" s="15">
        <v>14</v>
      </c>
      <c r="H855" s="15" t="s">
        <v>748</v>
      </c>
      <c r="I855" s="23">
        <v>57349</v>
      </c>
    </row>
    <row r="856" spans="1:9" s="17" customFormat="1" x14ac:dyDescent="0.25">
      <c r="A856" s="14">
        <v>46189</v>
      </c>
      <c r="B856" s="15" t="s">
        <v>1218</v>
      </c>
      <c r="C856" s="15" t="s">
        <v>207</v>
      </c>
      <c r="D856" s="15" t="s">
        <v>347</v>
      </c>
      <c r="E856" s="16">
        <v>139762.35</v>
      </c>
      <c r="F856" s="16">
        <v>28064.39</v>
      </c>
      <c r="G856" s="15">
        <v>14</v>
      </c>
      <c r="H856" s="15" t="s">
        <v>748</v>
      </c>
      <c r="I856" s="23">
        <v>-28064.39</v>
      </c>
    </row>
    <row r="857" spans="1:9" s="17" customFormat="1" x14ac:dyDescent="0.25">
      <c r="A857" s="14">
        <v>46190</v>
      </c>
      <c r="B857" s="15" t="s">
        <v>1219</v>
      </c>
      <c r="C857" s="15" t="s">
        <v>13</v>
      </c>
      <c r="D857" s="15" t="s">
        <v>306</v>
      </c>
      <c r="E857" s="16">
        <v>28084</v>
      </c>
      <c r="F857" s="16">
        <v>28084</v>
      </c>
      <c r="G857" s="15">
        <v>13</v>
      </c>
      <c r="H857" s="15" t="s">
        <v>748</v>
      </c>
      <c r="I857" s="23">
        <v>28084</v>
      </c>
    </row>
    <row r="858" spans="1:9" s="17" customFormat="1" x14ac:dyDescent="0.25">
      <c r="A858" s="14">
        <v>46190</v>
      </c>
      <c r="B858" s="15" t="s">
        <v>1220</v>
      </c>
      <c r="C858" s="15" t="s">
        <v>20</v>
      </c>
      <c r="D858" s="15" t="s">
        <v>332</v>
      </c>
      <c r="E858" s="16">
        <v>112829.86</v>
      </c>
      <c r="F858" s="16">
        <v>112829.86</v>
      </c>
      <c r="G858" s="15">
        <v>13</v>
      </c>
      <c r="H858" s="15" t="s">
        <v>748</v>
      </c>
      <c r="I858" s="23">
        <v>112829.86</v>
      </c>
    </row>
    <row r="859" spans="1:9" s="17" customFormat="1" x14ac:dyDescent="0.25">
      <c r="A859" s="14">
        <v>46190</v>
      </c>
      <c r="B859" s="15" t="s">
        <v>1221</v>
      </c>
      <c r="C859" s="15" t="s">
        <v>32</v>
      </c>
      <c r="D859" s="15" t="s">
        <v>319</v>
      </c>
      <c r="E859" s="16">
        <v>58870</v>
      </c>
      <c r="F859" s="16">
        <v>58870</v>
      </c>
      <c r="G859" s="15">
        <v>13</v>
      </c>
      <c r="H859" s="15" t="s">
        <v>748</v>
      </c>
      <c r="I859" s="23">
        <v>58870</v>
      </c>
    </row>
    <row r="860" spans="1:9" s="17" customFormat="1" x14ac:dyDescent="0.25">
      <c r="A860" s="14">
        <v>46190</v>
      </c>
      <c r="B860" s="15" t="s">
        <v>1222</v>
      </c>
      <c r="C860" s="15" t="s">
        <v>43</v>
      </c>
      <c r="D860" s="15" t="s">
        <v>321</v>
      </c>
      <c r="E860" s="16">
        <v>78812</v>
      </c>
      <c r="F860" s="16">
        <v>78812</v>
      </c>
      <c r="G860" s="15">
        <v>13</v>
      </c>
      <c r="H860" s="15" t="s">
        <v>748</v>
      </c>
      <c r="I860" s="23">
        <v>78812</v>
      </c>
    </row>
    <row r="861" spans="1:9" s="17" customFormat="1" x14ac:dyDescent="0.25">
      <c r="A861" s="14">
        <v>46190</v>
      </c>
      <c r="B861" s="15" t="s">
        <v>1223</v>
      </c>
      <c r="C861" s="15" t="s">
        <v>1020</v>
      </c>
      <c r="D861" s="15" t="s">
        <v>531</v>
      </c>
      <c r="E861" s="16">
        <v>495000</v>
      </c>
      <c r="F861" s="16">
        <v>495000</v>
      </c>
      <c r="G861" s="15">
        <v>13</v>
      </c>
      <c r="H861" s="15" t="s">
        <v>748</v>
      </c>
      <c r="I861" s="23">
        <v>-495000</v>
      </c>
    </row>
    <row r="862" spans="1:9" s="17" customFormat="1" x14ac:dyDescent="0.25">
      <c r="A862" s="14">
        <v>46190</v>
      </c>
      <c r="B862" s="15" t="s">
        <v>1224</v>
      </c>
      <c r="C862" s="15" t="s">
        <v>111</v>
      </c>
      <c r="D862" s="15" t="s">
        <v>335</v>
      </c>
      <c r="E862" s="16">
        <v>80015</v>
      </c>
      <c r="F862" s="16">
        <v>80015</v>
      </c>
      <c r="G862" s="15">
        <v>13</v>
      </c>
      <c r="H862" s="15" t="s">
        <v>748</v>
      </c>
      <c r="I862" s="23">
        <v>80015</v>
      </c>
    </row>
    <row r="863" spans="1:9" s="17" customFormat="1" x14ac:dyDescent="0.25">
      <c r="A863" s="14">
        <v>46190</v>
      </c>
      <c r="B863" s="15" t="s">
        <v>1225</v>
      </c>
      <c r="C863" s="15" t="s">
        <v>1022</v>
      </c>
      <c r="D863" s="15" t="s">
        <v>280</v>
      </c>
      <c r="E863" s="16">
        <v>66000</v>
      </c>
      <c r="F863" s="16">
        <v>66000</v>
      </c>
      <c r="G863" s="15">
        <v>13</v>
      </c>
      <c r="H863" s="15" t="s">
        <v>748</v>
      </c>
      <c r="I863" s="23">
        <v>-66000</v>
      </c>
    </row>
    <row r="864" spans="1:9" s="17" customFormat="1" x14ac:dyDescent="0.25">
      <c r="A864" s="14">
        <v>46190</v>
      </c>
      <c r="B864" s="15" t="s">
        <v>1226</v>
      </c>
      <c r="C864" s="15" t="s">
        <v>171</v>
      </c>
      <c r="D864" s="15" t="s">
        <v>332</v>
      </c>
      <c r="E864" s="16">
        <v>123467</v>
      </c>
      <c r="F864" s="16">
        <v>12366.23</v>
      </c>
      <c r="G864" s="15">
        <v>13</v>
      </c>
      <c r="H864" s="15" t="s">
        <v>748</v>
      </c>
      <c r="I864" s="23">
        <v>12366.23</v>
      </c>
    </row>
    <row r="865" spans="1:9" s="17" customFormat="1" x14ac:dyDescent="0.25">
      <c r="A865" s="14">
        <v>46190</v>
      </c>
      <c r="B865" s="15" t="s">
        <v>1227</v>
      </c>
      <c r="C865" s="15" t="s">
        <v>188</v>
      </c>
      <c r="D865" s="15" t="s">
        <v>321</v>
      </c>
      <c r="E865" s="16">
        <v>169752</v>
      </c>
      <c r="F865" s="16">
        <v>169752</v>
      </c>
      <c r="G865" s="15">
        <v>13</v>
      </c>
      <c r="H865" s="15" t="s">
        <v>748</v>
      </c>
      <c r="I865" s="23">
        <v>169752</v>
      </c>
    </row>
    <row r="866" spans="1:9" s="17" customFormat="1" x14ac:dyDescent="0.25">
      <c r="A866" s="14">
        <v>46190</v>
      </c>
      <c r="B866" s="15" t="s">
        <v>1228</v>
      </c>
      <c r="C866" s="15" t="s">
        <v>188</v>
      </c>
      <c r="D866" s="15" t="s">
        <v>321</v>
      </c>
      <c r="E866" s="16">
        <v>57349</v>
      </c>
      <c r="F866" s="16">
        <v>57349</v>
      </c>
      <c r="G866" s="15">
        <v>13</v>
      </c>
      <c r="H866" s="15" t="s">
        <v>748</v>
      </c>
      <c r="I866" s="23">
        <v>57349</v>
      </c>
    </row>
    <row r="867" spans="1:9" s="17" customFormat="1" x14ac:dyDescent="0.25">
      <c r="A867" s="14">
        <v>46190</v>
      </c>
      <c r="B867" s="15" t="s">
        <v>1229</v>
      </c>
      <c r="C867" s="15" t="s">
        <v>189</v>
      </c>
      <c r="D867" s="15" t="s">
        <v>347</v>
      </c>
      <c r="E867" s="16">
        <v>287357.07</v>
      </c>
      <c r="F867" s="16">
        <v>287357.07</v>
      </c>
      <c r="G867" s="15">
        <v>13</v>
      </c>
      <c r="H867" s="15" t="s">
        <v>748</v>
      </c>
      <c r="I867" s="23">
        <v>287357.07</v>
      </c>
    </row>
    <row r="868" spans="1:9" s="17" customFormat="1" x14ac:dyDescent="0.25">
      <c r="A868" s="14">
        <v>46190</v>
      </c>
      <c r="B868" s="15" t="s">
        <v>1230</v>
      </c>
      <c r="C868" s="15" t="s">
        <v>1019</v>
      </c>
      <c r="D868" s="15" t="s">
        <v>259</v>
      </c>
      <c r="E868" s="16">
        <v>587994</v>
      </c>
      <c r="F868" s="16">
        <v>587994</v>
      </c>
      <c r="G868" s="15">
        <v>13</v>
      </c>
      <c r="H868" s="15" t="s">
        <v>748</v>
      </c>
      <c r="I868" s="23">
        <v>-587994</v>
      </c>
    </row>
    <row r="869" spans="1:9" s="17" customFormat="1" x14ac:dyDescent="0.25">
      <c r="A869" s="14">
        <v>46190</v>
      </c>
      <c r="B869" s="15" t="s">
        <v>1231</v>
      </c>
      <c r="C869" s="15" t="s">
        <v>197</v>
      </c>
      <c r="D869" s="15" t="s">
        <v>319</v>
      </c>
      <c r="E869" s="16">
        <v>631390</v>
      </c>
      <c r="F869" s="16">
        <v>631390</v>
      </c>
      <c r="G869" s="15">
        <v>13</v>
      </c>
      <c r="H869" s="15" t="s">
        <v>748</v>
      </c>
      <c r="I869" s="23">
        <v>631390</v>
      </c>
    </row>
    <row r="870" spans="1:9" s="17" customFormat="1" x14ac:dyDescent="0.25">
      <c r="A870" s="14">
        <v>46190</v>
      </c>
      <c r="B870" s="15" t="s">
        <v>1232</v>
      </c>
      <c r="C870" s="15" t="s">
        <v>1067</v>
      </c>
      <c r="D870" s="15" t="s">
        <v>317</v>
      </c>
      <c r="E870" s="16">
        <v>1879470</v>
      </c>
      <c r="F870" s="16">
        <v>1879470</v>
      </c>
      <c r="G870" s="15">
        <v>13</v>
      </c>
      <c r="H870" s="15" t="s">
        <v>748</v>
      </c>
      <c r="I870" s="23">
        <v>1879470</v>
      </c>
    </row>
    <row r="871" spans="1:9" s="17" customFormat="1" x14ac:dyDescent="0.25">
      <c r="A871" s="14">
        <v>46190</v>
      </c>
      <c r="B871" s="15" t="s">
        <v>1224</v>
      </c>
      <c r="C871" s="15" t="s">
        <v>216</v>
      </c>
      <c r="D871" s="15" t="s">
        <v>335</v>
      </c>
      <c r="E871" s="16">
        <v>202370</v>
      </c>
      <c r="F871" s="16">
        <v>202370</v>
      </c>
      <c r="G871" s="15">
        <v>13</v>
      </c>
      <c r="H871" s="15" t="s">
        <v>748</v>
      </c>
      <c r="I871" s="23">
        <v>202370</v>
      </c>
    </row>
    <row r="872" spans="1:9" s="17" customFormat="1" x14ac:dyDescent="0.25">
      <c r="A872" s="14">
        <v>46190</v>
      </c>
      <c r="B872" s="15" t="s">
        <v>1233</v>
      </c>
      <c r="C872" s="15" t="s">
        <v>216</v>
      </c>
      <c r="D872" s="15" t="s">
        <v>306</v>
      </c>
      <c r="E872" s="16">
        <v>95550</v>
      </c>
      <c r="F872" s="16">
        <v>95550</v>
      </c>
      <c r="G872" s="15">
        <v>13</v>
      </c>
      <c r="H872" s="15" t="s">
        <v>748</v>
      </c>
      <c r="I872" s="23">
        <v>95550</v>
      </c>
    </row>
    <row r="873" spans="1:9" s="17" customFormat="1" x14ac:dyDescent="0.25">
      <c r="A873" s="14">
        <v>46190</v>
      </c>
      <c r="B873" s="15" t="s">
        <v>1234</v>
      </c>
      <c r="C873" s="15" t="s">
        <v>216</v>
      </c>
      <c r="D873" s="15" t="s">
        <v>306</v>
      </c>
      <c r="E873" s="16">
        <v>111475</v>
      </c>
      <c r="F873" s="16">
        <v>111475</v>
      </c>
      <c r="G873" s="15">
        <v>13</v>
      </c>
      <c r="H873" s="15" t="s">
        <v>748</v>
      </c>
      <c r="I873" s="23">
        <v>111475</v>
      </c>
    </row>
    <row r="874" spans="1:9" s="17" customFormat="1" x14ac:dyDescent="0.25">
      <c r="A874" s="14">
        <v>46191</v>
      </c>
      <c r="B874" s="15" t="s">
        <v>1235</v>
      </c>
      <c r="C874" s="15" t="s">
        <v>43</v>
      </c>
      <c r="D874" s="15" t="s">
        <v>321</v>
      </c>
      <c r="E874" s="16">
        <v>88892</v>
      </c>
      <c r="F874" s="16">
        <v>88892</v>
      </c>
      <c r="G874" s="15">
        <v>12</v>
      </c>
      <c r="H874" s="15" t="s">
        <v>748</v>
      </c>
      <c r="I874" s="23">
        <v>88892</v>
      </c>
    </row>
    <row r="875" spans="1:9" s="17" customFormat="1" x14ac:dyDescent="0.25">
      <c r="A875" s="14">
        <v>46191</v>
      </c>
      <c r="B875" s="15" t="s">
        <v>1236</v>
      </c>
      <c r="C875" s="15" t="s">
        <v>43</v>
      </c>
      <c r="D875" s="15" t="s">
        <v>321</v>
      </c>
      <c r="E875" s="16">
        <v>85967</v>
      </c>
      <c r="F875" s="16">
        <v>85967</v>
      </c>
      <c r="G875" s="15">
        <v>12</v>
      </c>
      <c r="H875" s="15" t="s">
        <v>748</v>
      </c>
      <c r="I875" s="23">
        <v>85967</v>
      </c>
    </row>
    <row r="876" spans="1:9" s="17" customFormat="1" x14ac:dyDescent="0.25">
      <c r="A876" s="14">
        <v>46191</v>
      </c>
      <c r="B876" s="15" t="s">
        <v>1237</v>
      </c>
      <c r="C876" s="15" t="s">
        <v>58</v>
      </c>
      <c r="D876" s="15" t="s">
        <v>663</v>
      </c>
      <c r="E876" s="16">
        <v>210000</v>
      </c>
      <c r="F876" s="16">
        <v>210000</v>
      </c>
      <c r="G876" s="15">
        <v>12</v>
      </c>
      <c r="H876" s="15" t="s">
        <v>748</v>
      </c>
      <c r="I876" s="23">
        <v>-210000</v>
      </c>
    </row>
    <row r="877" spans="1:9" s="17" customFormat="1" x14ac:dyDescent="0.25">
      <c r="A877" s="14">
        <v>46191</v>
      </c>
      <c r="B877" s="15" t="s">
        <v>1238</v>
      </c>
      <c r="C877" s="15" t="s">
        <v>66</v>
      </c>
      <c r="D877" s="15" t="s">
        <v>306</v>
      </c>
      <c r="E877" s="16">
        <v>559925</v>
      </c>
      <c r="F877" s="16">
        <v>559925</v>
      </c>
      <c r="G877" s="15">
        <v>12</v>
      </c>
      <c r="H877" s="15" t="s">
        <v>748</v>
      </c>
      <c r="I877" s="23">
        <v>-559925</v>
      </c>
    </row>
    <row r="878" spans="1:9" s="17" customFormat="1" x14ac:dyDescent="0.25">
      <c r="A878" s="14">
        <v>46191</v>
      </c>
      <c r="B878" s="15" t="s">
        <v>1239</v>
      </c>
      <c r="C878" s="15" t="s">
        <v>80</v>
      </c>
      <c r="D878" s="15" t="s">
        <v>319</v>
      </c>
      <c r="E878" s="16">
        <v>47861.120000000003</v>
      </c>
      <c r="F878" s="16">
        <v>47861.120000000003</v>
      </c>
      <c r="G878" s="15">
        <v>12</v>
      </c>
      <c r="H878" s="15" t="s">
        <v>748</v>
      </c>
      <c r="I878" s="23">
        <v>47861.120000000003</v>
      </c>
    </row>
    <row r="879" spans="1:9" s="17" customFormat="1" x14ac:dyDescent="0.25">
      <c r="A879" s="14">
        <v>46191</v>
      </c>
      <c r="B879" s="15" t="s">
        <v>1240</v>
      </c>
      <c r="C879" s="15" t="s">
        <v>80</v>
      </c>
      <c r="D879" s="15" t="s">
        <v>319</v>
      </c>
      <c r="E879" s="16">
        <v>42893.56</v>
      </c>
      <c r="F879" s="16">
        <v>42893.56</v>
      </c>
      <c r="G879" s="15">
        <v>12</v>
      </c>
      <c r="H879" s="15" t="s">
        <v>748</v>
      </c>
      <c r="I879" s="23">
        <v>42893.56</v>
      </c>
    </row>
    <row r="880" spans="1:9" s="17" customFormat="1" x14ac:dyDescent="0.25">
      <c r="A880" s="14">
        <v>46191</v>
      </c>
      <c r="B880" s="15" t="s">
        <v>1241</v>
      </c>
      <c r="C880" s="15" t="s">
        <v>80</v>
      </c>
      <c r="D880" s="15" t="s">
        <v>319</v>
      </c>
      <c r="E880" s="16">
        <v>2187.36</v>
      </c>
      <c r="F880" s="16">
        <v>2187.36</v>
      </c>
      <c r="G880" s="15">
        <v>12</v>
      </c>
      <c r="H880" s="15" t="s">
        <v>748</v>
      </c>
      <c r="I880" s="23">
        <v>2187.36</v>
      </c>
    </row>
    <row r="881" spans="1:9" s="17" customFormat="1" x14ac:dyDescent="0.25">
      <c r="A881" s="14">
        <v>46191</v>
      </c>
      <c r="B881" s="15" t="s">
        <v>1242</v>
      </c>
      <c r="C881" s="15" t="s">
        <v>80</v>
      </c>
      <c r="D881" s="15" t="s">
        <v>319</v>
      </c>
      <c r="E881" s="16">
        <v>42156.5</v>
      </c>
      <c r="F881" s="16">
        <v>42156.5</v>
      </c>
      <c r="G881" s="15">
        <v>12</v>
      </c>
      <c r="H881" s="15" t="s">
        <v>748</v>
      </c>
      <c r="I881" s="23">
        <v>42156.5</v>
      </c>
    </row>
    <row r="882" spans="1:9" s="17" customFormat="1" x14ac:dyDescent="0.25">
      <c r="A882" s="14">
        <v>46191</v>
      </c>
      <c r="B882" s="15" t="s">
        <v>1243</v>
      </c>
      <c r="C882" s="15" t="s">
        <v>80</v>
      </c>
      <c r="D882" s="15" t="s">
        <v>319</v>
      </c>
      <c r="E882" s="16">
        <v>40581.480000000003</v>
      </c>
      <c r="F882" s="16">
        <v>40581.480000000003</v>
      </c>
      <c r="G882" s="15">
        <v>12</v>
      </c>
      <c r="H882" s="15" t="s">
        <v>748</v>
      </c>
      <c r="I882" s="23">
        <v>40581.480000000003</v>
      </c>
    </row>
    <row r="883" spans="1:9" s="17" customFormat="1" x14ac:dyDescent="0.25">
      <c r="A883" s="14">
        <v>46191</v>
      </c>
      <c r="B883" s="15" t="s">
        <v>1244</v>
      </c>
      <c r="C883" s="15" t="s">
        <v>84</v>
      </c>
      <c r="D883" s="15" t="s">
        <v>306</v>
      </c>
      <c r="E883" s="16">
        <v>61968</v>
      </c>
      <c r="F883" s="16">
        <v>61968</v>
      </c>
      <c r="G883" s="15">
        <v>12</v>
      </c>
      <c r="H883" s="15" t="s">
        <v>748</v>
      </c>
      <c r="I883" s="23">
        <v>61968</v>
      </c>
    </row>
    <row r="884" spans="1:9" s="17" customFormat="1" x14ac:dyDescent="0.25">
      <c r="A884" s="14">
        <v>46191</v>
      </c>
      <c r="B884" s="15" t="s">
        <v>1245</v>
      </c>
      <c r="C884" s="15" t="s">
        <v>84</v>
      </c>
      <c r="D884" s="15" t="s">
        <v>306</v>
      </c>
      <c r="E884" s="16">
        <v>72198</v>
      </c>
      <c r="F884" s="16">
        <v>72198</v>
      </c>
      <c r="G884" s="15">
        <v>12</v>
      </c>
      <c r="H884" s="15" t="s">
        <v>748</v>
      </c>
      <c r="I884" s="23">
        <v>72198</v>
      </c>
    </row>
    <row r="885" spans="1:9" s="17" customFormat="1" x14ac:dyDescent="0.25">
      <c r="A885" s="14">
        <v>46191</v>
      </c>
      <c r="B885" s="15" t="s">
        <v>1246</v>
      </c>
      <c r="C885" s="15" t="s">
        <v>132</v>
      </c>
      <c r="D885" s="15" t="s">
        <v>335</v>
      </c>
      <c r="E885" s="16">
        <v>261290</v>
      </c>
      <c r="F885" s="16">
        <v>261290</v>
      </c>
      <c r="G885" s="15">
        <v>12</v>
      </c>
      <c r="H885" s="15" t="s">
        <v>748</v>
      </c>
      <c r="I885" s="23">
        <v>261290</v>
      </c>
    </row>
    <row r="886" spans="1:9" s="17" customFormat="1" x14ac:dyDescent="0.25">
      <c r="A886" s="14">
        <v>46191</v>
      </c>
      <c r="B886" s="15" t="s">
        <v>1247</v>
      </c>
      <c r="C886" s="15" t="s">
        <v>174</v>
      </c>
      <c r="D886" s="15" t="s">
        <v>319</v>
      </c>
      <c r="E886" s="16">
        <v>60900</v>
      </c>
      <c r="F886" s="16">
        <v>60900</v>
      </c>
      <c r="G886" s="15">
        <v>12</v>
      </c>
      <c r="H886" s="15" t="s">
        <v>748</v>
      </c>
      <c r="I886" s="23">
        <v>60900</v>
      </c>
    </row>
    <row r="887" spans="1:9" s="17" customFormat="1" x14ac:dyDescent="0.25">
      <c r="A887" s="14">
        <v>46191</v>
      </c>
      <c r="B887" s="15" t="s">
        <v>1248</v>
      </c>
      <c r="C887" s="15" t="s">
        <v>177</v>
      </c>
      <c r="D887" s="15" t="s">
        <v>232</v>
      </c>
      <c r="E887" s="16">
        <v>80321.02</v>
      </c>
      <c r="F887" s="16">
        <v>80321.02</v>
      </c>
      <c r="G887" s="15">
        <v>12</v>
      </c>
      <c r="H887" s="15" t="s">
        <v>748</v>
      </c>
      <c r="I887" s="23">
        <v>80321.02</v>
      </c>
    </row>
    <row r="888" spans="1:9" s="17" customFormat="1" x14ac:dyDescent="0.25">
      <c r="A888" s="14">
        <v>46191</v>
      </c>
      <c r="B888" s="15" t="s">
        <v>1249</v>
      </c>
      <c r="C888" s="15" t="s">
        <v>177</v>
      </c>
      <c r="D888" s="15" t="s">
        <v>232</v>
      </c>
      <c r="E888" s="16">
        <v>83548.5</v>
      </c>
      <c r="F888" s="16">
        <v>83548.5</v>
      </c>
      <c r="G888" s="15">
        <v>12</v>
      </c>
      <c r="H888" s="15" t="s">
        <v>748</v>
      </c>
      <c r="I888" s="23">
        <v>83548.5</v>
      </c>
    </row>
    <row r="889" spans="1:9" s="17" customFormat="1" x14ac:dyDescent="0.25">
      <c r="A889" s="14">
        <v>46191</v>
      </c>
      <c r="B889" s="15" t="s">
        <v>770</v>
      </c>
      <c r="C889" s="15" t="s">
        <v>177</v>
      </c>
      <c r="D889" s="15" t="s">
        <v>306</v>
      </c>
      <c r="E889" s="16">
        <v>84853.24</v>
      </c>
      <c r="F889" s="16">
        <v>84853.24</v>
      </c>
      <c r="G889" s="15">
        <v>12</v>
      </c>
      <c r="H889" s="15" t="s">
        <v>748</v>
      </c>
      <c r="I889" s="23">
        <v>84853.24</v>
      </c>
    </row>
    <row r="890" spans="1:9" s="17" customFormat="1" x14ac:dyDescent="0.25">
      <c r="A890" s="14">
        <v>46191</v>
      </c>
      <c r="B890" s="15" t="s">
        <v>1250</v>
      </c>
      <c r="C890" s="15" t="s">
        <v>177</v>
      </c>
      <c r="D890" s="15" t="s">
        <v>232</v>
      </c>
      <c r="E890" s="16">
        <v>82243.78</v>
      </c>
      <c r="F890" s="16">
        <v>82243.78</v>
      </c>
      <c r="G890" s="15">
        <v>12</v>
      </c>
      <c r="H890" s="15" t="s">
        <v>748</v>
      </c>
      <c r="I890" s="23">
        <v>82243.78</v>
      </c>
    </row>
    <row r="891" spans="1:9" s="17" customFormat="1" x14ac:dyDescent="0.25">
      <c r="A891" s="14">
        <v>46191</v>
      </c>
      <c r="B891" s="15" t="s">
        <v>1251</v>
      </c>
      <c r="C891" s="15" t="s">
        <v>178</v>
      </c>
      <c r="D891" s="15" t="s">
        <v>232</v>
      </c>
      <c r="E891" s="16">
        <v>860529.76</v>
      </c>
      <c r="F891" s="16">
        <v>410529.76</v>
      </c>
      <c r="G891" s="15">
        <v>12</v>
      </c>
      <c r="H891" s="15" t="s">
        <v>748</v>
      </c>
      <c r="I891" s="23">
        <v>410529.76</v>
      </c>
    </row>
    <row r="892" spans="1:9" s="17" customFormat="1" x14ac:dyDescent="0.25">
      <c r="A892" s="14">
        <v>46191</v>
      </c>
      <c r="B892" s="15" t="s">
        <v>1252</v>
      </c>
      <c r="C892" s="15" t="s">
        <v>184</v>
      </c>
      <c r="D892" s="15" t="s">
        <v>306</v>
      </c>
      <c r="E892" s="16">
        <v>4130</v>
      </c>
      <c r="F892" s="16">
        <v>4130</v>
      </c>
      <c r="G892" s="15">
        <v>12</v>
      </c>
      <c r="H892" s="15" t="s">
        <v>748</v>
      </c>
      <c r="I892" s="23">
        <v>4130</v>
      </c>
    </row>
    <row r="893" spans="1:9" s="17" customFormat="1" x14ac:dyDescent="0.25">
      <c r="A893" s="14">
        <v>46191</v>
      </c>
      <c r="B893" s="15" t="s">
        <v>1253</v>
      </c>
      <c r="C893" s="15" t="s">
        <v>188</v>
      </c>
      <c r="D893" s="15" t="s">
        <v>321</v>
      </c>
      <c r="E893" s="16">
        <v>200721</v>
      </c>
      <c r="F893" s="16">
        <v>200721</v>
      </c>
      <c r="G893" s="15">
        <v>12</v>
      </c>
      <c r="H893" s="15" t="s">
        <v>748</v>
      </c>
      <c r="I893" s="23">
        <v>200721</v>
      </c>
    </row>
    <row r="894" spans="1:9" s="17" customFormat="1" x14ac:dyDescent="0.25">
      <c r="A894" s="14">
        <v>46191</v>
      </c>
      <c r="B894" s="15" t="s">
        <v>1254</v>
      </c>
      <c r="C894" s="15" t="s">
        <v>188</v>
      </c>
      <c r="D894" s="15" t="s">
        <v>321</v>
      </c>
      <c r="E894" s="16">
        <v>199000</v>
      </c>
      <c r="F894" s="16">
        <v>199000</v>
      </c>
      <c r="G894" s="15">
        <v>12</v>
      </c>
      <c r="H894" s="15" t="s">
        <v>748</v>
      </c>
      <c r="I894" s="23">
        <v>199000</v>
      </c>
    </row>
    <row r="895" spans="1:9" s="17" customFormat="1" x14ac:dyDescent="0.25">
      <c r="A895" s="14">
        <v>46191</v>
      </c>
      <c r="B895" s="15" t="s">
        <v>1255</v>
      </c>
      <c r="C895" s="15" t="s">
        <v>188</v>
      </c>
      <c r="D895" s="15" t="s">
        <v>321</v>
      </c>
      <c r="E895" s="16">
        <v>197853</v>
      </c>
      <c r="F895" s="16">
        <v>197853</v>
      </c>
      <c r="G895" s="15">
        <v>12</v>
      </c>
      <c r="H895" s="15" t="s">
        <v>748</v>
      </c>
      <c r="I895" s="23">
        <v>197853</v>
      </c>
    </row>
    <row r="896" spans="1:9" s="17" customFormat="1" x14ac:dyDescent="0.25">
      <c r="A896" s="14">
        <v>46192</v>
      </c>
      <c r="B896" s="15" t="s">
        <v>1256</v>
      </c>
      <c r="C896" s="15" t="s">
        <v>26</v>
      </c>
      <c r="D896" s="15" t="s">
        <v>306</v>
      </c>
      <c r="E896" s="16">
        <v>1090273.3799999999</v>
      </c>
      <c r="F896" s="16">
        <v>1090273.3799999999</v>
      </c>
      <c r="G896" s="15">
        <v>11</v>
      </c>
      <c r="H896" s="15" t="s">
        <v>748</v>
      </c>
      <c r="I896" s="23">
        <v>1090273.3799999999</v>
      </c>
    </row>
    <row r="897" spans="1:9" s="17" customFormat="1" x14ac:dyDescent="0.25">
      <c r="A897" s="14">
        <v>46192</v>
      </c>
      <c r="B897" s="15" t="s">
        <v>1257</v>
      </c>
      <c r="C897" s="15" t="s">
        <v>26</v>
      </c>
      <c r="D897" s="15" t="s">
        <v>347</v>
      </c>
      <c r="E897" s="16">
        <v>23880.92</v>
      </c>
      <c r="F897" s="16">
        <v>23880.92</v>
      </c>
      <c r="G897" s="15">
        <v>11</v>
      </c>
      <c r="H897" s="15" t="s">
        <v>748</v>
      </c>
      <c r="I897" s="23">
        <v>23880.92</v>
      </c>
    </row>
    <row r="898" spans="1:9" s="17" customFormat="1" x14ac:dyDescent="0.25">
      <c r="A898" s="14">
        <v>46192</v>
      </c>
      <c r="B898" s="15" t="s">
        <v>1258</v>
      </c>
      <c r="C898" s="15" t="s">
        <v>43</v>
      </c>
      <c r="D898" s="15" t="s">
        <v>321</v>
      </c>
      <c r="E898" s="16">
        <v>87378</v>
      </c>
      <c r="F898" s="16">
        <v>87378</v>
      </c>
      <c r="G898" s="15">
        <v>11</v>
      </c>
      <c r="H898" s="15" t="s">
        <v>748</v>
      </c>
      <c r="I898" s="23">
        <v>87378</v>
      </c>
    </row>
    <row r="899" spans="1:9" s="17" customFormat="1" x14ac:dyDescent="0.25">
      <c r="A899" s="14">
        <v>46192</v>
      </c>
      <c r="B899" s="15" t="s">
        <v>1259</v>
      </c>
      <c r="C899" s="15" t="s">
        <v>89</v>
      </c>
      <c r="D899" s="15" t="s">
        <v>663</v>
      </c>
      <c r="E899" s="16">
        <v>2500000</v>
      </c>
      <c r="F899" s="16">
        <v>2374700</v>
      </c>
      <c r="G899" s="15">
        <v>11</v>
      </c>
      <c r="H899" s="15" t="s">
        <v>748</v>
      </c>
      <c r="I899" s="23">
        <v>-2374700</v>
      </c>
    </row>
    <row r="900" spans="1:9" s="17" customFormat="1" x14ac:dyDescent="0.25">
      <c r="A900" s="14">
        <v>46192</v>
      </c>
      <c r="B900" s="15" t="s">
        <v>1260</v>
      </c>
      <c r="C900" s="15" t="s">
        <v>132</v>
      </c>
      <c r="D900" s="15" t="s">
        <v>335</v>
      </c>
      <c r="E900" s="16">
        <v>217178</v>
      </c>
      <c r="F900" s="16">
        <v>217178</v>
      </c>
      <c r="G900" s="15">
        <v>11</v>
      </c>
      <c r="H900" s="15" t="s">
        <v>748</v>
      </c>
      <c r="I900" s="23">
        <v>217178</v>
      </c>
    </row>
    <row r="901" spans="1:9" s="17" customFormat="1" x14ac:dyDescent="0.25">
      <c r="A901" s="14">
        <v>46192</v>
      </c>
      <c r="B901" s="15" t="s">
        <v>1261</v>
      </c>
      <c r="C901" s="15" t="s">
        <v>132</v>
      </c>
      <c r="D901" s="15" t="s">
        <v>335</v>
      </c>
      <c r="E901" s="16">
        <v>221237</v>
      </c>
      <c r="F901" s="16">
        <v>221237</v>
      </c>
      <c r="G901" s="15">
        <v>11</v>
      </c>
      <c r="H901" s="15" t="s">
        <v>748</v>
      </c>
      <c r="I901" s="23">
        <v>221237</v>
      </c>
    </row>
    <row r="902" spans="1:9" s="17" customFormat="1" x14ac:dyDescent="0.25">
      <c r="A902" s="14">
        <v>46192</v>
      </c>
      <c r="B902" s="15" t="s">
        <v>1262</v>
      </c>
      <c r="C902" s="15" t="s">
        <v>188</v>
      </c>
      <c r="D902" s="15" t="s">
        <v>321</v>
      </c>
      <c r="E902" s="16">
        <v>28674</v>
      </c>
      <c r="F902" s="16">
        <v>28674</v>
      </c>
      <c r="G902" s="15">
        <v>11</v>
      </c>
      <c r="H902" s="15" t="s">
        <v>748</v>
      </c>
      <c r="I902" s="23">
        <v>28674</v>
      </c>
    </row>
    <row r="903" spans="1:9" s="17" customFormat="1" x14ac:dyDescent="0.25">
      <c r="A903" s="14">
        <v>46192</v>
      </c>
      <c r="B903" s="15" t="s">
        <v>1263</v>
      </c>
      <c r="C903" s="15" t="s">
        <v>188</v>
      </c>
      <c r="D903" s="15" t="s">
        <v>321</v>
      </c>
      <c r="E903" s="16">
        <v>28674</v>
      </c>
      <c r="F903" s="16">
        <v>28674</v>
      </c>
      <c r="G903" s="15">
        <v>11</v>
      </c>
      <c r="H903" s="15" t="s">
        <v>748</v>
      </c>
      <c r="I903" s="23">
        <v>28674</v>
      </c>
    </row>
    <row r="904" spans="1:9" s="17" customFormat="1" x14ac:dyDescent="0.25">
      <c r="A904" s="14">
        <v>46192</v>
      </c>
      <c r="B904" s="15" t="s">
        <v>1264</v>
      </c>
      <c r="C904" s="15" t="s">
        <v>188</v>
      </c>
      <c r="D904" s="15" t="s">
        <v>321</v>
      </c>
      <c r="E904" s="16">
        <v>169752</v>
      </c>
      <c r="F904" s="16">
        <v>169752</v>
      </c>
      <c r="G904" s="15">
        <v>11</v>
      </c>
      <c r="H904" s="15" t="s">
        <v>748</v>
      </c>
      <c r="I904" s="23">
        <v>169752</v>
      </c>
    </row>
    <row r="905" spans="1:9" s="17" customFormat="1" x14ac:dyDescent="0.25">
      <c r="A905" s="14">
        <v>46193</v>
      </c>
      <c r="B905" s="15" t="s">
        <v>1265</v>
      </c>
      <c r="C905" s="15" t="s">
        <v>32</v>
      </c>
      <c r="D905" s="15" t="s">
        <v>319</v>
      </c>
      <c r="E905" s="16">
        <v>58870</v>
      </c>
      <c r="F905" s="16">
        <v>58870</v>
      </c>
      <c r="G905" s="15">
        <v>10</v>
      </c>
      <c r="H905" s="15" t="s">
        <v>748</v>
      </c>
      <c r="I905" s="23">
        <v>58870</v>
      </c>
    </row>
    <row r="906" spans="1:9" s="17" customFormat="1" x14ac:dyDescent="0.25">
      <c r="A906" s="14">
        <v>46193</v>
      </c>
      <c r="B906" s="15" t="s">
        <v>1266</v>
      </c>
      <c r="C906" s="15" t="s">
        <v>37</v>
      </c>
      <c r="D906" s="15" t="s">
        <v>531</v>
      </c>
      <c r="E906" s="16">
        <v>62822</v>
      </c>
      <c r="F906" s="16">
        <v>62822</v>
      </c>
      <c r="G906" s="15">
        <v>10</v>
      </c>
      <c r="H906" s="15" t="s">
        <v>748</v>
      </c>
      <c r="I906" s="23">
        <v>62822</v>
      </c>
    </row>
    <row r="907" spans="1:9" s="17" customFormat="1" x14ac:dyDescent="0.25">
      <c r="A907" s="14">
        <v>46193</v>
      </c>
      <c r="B907" s="15" t="s">
        <v>1267</v>
      </c>
      <c r="C907" s="15" t="s">
        <v>61</v>
      </c>
      <c r="D907" s="15" t="s">
        <v>332</v>
      </c>
      <c r="E907" s="16">
        <v>100000</v>
      </c>
      <c r="F907" s="16">
        <v>100000</v>
      </c>
      <c r="G907" s="15">
        <v>10</v>
      </c>
      <c r="H907" s="15" t="s">
        <v>748</v>
      </c>
      <c r="I907" s="23">
        <v>-100000</v>
      </c>
    </row>
    <row r="908" spans="1:9" s="17" customFormat="1" x14ac:dyDescent="0.25">
      <c r="A908" s="14">
        <v>46193</v>
      </c>
      <c r="B908" s="15" t="s">
        <v>1268</v>
      </c>
      <c r="C908" s="15" t="s">
        <v>177</v>
      </c>
      <c r="D908" s="15" t="s">
        <v>232</v>
      </c>
      <c r="E908" s="16">
        <v>80229.460000000006</v>
      </c>
      <c r="F908" s="16">
        <v>80229.460000000006</v>
      </c>
      <c r="G908" s="15">
        <v>10</v>
      </c>
      <c r="H908" s="15" t="s">
        <v>748</v>
      </c>
      <c r="I908" s="23">
        <v>80229.460000000006</v>
      </c>
    </row>
    <row r="909" spans="1:9" s="17" customFormat="1" x14ac:dyDescent="0.25">
      <c r="A909" s="14">
        <v>46193</v>
      </c>
      <c r="B909" s="15" t="s">
        <v>1210</v>
      </c>
      <c r="C909" s="15" t="s">
        <v>177</v>
      </c>
      <c r="D909" s="15" t="s">
        <v>306</v>
      </c>
      <c r="E909" s="16">
        <v>82999.14</v>
      </c>
      <c r="F909" s="16">
        <v>82999.14</v>
      </c>
      <c r="G909" s="15">
        <v>10</v>
      </c>
      <c r="H909" s="15" t="s">
        <v>748</v>
      </c>
      <c r="I909" s="23">
        <v>82999.14</v>
      </c>
    </row>
    <row r="910" spans="1:9" s="17" customFormat="1" x14ac:dyDescent="0.25">
      <c r="A910" s="14">
        <v>46193</v>
      </c>
      <c r="B910" s="15" t="s">
        <v>1269</v>
      </c>
      <c r="C910" s="15" t="s">
        <v>181</v>
      </c>
      <c r="D910" s="15" t="s">
        <v>1666</v>
      </c>
      <c r="E910" s="16">
        <v>12804.52</v>
      </c>
      <c r="F910" s="16">
        <v>12804.52</v>
      </c>
      <c r="G910" s="15">
        <v>10</v>
      </c>
      <c r="H910" s="15" t="s">
        <v>748</v>
      </c>
      <c r="I910" s="23">
        <v>12804.52</v>
      </c>
    </row>
    <row r="911" spans="1:9" s="17" customFormat="1" x14ac:dyDescent="0.25">
      <c r="A911" s="14">
        <v>46193</v>
      </c>
      <c r="B911" s="15" t="s">
        <v>1270</v>
      </c>
      <c r="C911" s="15" t="s">
        <v>215</v>
      </c>
      <c r="D911" s="15" t="s">
        <v>306</v>
      </c>
      <c r="E911" s="16">
        <v>135536</v>
      </c>
      <c r="F911" s="16">
        <v>135536</v>
      </c>
      <c r="G911" s="15">
        <v>10</v>
      </c>
      <c r="H911" s="15" t="s">
        <v>748</v>
      </c>
      <c r="I911" s="23">
        <v>135536</v>
      </c>
    </row>
    <row r="912" spans="1:9" s="17" customFormat="1" x14ac:dyDescent="0.25">
      <c r="A912" s="14">
        <v>46193</v>
      </c>
      <c r="B912" s="15" t="s">
        <v>1271</v>
      </c>
      <c r="C912" s="15" t="s">
        <v>215</v>
      </c>
      <c r="D912" s="15" t="s">
        <v>1666</v>
      </c>
      <c r="E912" s="16">
        <v>18350</v>
      </c>
      <c r="F912" s="16">
        <v>18350</v>
      </c>
      <c r="G912" s="15">
        <v>10</v>
      </c>
      <c r="H912" s="15" t="s">
        <v>748</v>
      </c>
      <c r="I912" s="23">
        <v>18350</v>
      </c>
    </row>
    <row r="913" spans="1:9" s="17" customFormat="1" x14ac:dyDescent="0.25">
      <c r="A913" s="14">
        <v>46194</v>
      </c>
      <c r="B913" s="15" t="s">
        <v>1272</v>
      </c>
      <c r="C913" s="15" t="s">
        <v>13</v>
      </c>
      <c r="D913" s="15" t="s">
        <v>306</v>
      </c>
      <c r="E913" s="16">
        <v>61360</v>
      </c>
      <c r="F913" s="16">
        <v>61360</v>
      </c>
      <c r="G913" s="15">
        <v>9</v>
      </c>
      <c r="H913" s="15" t="s">
        <v>748</v>
      </c>
      <c r="I913" s="23">
        <v>61360</v>
      </c>
    </row>
    <row r="914" spans="1:9" s="17" customFormat="1" x14ac:dyDescent="0.25">
      <c r="A914" s="14">
        <v>46194</v>
      </c>
      <c r="B914" s="15" t="s">
        <v>949</v>
      </c>
      <c r="C914" s="15" t="s">
        <v>129</v>
      </c>
      <c r="D914" s="15" t="s">
        <v>598</v>
      </c>
      <c r="E914" s="16">
        <v>337751</v>
      </c>
      <c r="F914" s="16">
        <v>337751</v>
      </c>
      <c r="G914" s="15">
        <v>9</v>
      </c>
      <c r="H914" s="15" t="s">
        <v>748</v>
      </c>
      <c r="I914" s="23">
        <v>337751</v>
      </c>
    </row>
    <row r="915" spans="1:9" s="17" customFormat="1" x14ac:dyDescent="0.25">
      <c r="A915" s="14">
        <v>46194</v>
      </c>
      <c r="B915" s="15" t="s">
        <v>1273</v>
      </c>
      <c r="C915" s="15" t="s">
        <v>135</v>
      </c>
      <c r="D915" s="15" t="s">
        <v>531</v>
      </c>
      <c r="E915" s="16">
        <v>27453</v>
      </c>
      <c r="F915" s="16">
        <v>27453</v>
      </c>
      <c r="G915" s="15">
        <v>9</v>
      </c>
      <c r="H915" s="15" t="s">
        <v>748</v>
      </c>
      <c r="I915" s="23">
        <v>27453</v>
      </c>
    </row>
    <row r="916" spans="1:9" s="17" customFormat="1" x14ac:dyDescent="0.25">
      <c r="A916" s="14">
        <v>46194</v>
      </c>
      <c r="B916" s="15" t="s">
        <v>1274</v>
      </c>
      <c r="C916" s="15" t="s">
        <v>188</v>
      </c>
      <c r="D916" s="15" t="s">
        <v>321</v>
      </c>
      <c r="E916" s="16">
        <v>143372</v>
      </c>
      <c r="F916" s="16">
        <v>143372</v>
      </c>
      <c r="G916" s="15">
        <v>9</v>
      </c>
      <c r="H916" s="15" t="s">
        <v>748</v>
      </c>
      <c r="I916" s="23">
        <v>143372</v>
      </c>
    </row>
    <row r="917" spans="1:9" s="17" customFormat="1" x14ac:dyDescent="0.25">
      <c r="A917" s="14">
        <v>46194</v>
      </c>
      <c r="B917" s="15" t="s">
        <v>1275</v>
      </c>
      <c r="C917" s="15" t="s">
        <v>204</v>
      </c>
      <c r="D917" s="15" t="s">
        <v>321</v>
      </c>
      <c r="E917" s="16">
        <v>54000</v>
      </c>
      <c r="F917" s="16">
        <v>53460</v>
      </c>
      <c r="G917" s="15">
        <v>9</v>
      </c>
      <c r="H917" s="15" t="s">
        <v>748</v>
      </c>
      <c r="I917" s="23">
        <v>53460</v>
      </c>
    </row>
    <row r="918" spans="1:9" s="17" customFormat="1" x14ac:dyDescent="0.25">
      <c r="A918" s="14">
        <v>46194</v>
      </c>
      <c r="B918" s="15" t="s">
        <v>1276</v>
      </c>
      <c r="C918" s="15" t="s">
        <v>204</v>
      </c>
      <c r="D918" s="15" t="s">
        <v>321</v>
      </c>
      <c r="E918" s="16">
        <v>54000</v>
      </c>
      <c r="F918" s="16">
        <v>53460</v>
      </c>
      <c r="G918" s="15">
        <v>9</v>
      </c>
      <c r="H918" s="15" t="s">
        <v>748</v>
      </c>
      <c r="I918" s="23">
        <v>53460</v>
      </c>
    </row>
    <row r="919" spans="1:9" s="17" customFormat="1" x14ac:dyDescent="0.25">
      <c r="A919" s="14">
        <v>46195</v>
      </c>
      <c r="B919" s="15" t="s">
        <v>1277</v>
      </c>
      <c r="C919" s="15" t="s">
        <v>18</v>
      </c>
      <c r="D919" s="15" t="s">
        <v>332</v>
      </c>
      <c r="E919" s="16">
        <v>67544.460000000006</v>
      </c>
      <c r="F919" s="16">
        <v>67544.460000000006</v>
      </c>
      <c r="G919" s="15">
        <v>8</v>
      </c>
      <c r="H919" s="15" t="s">
        <v>748</v>
      </c>
      <c r="I919" s="23">
        <v>67544.460000000006</v>
      </c>
    </row>
    <row r="920" spans="1:9" s="17" customFormat="1" x14ac:dyDescent="0.25">
      <c r="A920" s="14">
        <v>46195</v>
      </c>
      <c r="B920" s="15" t="s">
        <v>1278</v>
      </c>
      <c r="C920" s="15" t="s">
        <v>18</v>
      </c>
      <c r="D920" s="15" t="s">
        <v>332</v>
      </c>
      <c r="E920" s="16">
        <v>123890.16</v>
      </c>
      <c r="F920" s="16">
        <v>123890.16</v>
      </c>
      <c r="G920" s="15">
        <v>8</v>
      </c>
      <c r="H920" s="15" t="s">
        <v>748</v>
      </c>
      <c r="I920" s="23">
        <v>123890.16</v>
      </c>
    </row>
    <row r="921" spans="1:9" s="17" customFormat="1" x14ac:dyDescent="0.25">
      <c r="A921" s="14">
        <v>46195</v>
      </c>
      <c r="B921" s="15" t="s">
        <v>1279</v>
      </c>
      <c r="C921" s="15" t="s">
        <v>18</v>
      </c>
      <c r="D921" s="15" t="s">
        <v>332</v>
      </c>
      <c r="E921" s="16">
        <v>85572.800000000003</v>
      </c>
      <c r="F921" s="16">
        <v>85572.800000000003</v>
      </c>
      <c r="G921" s="15">
        <v>8</v>
      </c>
      <c r="H921" s="15" t="s">
        <v>748</v>
      </c>
      <c r="I921" s="23">
        <v>85572.800000000003</v>
      </c>
    </row>
    <row r="922" spans="1:9" s="17" customFormat="1" x14ac:dyDescent="0.25">
      <c r="A922" s="14">
        <v>46195</v>
      </c>
      <c r="B922" s="15" t="s">
        <v>1280</v>
      </c>
      <c r="C922" s="15" t="s">
        <v>18</v>
      </c>
      <c r="D922" s="15" t="s">
        <v>332</v>
      </c>
      <c r="E922" s="16">
        <v>40002.18</v>
      </c>
      <c r="F922" s="16">
        <v>40002.18</v>
      </c>
      <c r="G922" s="15">
        <v>8</v>
      </c>
      <c r="H922" s="15" t="s">
        <v>748</v>
      </c>
      <c r="I922" s="23">
        <v>40002.18</v>
      </c>
    </row>
    <row r="923" spans="1:9" s="17" customFormat="1" x14ac:dyDescent="0.25">
      <c r="A923" s="14">
        <v>46195</v>
      </c>
      <c r="B923" s="15" t="s">
        <v>1281</v>
      </c>
      <c r="C923" s="15" t="s">
        <v>18</v>
      </c>
      <c r="D923" s="15" t="s">
        <v>332</v>
      </c>
      <c r="E923" s="16">
        <v>58153.32</v>
      </c>
      <c r="F923" s="16">
        <v>58153.32</v>
      </c>
      <c r="G923" s="15">
        <v>8</v>
      </c>
      <c r="H923" s="15" t="s">
        <v>748</v>
      </c>
      <c r="I923" s="23">
        <v>58153.32</v>
      </c>
    </row>
    <row r="924" spans="1:9" s="17" customFormat="1" x14ac:dyDescent="0.25">
      <c r="A924" s="14">
        <v>46195</v>
      </c>
      <c r="B924" s="15" t="s">
        <v>1282</v>
      </c>
      <c r="C924" s="15" t="s">
        <v>18</v>
      </c>
      <c r="D924" s="15" t="s">
        <v>332</v>
      </c>
      <c r="E924" s="16">
        <v>58895.42</v>
      </c>
      <c r="F924" s="16">
        <v>58895.42</v>
      </c>
      <c r="G924" s="15">
        <v>8</v>
      </c>
      <c r="H924" s="15" t="s">
        <v>748</v>
      </c>
      <c r="I924" s="23">
        <v>58895.42</v>
      </c>
    </row>
    <row r="925" spans="1:9" s="17" customFormat="1" x14ac:dyDescent="0.25">
      <c r="A925" s="14">
        <v>46195</v>
      </c>
      <c r="B925" s="15" t="s">
        <v>1283</v>
      </c>
      <c r="C925" s="15" t="s">
        <v>18</v>
      </c>
      <c r="D925" s="15" t="s">
        <v>332</v>
      </c>
      <c r="E925" s="16">
        <v>57551.78</v>
      </c>
      <c r="F925" s="16">
        <v>57551.78</v>
      </c>
      <c r="G925" s="15">
        <v>8</v>
      </c>
      <c r="H925" s="15" t="s">
        <v>748</v>
      </c>
      <c r="I925" s="23">
        <v>57551.78</v>
      </c>
    </row>
    <row r="926" spans="1:9" s="17" customFormat="1" x14ac:dyDescent="0.25">
      <c r="A926" s="14">
        <v>46195</v>
      </c>
      <c r="B926" s="15" t="s">
        <v>1284</v>
      </c>
      <c r="C926" s="15" t="s">
        <v>18</v>
      </c>
      <c r="D926" s="15" t="s">
        <v>332</v>
      </c>
      <c r="E926" s="16">
        <v>58523.87</v>
      </c>
      <c r="F926" s="16">
        <v>58523.87</v>
      </c>
      <c r="G926" s="15">
        <v>8</v>
      </c>
      <c r="H926" s="15" t="s">
        <v>748</v>
      </c>
      <c r="I926" s="23">
        <v>58523.87</v>
      </c>
    </row>
    <row r="927" spans="1:9" s="17" customFormat="1" x14ac:dyDescent="0.25">
      <c r="A927" s="14">
        <v>46195</v>
      </c>
      <c r="B927" s="15" t="s">
        <v>1285</v>
      </c>
      <c r="C927" s="15" t="s">
        <v>18</v>
      </c>
      <c r="D927" s="15" t="s">
        <v>332</v>
      </c>
      <c r="E927" s="16">
        <v>48555.29</v>
      </c>
      <c r="F927" s="16">
        <v>48555.29</v>
      </c>
      <c r="G927" s="15">
        <v>8</v>
      </c>
      <c r="H927" s="15" t="s">
        <v>748</v>
      </c>
      <c r="I927" s="23">
        <v>48555.29</v>
      </c>
    </row>
    <row r="928" spans="1:9" s="17" customFormat="1" x14ac:dyDescent="0.25">
      <c r="A928" s="14">
        <v>46195</v>
      </c>
      <c r="B928" s="15" t="s">
        <v>1286</v>
      </c>
      <c r="C928" s="15" t="s">
        <v>18</v>
      </c>
      <c r="D928" s="15" t="s">
        <v>332</v>
      </c>
      <c r="E928" s="16">
        <v>73314.45</v>
      </c>
      <c r="F928" s="16">
        <v>73314.45</v>
      </c>
      <c r="G928" s="15">
        <v>8</v>
      </c>
      <c r="H928" s="15" t="s">
        <v>748</v>
      </c>
      <c r="I928" s="23">
        <v>73314.45</v>
      </c>
    </row>
    <row r="929" spans="1:9" s="17" customFormat="1" x14ac:dyDescent="0.25">
      <c r="A929" s="14">
        <v>46195</v>
      </c>
      <c r="B929" s="15" t="s">
        <v>1287</v>
      </c>
      <c r="C929" s="15" t="s">
        <v>18</v>
      </c>
      <c r="D929" s="15" t="s">
        <v>332</v>
      </c>
      <c r="E929" s="16">
        <v>54122.44</v>
      </c>
      <c r="F929" s="16">
        <v>54122.44</v>
      </c>
      <c r="G929" s="15">
        <v>8</v>
      </c>
      <c r="H929" s="15" t="s">
        <v>748</v>
      </c>
      <c r="I929" s="23">
        <v>54122.44</v>
      </c>
    </row>
    <row r="930" spans="1:9" s="17" customFormat="1" x14ac:dyDescent="0.25">
      <c r="A930" s="14">
        <v>46195</v>
      </c>
      <c r="B930" s="15" t="s">
        <v>1288</v>
      </c>
      <c r="C930" s="15" t="s">
        <v>18</v>
      </c>
      <c r="D930" s="15" t="s">
        <v>332</v>
      </c>
      <c r="E930" s="16">
        <v>55182.98</v>
      </c>
      <c r="F930" s="16">
        <v>55182.98</v>
      </c>
      <c r="G930" s="15">
        <v>8</v>
      </c>
      <c r="H930" s="15" t="s">
        <v>748</v>
      </c>
      <c r="I930" s="23">
        <v>55182.98</v>
      </c>
    </row>
    <row r="931" spans="1:9" s="17" customFormat="1" x14ac:dyDescent="0.25">
      <c r="A931" s="14">
        <v>46195</v>
      </c>
      <c r="B931" s="15" t="s">
        <v>1289</v>
      </c>
      <c r="C931" s="15" t="s">
        <v>18</v>
      </c>
      <c r="D931" s="15" t="s">
        <v>332</v>
      </c>
      <c r="E931" s="16">
        <v>59938.27</v>
      </c>
      <c r="F931" s="16">
        <v>59938.27</v>
      </c>
      <c r="G931" s="15">
        <v>8</v>
      </c>
      <c r="H931" s="15" t="s">
        <v>748</v>
      </c>
      <c r="I931" s="23">
        <v>59938.27</v>
      </c>
    </row>
    <row r="932" spans="1:9" s="17" customFormat="1" x14ac:dyDescent="0.25">
      <c r="A932" s="14">
        <v>46195</v>
      </c>
      <c r="B932" s="15" t="s">
        <v>1290</v>
      </c>
      <c r="C932" s="15" t="s">
        <v>18</v>
      </c>
      <c r="D932" s="15" t="s">
        <v>332</v>
      </c>
      <c r="E932" s="16">
        <v>60627.28</v>
      </c>
      <c r="F932" s="16">
        <v>60627.28</v>
      </c>
      <c r="G932" s="15">
        <v>8</v>
      </c>
      <c r="H932" s="15" t="s">
        <v>748</v>
      </c>
      <c r="I932" s="23">
        <v>60627.28</v>
      </c>
    </row>
    <row r="933" spans="1:9" s="17" customFormat="1" x14ac:dyDescent="0.25">
      <c r="A933" s="14">
        <v>46195</v>
      </c>
      <c r="B933" s="15" t="s">
        <v>1291</v>
      </c>
      <c r="C933" s="15" t="s">
        <v>18</v>
      </c>
      <c r="D933" s="15" t="s">
        <v>332</v>
      </c>
      <c r="E933" s="16">
        <v>59196.19</v>
      </c>
      <c r="F933" s="16">
        <v>59196.19</v>
      </c>
      <c r="G933" s="15">
        <v>8</v>
      </c>
      <c r="H933" s="15" t="s">
        <v>748</v>
      </c>
      <c r="I933" s="23">
        <v>59196.19</v>
      </c>
    </row>
    <row r="934" spans="1:9" s="17" customFormat="1" x14ac:dyDescent="0.25">
      <c r="A934" s="14">
        <v>46195</v>
      </c>
      <c r="B934" s="15" t="s">
        <v>1292</v>
      </c>
      <c r="C934" s="15" t="s">
        <v>18</v>
      </c>
      <c r="D934" s="15" t="s">
        <v>332</v>
      </c>
      <c r="E934" s="16">
        <v>60309.82</v>
      </c>
      <c r="F934" s="16">
        <v>60309.82</v>
      </c>
      <c r="G934" s="15">
        <v>8</v>
      </c>
      <c r="H934" s="15" t="s">
        <v>748</v>
      </c>
      <c r="I934" s="23">
        <v>60309.82</v>
      </c>
    </row>
    <row r="935" spans="1:9" s="17" customFormat="1" x14ac:dyDescent="0.25">
      <c r="A935" s="14">
        <v>46195</v>
      </c>
      <c r="B935" s="15" t="s">
        <v>1293</v>
      </c>
      <c r="C935" s="15" t="s">
        <v>18</v>
      </c>
      <c r="D935" s="15" t="s">
        <v>332</v>
      </c>
      <c r="E935" s="16">
        <v>57764.1</v>
      </c>
      <c r="F935" s="16">
        <v>57764.1</v>
      </c>
      <c r="G935" s="15">
        <v>8</v>
      </c>
      <c r="H935" s="15" t="s">
        <v>748</v>
      </c>
      <c r="I935" s="23">
        <v>57764.1</v>
      </c>
    </row>
    <row r="936" spans="1:9" s="17" customFormat="1" x14ac:dyDescent="0.25">
      <c r="A936" s="14">
        <v>46195</v>
      </c>
      <c r="B936" s="15" t="s">
        <v>1294</v>
      </c>
      <c r="C936" s="15" t="s">
        <v>18</v>
      </c>
      <c r="D936" s="15" t="s">
        <v>332</v>
      </c>
      <c r="E936" s="16">
        <v>57799.48</v>
      </c>
      <c r="F936" s="16">
        <v>57799.48</v>
      </c>
      <c r="G936" s="15">
        <v>8</v>
      </c>
      <c r="H936" s="15" t="s">
        <v>748</v>
      </c>
      <c r="I936" s="23">
        <v>57799.48</v>
      </c>
    </row>
    <row r="937" spans="1:9" s="17" customFormat="1" x14ac:dyDescent="0.25">
      <c r="A937" s="14">
        <v>46195</v>
      </c>
      <c r="B937" s="15" t="s">
        <v>1295</v>
      </c>
      <c r="C937" s="15" t="s">
        <v>18</v>
      </c>
      <c r="D937" s="15" t="s">
        <v>332</v>
      </c>
      <c r="E937" s="16">
        <v>60044.43</v>
      </c>
      <c r="F937" s="16">
        <v>60044.43</v>
      </c>
      <c r="G937" s="15">
        <v>8</v>
      </c>
      <c r="H937" s="15" t="s">
        <v>748</v>
      </c>
      <c r="I937" s="23">
        <v>60044.43</v>
      </c>
    </row>
    <row r="938" spans="1:9" s="17" customFormat="1" x14ac:dyDescent="0.25">
      <c r="A938" s="14">
        <v>46195</v>
      </c>
      <c r="B938" s="15" t="s">
        <v>1296</v>
      </c>
      <c r="C938" s="15" t="s">
        <v>18</v>
      </c>
      <c r="D938" s="15" t="s">
        <v>332</v>
      </c>
      <c r="E938" s="16">
        <v>49933.31</v>
      </c>
      <c r="F938" s="16">
        <v>49933.31</v>
      </c>
      <c r="G938" s="15">
        <v>8</v>
      </c>
      <c r="H938" s="15" t="s">
        <v>748</v>
      </c>
      <c r="I938" s="23">
        <v>49933.31</v>
      </c>
    </row>
    <row r="939" spans="1:9" s="17" customFormat="1" x14ac:dyDescent="0.25">
      <c r="A939" s="14">
        <v>46195</v>
      </c>
      <c r="B939" s="15" t="s">
        <v>1297</v>
      </c>
      <c r="C939" s="15" t="s">
        <v>18</v>
      </c>
      <c r="D939" s="15" t="s">
        <v>332</v>
      </c>
      <c r="E939" s="16">
        <v>58771.57</v>
      </c>
      <c r="F939" s="16">
        <v>58771.57</v>
      </c>
      <c r="G939" s="15">
        <v>8</v>
      </c>
      <c r="H939" s="15" t="s">
        <v>748</v>
      </c>
      <c r="I939" s="23">
        <v>58771.57</v>
      </c>
    </row>
    <row r="940" spans="1:9" s="17" customFormat="1" x14ac:dyDescent="0.25">
      <c r="A940" s="14">
        <v>46195</v>
      </c>
      <c r="B940" s="15" t="s">
        <v>1298</v>
      </c>
      <c r="C940" s="15" t="s">
        <v>18</v>
      </c>
      <c r="D940" s="15" t="s">
        <v>332</v>
      </c>
      <c r="E940" s="16">
        <v>57675.63</v>
      </c>
      <c r="F940" s="16">
        <v>57675.63</v>
      </c>
      <c r="G940" s="15">
        <v>8</v>
      </c>
      <c r="H940" s="15" t="s">
        <v>748</v>
      </c>
      <c r="I940" s="23">
        <v>57675.63</v>
      </c>
    </row>
    <row r="941" spans="1:9" s="17" customFormat="1" x14ac:dyDescent="0.25">
      <c r="A941" s="14">
        <v>46195</v>
      </c>
      <c r="B941" s="15" t="s">
        <v>1299</v>
      </c>
      <c r="C941" s="15" t="s">
        <v>18</v>
      </c>
      <c r="D941" s="15" t="s">
        <v>332</v>
      </c>
      <c r="E941" s="16">
        <v>60715.73</v>
      </c>
      <c r="F941" s="16">
        <v>60715.73</v>
      </c>
      <c r="G941" s="15">
        <v>8</v>
      </c>
      <c r="H941" s="15" t="s">
        <v>748</v>
      </c>
      <c r="I941" s="23">
        <v>60715.73</v>
      </c>
    </row>
    <row r="942" spans="1:9" s="17" customFormat="1" x14ac:dyDescent="0.25">
      <c r="A942" s="14">
        <v>46195</v>
      </c>
      <c r="B942" s="15" t="s">
        <v>1300</v>
      </c>
      <c r="C942" s="15" t="s">
        <v>18</v>
      </c>
      <c r="D942" s="15" t="s">
        <v>332</v>
      </c>
      <c r="E942" s="16">
        <v>58523.87</v>
      </c>
      <c r="F942" s="16">
        <v>58523.87</v>
      </c>
      <c r="G942" s="15">
        <v>8</v>
      </c>
      <c r="H942" s="15" t="s">
        <v>748</v>
      </c>
      <c r="I942" s="23">
        <v>58523.87</v>
      </c>
    </row>
    <row r="943" spans="1:9" s="17" customFormat="1" x14ac:dyDescent="0.25">
      <c r="A943" s="14">
        <v>46195</v>
      </c>
      <c r="B943" s="15" t="s">
        <v>1301</v>
      </c>
      <c r="C943" s="15" t="s">
        <v>18</v>
      </c>
      <c r="D943" s="15" t="s">
        <v>332</v>
      </c>
      <c r="E943" s="16">
        <v>53415.74</v>
      </c>
      <c r="F943" s="16">
        <v>53415.74</v>
      </c>
      <c r="G943" s="15">
        <v>8</v>
      </c>
      <c r="H943" s="15" t="s">
        <v>748</v>
      </c>
      <c r="I943" s="23">
        <v>53415.74</v>
      </c>
    </row>
    <row r="944" spans="1:9" s="17" customFormat="1" x14ac:dyDescent="0.25">
      <c r="A944" s="14">
        <v>46195</v>
      </c>
      <c r="B944" s="15" t="s">
        <v>1302</v>
      </c>
      <c r="C944" s="15" t="s">
        <v>18</v>
      </c>
      <c r="D944" s="15" t="s">
        <v>332</v>
      </c>
      <c r="E944" s="16">
        <v>60397.27</v>
      </c>
      <c r="F944" s="16">
        <v>60397.27</v>
      </c>
      <c r="G944" s="15">
        <v>8</v>
      </c>
      <c r="H944" s="15" t="s">
        <v>748</v>
      </c>
      <c r="I944" s="23">
        <v>60397.27</v>
      </c>
    </row>
    <row r="945" spans="1:9" s="17" customFormat="1" x14ac:dyDescent="0.25">
      <c r="A945" s="14">
        <v>46195</v>
      </c>
      <c r="B945" s="15" t="s">
        <v>1303</v>
      </c>
      <c r="C945" s="15" t="s">
        <v>18</v>
      </c>
      <c r="D945" s="15" t="s">
        <v>332</v>
      </c>
      <c r="E945" s="16">
        <v>81142.600000000006</v>
      </c>
      <c r="F945" s="16">
        <v>81142.600000000006</v>
      </c>
      <c r="G945" s="15">
        <v>8</v>
      </c>
      <c r="H945" s="15" t="s">
        <v>748</v>
      </c>
      <c r="I945" s="23">
        <v>81142.600000000006</v>
      </c>
    </row>
    <row r="946" spans="1:9" s="17" customFormat="1" x14ac:dyDescent="0.25">
      <c r="A946" s="14">
        <v>46195</v>
      </c>
      <c r="B946" s="15" t="s">
        <v>1304</v>
      </c>
      <c r="C946" s="15" t="s">
        <v>18</v>
      </c>
      <c r="D946" s="15" t="s">
        <v>332</v>
      </c>
      <c r="E946" s="16">
        <v>41016.79</v>
      </c>
      <c r="F946" s="16">
        <v>41016.79</v>
      </c>
      <c r="G946" s="15">
        <v>8</v>
      </c>
      <c r="H946" s="15" t="s">
        <v>748</v>
      </c>
      <c r="I946" s="23">
        <v>41016.79</v>
      </c>
    </row>
    <row r="947" spans="1:9" s="17" customFormat="1" x14ac:dyDescent="0.25">
      <c r="A947" s="14">
        <v>46195</v>
      </c>
      <c r="B947" s="15" t="s">
        <v>1305</v>
      </c>
      <c r="C947" s="15" t="s">
        <v>18</v>
      </c>
      <c r="D947" s="15" t="s">
        <v>332</v>
      </c>
      <c r="E947" s="16">
        <v>92449.56</v>
      </c>
      <c r="F947" s="16">
        <v>92449.56</v>
      </c>
      <c r="G947" s="15">
        <v>8</v>
      </c>
      <c r="H947" s="15" t="s">
        <v>748</v>
      </c>
      <c r="I947" s="23">
        <v>92449.56</v>
      </c>
    </row>
    <row r="948" spans="1:9" s="17" customFormat="1" x14ac:dyDescent="0.25">
      <c r="A948" s="14">
        <v>46195</v>
      </c>
      <c r="B948" s="15" t="s">
        <v>1306</v>
      </c>
      <c r="C948" s="15" t="s">
        <v>18</v>
      </c>
      <c r="D948" s="15" t="s">
        <v>332</v>
      </c>
      <c r="E948" s="16">
        <v>79170.600000000006</v>
      </c>
      <c r="F948" s="16">
        <v>79170.600000000006</v>
      </c>
      <c r="G948" s="15">
        <v>8</v>
      </c>
      <c r="H948" s="15" t="s">
        <v>748</v>
      </c>
      <c r="I948" s="23">
        <v>79170.600000000006</v>
      </c>
    </row>
    <row r="949" spans="1:9" s="17" customFormat="1" x14ac:dyDescent="0.25">
      <c r="A949" s="14">
        <v>46195</v>
      </c>
      <c r="B949" s="15" t="s">
        <v>1307</v>
      </c>
      <c r="C949" s="15" t="s">
        <v>20</v>
      </c>
      <c r="D949" s="15" t="s">
        <v>332</v>
      </c>
      <c r="E949" s="16">
        <v>124975.2</v>
      </c>
      <c r="F949" s="16">
        <v>124975.2</v>
      </c>
      <c r="G949" s="15">
        <v>8</v>
      </c>
      <c r="H949" s="15" t="s">
        <v>748</v>
      </c>
      <c r="I949" s="23">
        <v>124975.2</v>
      </c>
    </row>
    <row r="950" spans="1:9" s="17" customFormat="1" x14ac:dyDescent="0.25">
      <c r="A950" s="14">
        <v>46195</v>
      </c>
      <c r="B950" s="15" t="s">
        <v>1308</v>
      </c>
      <c r="C950" s="15" t="s">
        <v>20</v>
      </c>
      <c r="D950" s="15" t="s">
        <v>332</v>
      </c>
      <c r="E950" s="16">
        <v>119579.78</v>
      </c>
      <c r="F950" s="16">
        <v>119579.78</v>
      </c>
      <c r="G950" s="15">
        <v>8</v>
      </c>
      <c r="H950" s="15" t="s">
        <v>748</v>
      </c>
      <c r="I950" s="23">
        <v>119579.78</v>
      </c>
    </row>
    <row r="951" spans="1:9" s="17" customFormat="1" x14ac:dyDescent="0.25">
      <c r="A951" s="14">
        <v>46195</v>
      </c>
      <c r="B951" s="15" t="s">
        <v>1309</v>
      </c>
      <c r="C951" s="15" t="s">
        <v>22</v>
      </c>
      <c r="D951" s="15" t="s">
        <v>332</v>
      </c>
      <c r="E951" s="16">
        <v>116442.93</v>
      </c>
      <c r="F951" s="16">
        <v>116442.93</v>
      </c>
      <c r="G951" s="15">
        <v>8</v>
      </c>
      <c r="H951" s="15" t="s">
        <v>748</v>
      </c>
      <c r="I951" s="23">
        <v>116442.93</v>
      </c>
    </row>
    <row r="952" spans="1:9" s="17" customFormat="1" x14ac:dyDescent="0.25">
      <c r="A952" s="14">
        <v>46195</v>
      </c>
      <c r="B952" s="15" t="s">
        <v>1310</v>
      </c>
      <c r="C952" s="15" t="s">
        <v>26</v>
      </c>
      <c r="D952" s="15" t="s">
        <v>332</v>
      </c>
      <c r="E952" s="16">
        <v>86254.26</v>
      </c>
      <c r="F952" s="16">
        <v>86254.26</v>
      </c>
      <c r="G952" s="15">
        <v>8</v>
      </c>
      <c r="H952" s="15" t="s">
        <v>748</v>
      </c>
      <c r="I952" s="23">
        <v>86254.26</v>
      </c>
    </row>
    <row r="953" spans="1:9" s="17" customFormat="1" x14ac:dyDescent="0.25">
      <c r="A953" s="14">
        <v>46195</v>
      </c>
      <c r="B953" s="15" t="s">
        <v>1311</v>
      </c>
      <c r="C953" s="15" t="s">
        <v>26</v>
      </c>
      <c r="D953" s="15" t="s">
        <v>332</v>
      </c>
      <c r="E953" s="16">
        <v>83214.36</v>
      </c>
      <c r="F953" s="16">
        <v>83214.36</v>
      </c>
      <c r="G953" s="15">
        <v>8</v>
      </c>
      <c r="H953" s="15" t="s">
        <v>748</v>
      </c>
      <c r="I953" s="23">
        <v>83214.36</v>
      </c>
    </row>
    <row r="954" spans="1:9" s="17" customFormat="1" x14ac:dyDescent="0.25">
      <c r="A954" s="14">
        <v>46195</v>
      </c>
      <c r="B954" s="15" t="s">
        <v>1312</v>
      </c>
      <c r="C954" s="15" t="s">
        <v>26</v>
      </c>
      <c r="D954" s="15" t="s">
        <v>332</v>
      </c>
      <c r="E954" s="16">
        <v>88039.360000000001</v>
      </c>
      <c r="F954" s="16">
        <v>88039.360000000001</v>
      </c>
      <c r="G954" s="15">
        <v>8</v>
      </c>
      <c r="H954" s="15" t="s">
        <v>748</v>
      </c>
      <c r="I954" s="23">
        <v>88039.360000000001</v>
      </c>
    </row>
    <row r="955" spans="1:9" s="17" customFormat="1" x14ac:dyDescent="0.25">
      <c r="A955" s="14">
        <v>46195</v>
      </c>
      <c r="B955" s="15" t="s">
        <v>1313</v>
      </c>
      <c r="C955" s="15" t="s">
        <v>43</v>
      </c>
      <c r="D955" s="15" t="s">
        <v>321</v>
      </c>
      <c r="E955" s="16">
        <v>78447</v>
      </c>
      <c r="F955" s="16">
        <v>78447</v>
      </c>
      <c r="G955" s="15">
        <v>8</v>
      </c>
      <c r="H955" s="15" t="s">
        <v>748</v>
      </c>
      <c r="I955" s="23">
        <v>78447</v>
      </c>
    </row>
    <row r="956" spans="1:9" s="17" customFormat="1" x14ac:dyDescent="0.25">
      <c r="A956" s="14">
        <v>46195</v>
      </c>
      <c r="B956" s="15" t="s">
        <v>1314</v>
      </c>
      <c r="C956" s="15" t="s">
        <v>58</v>
      </c>
      <c r="D956" s="15" t="s">
        <v>663</v>
      </c>
      <c r="E956" s="16">
        <v>500000</v>
      </c>
      <c r="F956" s="16">
        <v>219646.5</v>
      </c>
      <c r="G956" s="15">
        <v>8</v>
      </c>
      <c r="H956" s="15" t="s">
        <v>748</v>
      </c>
      <c r="I956" s="23">
        <v>-219646.5</v>
      </c>
    </row>
    <row r="957" spans="1:9" s="17" customFormat="1" x14ac:dyDescent="0.25">
      <c r="A957" s="14">
        <v>46195</v>
      </c>
      <c r="B957" s="15" t="s">
        <v>1315</v>
      </c>
      <c r="C957" s="15" t="s">
        <v>58</v>
      </c>
      <c r="D957" s="15" t="s">
        <v>663</v>
      </c>
      <c r="E957" s="16">
        <v>260000</v>
      </c>
      <c r="F957" s="16">
        <v>520000</v>
      </c>
      <c r="G957" s="15">
        <v>8</v>
      </c>
      <c r="H957" s="15" t="s">
        <v>748</v>
      </c>
      <c r="I957" s="23">
        <v>-520000</v>
      </c>
    </row>
    <row r="958" spans="1:9" s="17" customFormat="1" x14ac:dyDescent="0.25">
      <c r="A958" s="14">
        <v>46195</v>
      </c>
      <c r="B958" s="15" t="s">
        <v>1316</v>
      </c>
      <c r="C958" s="15" t="s">
        <v>132</v>
      </c>
      <c r="D958" s="15" t="s">
        <v>335</v>
      </c>
      <c r="E958" s="16">
        <v>106051</v>
      </c>
      <c r="F958" s="16">
        <v>106051</v>
      </c>
      <c r="G958" s="15">
        <v>8</v>
      </c>
      <c r="H958" s="15" t="s">
        <v>748</v>
      </c>
      <c r="I958" s="23">
        <v>106051</v>
      </c>
    </row>
    <row r="959" spans="1:9" s="17" customFormat="1" x14ac:dyDescent="0.25">
      <c r="A959" s="14">
        <v>46195</v>
      </c>
      <c r="B959" s="15" t="s">
        <v>1317</v>
      </c>
      <c r="C959" s="15" t="s">
        <v>161</v>
      </c>
      <c r="D959" s="15" t="s">
        <v>332</v>
      </c>
      <c r="E959" s="16">
        <v>173256.68</v>
      </c>
      <c r="F959" s="16">
        <v>173256.68</v>
      </c>
      <c r="G959" s="15">
        <v>8</v>
      </c>
      <c r="H959" s="15" t="s">
        <v>748</v>
      </c>
      <c r="I959" s="23">
        <v>173256.68</v>
      </c>
    </row>
    <row r="960" spans="1:9" s="17" customFormat="1" x14ac:dyDescent="0.25">
      <c r="A960" s="14">
        <v>46195</v>
      </c>
      <c r="B960" s="15" t="s">
        <v>1318</v>
      </c>
      <c r="C960" s="15" t="s">
        <v>171</v>
      </c>
      <c r="D960" s="15" t="s">
        <v>332</v>
      </c>
      <c r="E960" s="16">
        <v>142945.4</v>
      </c>
      <c r="F960" s="16">
        <v>142945.4</v>
      </c>
      <c r="G960" s="15">
        <v>8</v>
      </c>
      <c r="H960" s="15" t="s">
        <v>748</v>
      </c>
      <c r="I960" s="23">
        <v>142945.4</v>
      </c>
    </row>
    <row r="961" spans="1:9" s="17" customFormat="1" x14ac:dyDescent="0.25">
      <c r="A961" s="14">
        <v>46195</v>
      </c>
      <c r="B961" s="15" t="s">
        <v>1319</v>
      </c>
      <c r="C961" s="15" t="s">
        <v>171</v>
      </c>
      <c r="D961" s="15" t="s">
        <v>332</v>
      </c>
      <c r="E961" s="16">
        <v>134337.1</v>
      </c>
      <c r="F961" s="16">
        <v>134337.1</v>
      </c>
      <c r="G961" s="15">
        <v>8</v>
      </c>
      <c r="H961" s="15" t="s">
        <v>748</v>
      </c>
      <c r="I961" s="23">
        <v>134337.1</v>
      </c>
    </row>
    <row r="962" spans="1:9" s="17" customFormat="1" x14ac:dyDescent="0.25">
      <c r="A962" s="14">
        <v>46195</v>
      </c>
      <c r="B962" s="15" t="s">
        <v>1320</v>
      </c>
      <c r="C962" s="15" t="s">
        <v>171</v>
      </c>
      <c r="D962" s="15" t="s">
        <v>332</v>
      </c>
      <c r="E962" s="16">
        <v>130414.1</v>
      </c>
      <c r="F962" s="16">
        <v>130414.1</v>
      </c>
      <c r="G962" s="15">
        <v>8</v>
      </c>
      <c r="H962" s="15" t="s">
        <v>748</v>
      </c>
      <c r="I962" s="23">
        <v>130414.1</v>
      </c>
    </row>
    <row r="963" spans="1:9" s="17" customFormat="1" x14ac:dyDescent="0.25">
      <c r="A963" s="14">
        <v>46195</v>
      </c>
      <c r="B963" s="15" t="s">
        <v>1321</v>
      </c>
      <c r="C963" s="15" t="s">
        <v>171</v>
      </c>
      <c r="D963" s="15" t="s">
        <v>332</v>
      </c>
      <c r="E963" s="16">
        <v>129237</v>
      </c>
      <c r="F963" s="16">
        <v>129237</v>
      </c>
      <c r="G963" s="15">
        <v>8</v>
      </c>
      <c r="H963" s="15" t="s">
        <v>748</v>
      </c>
      <c r="I963" s="23">
        <v>129237</v>
      </c>
    </row>
    <row r="964" spans="1:9" s="17" customFormat="1" x14ac:dyDescent="0.25">
      <c r="A964" s="14">
        <v>46195</v>
      </c>
      <c r="B964" s="15" t="s">
        <v>1322</v>
      </c>
      <c r="C964" s="15" t="s">
        <v>171</v>
      </c>
      <c r="D964" s="15" t="s">
        <v>332</v>
      </c>
      <c r="E964" s="16">
        <v>126767.3</v>
      </c>
      <c r="F964" s="16">
        <v>126767.3</v>
      </c>
      <c r="G964" s="15">
        <v>8</v>
      </c>
      <c r="H964" s="15" t="s">
        <v>748</v>
      </c>
      <c r="I964" s="23">
        <v>126767.3</v>
      </c>
    </row>
    <row r="965" spans="1:9" s="17" customFormat="1" x14ac:dyDescent="0.25">
      <c r="A965" s="14">
        <v>46195</v>
      </c>
      <c r="B965" s="15" t="s">
        <v>1323</v>
      </c>
      <c r="C965" s="15" t="s">
        <v>171</v>
      </c>
      <c r="D965" s="15" t="s">
        <v>332</v>
      </c>
      <c r="E965" s="16">
        <v>121366.9</v>
      </c>
      <c r="F965" s="16">
        <v>121366.9</v>
      </c>
      <c r="G965" s="15">
        <v>8</v>
      </c>
      <c r="H965" s="15" t="s">
        <v>748</v>
      </c>
      <c r="I965" s="23">
        <v>121366.9</v>
      </c>
    </row>
    <row r="966" spans="1:9" s="17" customFormat="1" x14ac:dyDescent="0.25">
      <c r="A966" s="14">
        <v>46195</v>
      </c>
      <c r="B966" s="15" t="s">
        <v>1324</v>
      </c>
      <c r="C966" s="15" t="s">
        <v>171</v>
      </c>
      <c r="D966" s="15" t="s">
        <v>332</v>
      </c>
      <c r="E966" s="16">
        <v>143014.70000000001</v>
      </c>
      <c r="F966" s="16">
        <v>143014.70000000001</v>
      </c>
      <c r="G966" s="15">
        <v>8</v>
      </c>
      <c r="H966" s="15" t="s">
        <v>748</v>
      </c>
      <c r="I966" s="23">
        <v>143014.70000000001</v>
      </c>
    </row>
    <row r="967" spans="1:9" s="17" customFormat="1" x14ac:dyDescent="0.25">
      <c r="A967" s="14">
        <v>46195</v>
      </c>
      <c r="B967" s="15" t="s">
        <v>1325</v>
      </c>
      <c r="C967" s="15" t="s">
        <v>171</v>
      </c>
      <c r="D967" s="15" t="s">
        <v>332</v>
      </c>
      <c r="E967" s="16">
        <v>138468</v>
      </c>
      <c r="F967" s="16">
        <v>138468</v>
      </c>
      <c r="G967" s="15">
        <v>8</v>
      </c>
      <c r="H967" s="15" t="s">
        <v>748</v>
      </c>
      <c r="I967" s="23">
        <v>138468</v>
      </c>
    </row>
    <row r="968" spans="1:9" s="17" customFormat="1" x14ac:dyDescent="0.25">
      <c r="A968" s="14">
        <v>46195</v>
      </c>
      <c r="B968" s="15" t="s">
        <v>1326</v>
      </c>
      <c r="C968" s="15" t="s">
        <v>171</v>
      </c>
      <c r="D968" s="15" t="s">
        <v>332</v>
      </c>
      <c r="E968" s="16">
        <v>141606.6</v>
      </c>
      <c r="F968" s="16">
        <v>141606.6</v>
      </c>
      <c r="G968" s="15">
        <v>8</v>
      </c>
      <c r="H968" s="15" t="s">
        <v>748</v>
      </c>
      <c r="I968" s="23">
        <v>141606.6</v>
      </c>
    </row>
    <row r="969" spans="1:9" s="17" customFormat="1" x14ac:dyDescent="0.25">
      <c r="A969" s="14">
        <v>46195</v>
      </c>
      <c r="B969" s="15" t="s">
        <v>1327</v>
      </c>
      <c r="C969" s="15" t="s">
        <v>1053</v>
      </c>
      <c r="D969" s="15" t="s">
        <v>317</v>
      </c>
      <c r="E969" s="16">
        <v>35340.76</v>
      </c>
      <c r="F969" s="16">
        <v>35340.76</v>
      </c>
      <c r="G969" s="15">
        <v>8</v>
      </c>
      <c r="H969" s="15" t="s">
        <v>748</v>
      </c>
      <c r="I969" s="23">
        <v>35340.76</v>
      </c>
    </row>
    <row r="970" spans="1:9" s="17" customFormat="1" x14ac:dyDescent="0.25">
      <c r="A970" s="14">
        <v>46195</v>
      </c>
      <c r="B970" s="15" t="s">
        <v>1328</v>
      </c>
      <c r="C970" s="15" t="s">
        <v>188</v>
      </c>
      <c r="D970" s="15" t="s">
        <v>321</v>
      </c>
      <c r="E970" s="16">
        <v>57349</v>
      </c>
      <c r="F970" s="16">
        <v>57349</v>
      </c>
      <c r="G970" s="15">
        <v>8</v>
      </c>
      <c r="H970" s="15" t="s">
        <v>748</v>
      </c>
      <c r="I970" s="23">
        <v>57349</v>
      </c>
    </row>
    <row r="971" spans="1:9" s="17" customFormat="1" x14ac:dyDescent="0.25">
      <c r="A971" s="14">
        <v>46195</v>
      </c>
      <c r="B971" s="15" t="s">
        <v>1329</v>
      </c>
      <c r="C971" s="15" t="s">
        <v>209</v>
      </c>
      <c r="D971" s="15" t="s">
        <v>332</v>
      </c>
      <c r="E971" s="16">
        <v>314100.15999999997</v>
      </c>
      <c r="F971" s="16">
        <v>314100.15999999997</v>
      </c>
      <c r="G971" s="15">
        <v>8</v>
      </c>
      <c r="H971" s="15" t="s">
        <v>748</v>
      </c>
      <c r="I971" s="23">
        <v>314100.15999999997</v>
      </c>
    </row>
    <row r="972" spans="1:9" s="17" customFormat="1" x14ac:dyDescent="0.25">
      <c r="A972" s="14">
        <v>46196</v>
      </c>
      <c r="B972" s="15" t="s">
        <v>1330</v>
      </c>
      <c r="C972" s="15" t="s">
        <v>43</v>
      </c>
      <c r="D972" s="15" t="s">
        <v>321</v>
      </c>
      <c r="E972" s="16">
        <v>91765</v>
      </c>
      <c r="F972" s="16">
        <v>91765</v>
      </c>
      <c r="G972" s="15">
        <v>7</v>
      </c>
      <c r="H972" s="15" t="s">
        <v>748</v>
      </c>
      <c r="I972" s="23">
        <v>91765</v>
      </c>
    </row>
    <row r="973" spans="1:9" s="17" customFormat="1" x14ac:dyDescent="0.25">
      <c r="A973" s="14">
        <v>46196</v>
      </c>
      <c r="B973" s="15" t="s">
        <v>1331</v>
      </c>
      <c r="C973" s="15" t="s">
        <v>43</v>
      </c>
      <c r="D973" s="15" t="s">
        <v>321</v>
      </c>
      <c r="E973" s="16">
        <v>75731</v>
      </c>
      <c r="F973" s="16">
        <v>75731</v>
      </c>
      <c r="G973" s="15">
        <v>7</v>
      </c>
      <c r="H973" s="15" t="s">
        <v>748</v>
      </c>
      <c r="I973" s="23">
        <v>75731</v>
      </c>
    </row>
    <row r="974" spans="1:9" s="17" customFormat="1" x14ac:dyDescent="0.25">
      <c r="A974" s="14">
        <v>46196</v>
      </c>
      <c r="B974" s="15" t="s">
        <v>1332</v>
      </c>
      <c r="C974" s="15" t="s">
        <v>43</v>
      </c>
      <c r="D974" s="15" t="s">
        <v>321</v>
      </c>
      <c r="E974" s="16">
        <v>85001</v>
      </c>
      <c r="F974" s="16">
        <v>85001</v>
      </c>
      <c r="G974" s="15">
        <v>7</v>
      </c>
      <c r="H974" s="15" t="s">
        <v>748</v>
      </c>
      <c r="I974" s="23">
        <v>85001</v>
      </c>
    </row>
    <row r="975" spans="1:9" s="17" customFormat="1" x14ac:dyDescent="0.25">
      <c r="A975" s="14">
        <v>46196</v>
      </c>
      <c r="B975" s="15" t="s">
        <v>1333</v>
      </c>
      <c r="C975" s="15" t="s">
        <v>66</v>
      </c>
      <c r="D975" s="15" t="s">
        <v>1666</v>
      </c>
      <c r="E975" s="16">
        <v>158400</v>
      </c>
      <c r="F975" s="16">
        <v>158400</v>
      </c>
      <c r="G975" s="15">
        <v>7</v>
      </c>
      <c r="H975" s="15" t="s">
        <v>748</v>
      </c>
      <c r="I975" s="23">
        <v>-158400</v>
      </c>
    </row>
    <row r="976" spans="1:9" s="17" customFormat="1" x14ac:dyDescent="0.25">
      <c r="A976" s="14">
        <v>46196</v>
      </c>
      <c r="B976" s="15" t="s">
        <v>1334</v>
      </c>
      <c r="C976" s="15" t="s">
        <v>66</v>
      </c>
      <c r="D976" s="15" t="s">
        <v>1666</v>
      </c>
      <c r="E976" s="16">
        <v>324675</v>
      </c>
      <c r="F976" s="16">
        <v>324675</v>
      </c>
      <c r="G976" s="15">
        <v>7</v>
      </c>
      <c r="H976" s="15" t="s">
        <v>748</v>
      </c>
      <c r="I976" s="23">
        <v>-324675</v>
      </c>
    </row>
    <row r="977" spans="1:9" s="17" customFormat="1" x14ac:dyDescent="0.25">
      <c r="A977" s="14">
        <v>46196</v>
      </c>
      <c r="B977" s="15" t="s">
        <v>1335</v>
      </c>
      <c r="C977" s="15" t="s">
        <v>66</v>
      </c>
      <c r="D977" s="15" t="s">
        <v>306</v>
      </c>
      <c r="E977" s="16">
        <v>185000</v>
      </c>
      <c r="F977" s="16">
        <v>185000</v>
      </c>
      <c r="G977" s="15">
        <v>7</v>
      </c>
      <c r="H977" s="15" t="s">
        <v>748</v>
      </c>
      <c r="I977" s="23">
        <v>-185000</v>
      </c>
    </row>
    <row r="978" spans="1:9" s="17" customFormat="1" x14ac:dyDescent="0.25">
      <c r="A978" s="14">
        <v>46196</v>
      </c>
      <c r="B978" s="15" t="s">
        <v>1336</v>
      </c>
      <c r="C978" s="15" t="s">
        <v>1037</v>
      </c>
      <c r="D978" s="15" t="s">
        <v>306</v>
      </c>
      <c r="E978" s="16">
        <v>3800</v>
      </c>
      <c r="F978" s="16">
        <v>3800</v>
      </c>
      <c r="G978" s="15">
        <v>7</v>
      </c>
      <c r="H978" s="15" t="s">
        <v>748</v>
      </c>
      <c r="I978" s="23">
        <v>3800</v>
      </c>
    </row>
    <row r="979" spans="1:9" s="17" customFormat="1" x14ac:dyDescent="0.25">
      <c r="A979" s="14">
        <v>46196</v>
      </c>
      <c r="B979" s="15" t="s">
        <v>1337</v>
      </c>
      <c r="C979" s="15" t="s">
        <v>1047</v>
      </c>
      <c r="D979" s="15" t="s">
        <v>306</v>
      </c>
      <c r="E979" s="16">
        <v>11700</v>
      </c>
      <c r="F979" s="16">
        <v>11700</v>
      </c>
      <c r="G979" s="15">
        <v>7</v>
      </c>
      <c r="H979" s="15" t="s">
        <v>748</v>
      </c>
      <c r="I979" s="23">
        <v>11700</v>
      </c>
    </row>
    <row r="980" spans="1:9" s="17" customFormat="1" x14ac:dyDescent="0.25">
      <c r="A980" s="14">
        <v>46196</v>
      </c>
      <c r="B980" s="15" t="s">
        <v>1338</v>
      </c>
      <c r="C980" s="15" t="s">
        <v>132</v>
      </c>
      <c r="D980" s="15" t="s">
        <v>335</v>
      </c>
      <c r="E980" s="16">
        <v>182615</v>
      </c>
      <c r="F980" s="16">
        <v>182615</v>
      </c>
      <c r="G980" s="15">
        <v>7</v>
      </c>
      <c r="H980" s="15" t="s">
        <v>748</v>
      </c>
      <c r="I980" s="23">
        <v>182615</v>
      </c>
    </row>
    <row r="981" spans="1:9" s="17" customFormat="1" x14ac:dyDescent="0.25">
      <c r="A981" s="14">
        <v>46196</v>
      </c>
      <c r="B981" s="15" t="s">
        <v>1339</v>
      </c>
      <c r="C981" s="15" t="s">
        <v>188</v>
      </c>
      <c r="D981" s="15" t="s">
        <v>321</v>
      </c>
      <c r="E981" s="16">
        <v>169752</v>
      </c>
      <c r="F981" s="16">
        <v>169752</v>
      </c>
      <c r="G981" s="15">
        <v>7</v>
      </c>
      <c r="H981" s="15" t="s">
        <v>748</v>
      </c>
      <c r="I981" s="23">
        <v>169752</v>
      </c>
    </row>
    <row r="982" spans="1:9" s="17" customFormat="1" x14ac:dyDescent="0.25">
      <c r="A982" s="14">
        <v>46197</v>
      </c>
      <c r="B982" s="15" t="s">
        <v>1340</v>
      </c>
      <c r="C982" s="15" t="s">
        <v>18</v>
      </c>
      <c r="D982" s="15" t="s">
        <v>332</v>
      </c>
      <c r="E982" s="16">
        <v>57092.78</v>
      </c>
      <c r="F982" s="16">
        <v>57092.78</v>
      </c>
      <c r="G982" s="15">
        <v>6</v>
      </c>
      <c r="H982" s="15" t="s">
        <v>748</v>
      </c>
      <c r="I982" s="23">
        <v>57092.78</v>
      </c>
    </row>
    <row r="983" spans="1:9" s="17" customFormat="1" x14ac:dyDescent="0.25">
      <c r="A983" s="14">
        <v>46197</v>
      </c>
      <c r="B983" s="15" t="s">
        <v>1341</v>
      </c>
      <c r="C983" s="15" t="s">
        <v>18</v>
      </c>
      <c r="D983" s="15" t="s">
        <v>332</v>
      </c>
      <c r="E983" s="16">
        <v>59265.95</v>
      </c>
      <c r="F983" s="16">
        <v>59265.95</v>
      </c>
      <c r="G983" s="15">
        <v>6</v>
      </c>
      <c r="H983" s="15" t="s">
        <v>748</v>
      </c>
      <c r="I983" s="23">
        <v>59265.95</v>
      </c>
    </row>
    <row r="984" spans="1:9" s="17" customFormat="1" x14ac:dyDescent="0.25">
      <c r="A984" s="14">
        <v>46197</v>
      </c>
      <c r="B984" s="15" t="s">
        <v>1342</v>
      </c>
      <c r="C984" s="15" t="s">
        <v>18</v>
      </c>
      <c r="D984" s="15" t="s">
        <v>332</v>
      </c>
      <c r="E984" s="16">
        <v>59231.57</v>
      </c>
      <c r="F984" s="16">
        <v>59231.57</v>
      </c>
      <c r="G984" s="15">
        <v>6</v>
      </c>
      <c r="H984" s="15" t="s">
        <v>748</v>
      </c>
      <c r="I984" s="23">
        <v>59231.57</v>
      </c>
    </row>
    <row r="985" spans="1:9" s="17" customFormat="1" x14ac:dyDescent="0.25">
      <c r="A985" s="14">
        <v>46197</v>
      </c>
      <c r="B985" s="15" t="s">
        <v>1343</v>
      </c>
      <c r="C985" s="15" t="s">
        <v>18</v>
      </c>
      <c r="D985" s="15" t="s">
        <v>332</v>
      </c>
      <c r="E985" s="16">
        <v>56615.07</v>
      </c>
      <c r="F985" s="16">
        <v>56615.07</v>
      </c>
      <c r="G985" s="15">
        <v>6</v>
      </c>
      <c r="H985" s="15" t="s">
        <v>748</v>
      </c>
      <c r="I985" s="23">
        <v>56615.07</v>
      </c>
    </row>
    <row r="986" spans="1:9" s="17" customFormat="1" x14ac:dyDescent="0.25">
      <c r="A986" s="14">
        <v>46197</v>
      </c>
      <c r="B986" s="15" t="s">
        <v>1344</v>
      </c>
      <c r="C986" s="15" t="s">
        <v>18</v>
      </c>
      <c r="D986" s="15" t="s">
        <v>332</v>
      </c>
      <c r="E986" s="16">
        <v>73500.78</v>
      </c>
      <c r="F986" s="16">
        <v>73500.78</v>
      </c>
      <c r="G986" s="15">
        <v>6</v>
      </c>
      <c r="H986" s="15" t="s">
        <v>748</v>
      </c>
      <c r="I986" s="23">
        <v>73500.78</v>
      </c>
    </row>
    <row r="987" spans="1:9" s="17" customFormat="1" x14ac:dyDescent="0.25">
      <c r="A987" s="14">
        <v>46197</v>
      </c>
      <c r="B987" s="15" t="s">
        <v>1345</v>
      </c>
      <c r="C987" s="15" t="s">
        <v>18</v>
      </c>
      <c r="D987" s="15" t="s">
        <v>332</v>
      </c>
      <c r="E987" s="16">
        <v>76372.460000000006</v>
      </c>
      <c r="F987" s="16">
        <v>76372.460000000006</v>
      </c>
      <c r="G987" s="15">
        <v>6</v>
      </c>
      <c r="H987" s="15" t="s">
        <v>748</v>
      </c>
      <c r="I987" s="23">
        <v>76372.460000000006</v>
      </c>
    </row>
    <row r="988" spans="1:9" s="17" customFormat="1" x14ac:dyDescent="0.25">
      <c r="A988" s="14">
        <v>46197</v>
      </c>
      <c r="B988" s="15" t="s">
        <v>1346</v>
      </c>
      <c r="C988" s="15" t="s">
        <v>18</v>
      </c>
      <c r="D988" s="15" t="s">
        <v>332</v>
      </c>
      <c r="E988" s="16">
        <v>56597.38</v>
      </c>
      <c r="F988" s="16">
        <v>56597.38</v>
      </c>
      <c r="G988" s="15">
        <v>6</v>
      </c>
      <c r="H988" s="15" t="s">
        <v>748</v>
      </c>
      <c r="I988" s="23">
        <v>56597.38</v>
      </c>
    </row>
    <row r="989" spans="1:9" s="17" customFormat="1" x14ac:dyDescent="0.25">
      <c r="A989" s="14">
        <v>46197</v>
      </c>
      <c r="B989" s="15" t="s">
        <v>1347</v>
      </c>
      <c r="C989" s="15" t="s">
        <v>18</v>
      </c>
      <c r="D989" s="15" t="s">
        <v>332</v>
      </c>
      <c r="E989" s="16">
        <v>73048.27</v>
      </c>
      <c r="F989" s="16">
        <v>73048.27</v>
      </c>
      <c r="G989" s="15">
        <v>6</v>
      </c>
      <c r="H989" s="15" t="s">
        <v>748</v>
      </c>
      <c r="I989" s="23">
        <v>73048.27</v>
      </c>
    </row>
    <row r="990" spans="1:9" s="17" customFormat="1" x14ac:dyDescent="0.25">
      <c r="A990" s="14">
        <v>46197</v>
      </c>
      <c r="B990" s="15" t="s">
        <v>1348</v>
      </c>
      <c r="C990" s="15" t="s">
        <v>18</v>
      </c>
      <c r="D990" s="15" t="s">
        <v>332</v>
      </c>
      <c r="E990" s="16">
        <v>58082.559999999998</v>
      </c>
      <c r="F990" s="16">
        <v>58082.559999999998</v>
      </c>
      <c r="G990" s="15">
        <v>6</v>
      </c>
      <c r="H990" s="15" t="s">
        <v>748</v>
      </c>
      <c r="I990" s="23">
        <v>58082.559999999998</v>
      </c>
    </row>
    <row r="991" spans="1:9" s="17" customFormat="1" x14ac:dyDescent="0.25">
      <c r="A991" s="14">
        <v>46197</v>
      </c>
      <c r="B991" s="15" t="s">
        <v>1349</v>
      </c>
      <c r="C991" s="15" t="s">
        <v>18</v>
      </c>
      <c r="D991" s="15" t="s">
        <v>332</v>
      </c>
      <c r="E991" s="16">
        <v>53610.35</v>
      </c>
      <c r="F991" s="16">
        <v>53610.35</v>
      </c>
      <c r="G991" s="15">
        <v>6</v>
      </c>
      <c r="H991" s="15" t="s">
        <v>748</v>
      </c>
      <c r="I991" s="23">
        <v>53610.35</v>
      </c>
    </row>
    <row r="992" spans="1:9" s="17" customFormat="1" x14ac:dyDescent="0.25">
      <c r="A992" s="14">
        <v>46197</v>
      </c>
      <c r="B992" s="15" t="s">
        <v>1350</v>
      </c>
      <c r="C992" s="15" t="s">
        <v>18</v>
      </c>
      <c r="D992" s="15" t="s">
        <v>332</v>
      </c>
      <c r="E992" s="16">
        <v>59107.72</v>
      </c>
      <c r="F992" s="16">
        <v>59107.72</v>
      </c>
      <c r="G992" s="15">
        <v>6</v>
      </c>
      <c r="H992" s="15" t="s">
        <v>748</v>
      </c>
      <c r="I992" s="23">
        <v>59107.72</v>
      </c>
    </row>
    <row r="993" spans="1:9" s="17" customFormat="1" x14ac:dyDescent="0.25">
      <c r="A993" s="14">
        <v>46197</v>
      </c>
      <c r="B993" s="15" t="s">
        <v>1351</v>
      </c>
      <c r="C993" s="15" t="s">
        <v>18</v>
      </c>
      <c r="D993" s="15" t="s">
        <v>332</v>
      </c>
      <c r="E993" s="16">
        <v>59054.65</v>
      </c>
      <c r="F993" s="16">
        <v>59054.65</v>
      </c>
      <c r="G993" s="15">
        <v>6</v>
      </c>
      <c r="H993" s="15" t="s">
        <v>748</v>
      </c>
      <c r="I993" s="23">
        <v>59054.65</v>
      </c>
    </row>
    <row r="994" spans="1:9" s="17" customFormat="1" x14ac:dyDescent="0.25">
      <c r="A994" s="14">
        <v>46197</v>
      </c>
      <c r="B994" s="15" t="s">
        <v>1352</v>
      </c>
      <c r="C994" s="15" t="s">
        <v>18</v>
      </c>
      <c r="D994" s="15" t="s">
        <v>332</v>
      </c>
      <c r="E994" s="16">
        <v>58188.72</v>
      </c>
      <c r="F994" s="16">
        <v>58188.72</v>
      </c>
      <c r="G994" s="15">
        <v>6</v>
      </c>
      <c r="H994" s="15" t="s">
        <v>748</v>
      </c>
      <c r="I994" s="23">
        <v>58188.72</v>
      </c>
    </row>
    <row r="995" spans="1:9" s="17" customFormat="1" x14ac:dyDescent="0.25">
      <c r="A995" s="14">
        <v>46197</v>
      </c>
      <c r="B995" s="15" t="s">
        <v>1353</v>
      </c>
      <c r="C995" s="15" t="s">
        <v>18</v>
      </c>
      <c r="D995" s="15" t="s">
        <v>332</v>
      </c>
      <c r="E995" s="16">
        <v>50747.17</v>
      </c>
      <c r="F995" s="16">
        <v>50747.17</v>
      </c>
      <c r="G995" s="15">
        <v>6</v>
      </c>
      <c r="H995" s="15" t="s">
        <v>748</v>
      </c>
      <c r="I995" s="23">
        <v>50747.17</v>
      </c>
    </row>
    <row r="996" spans="1:9" s="17" customFormat="1" x14ac:dyDescent="0.25">
      <c r="A996" s="14">
        <v>46197</v>
      </c>
      <c r="B996" s="15" t="s">
        <v>1354</v>
      </c>
      <c r="C996" s="15" t="s">
        <v>18</v>
      </c>
      <c r="D996" s="15" t="s">
        <v>332</v>
      </c>
      <c r="E996" s="16">
        <v>56208.160000000003</v>
      </c>
      <c r="F996" s="16">
        <v>56208.160000000003</v>
      </c>
      <c r="G996" s="15">
        <v>6</v>
      </c>
      <c r="H996" s="15" t="s">
        <v>748</v>
      </c>
      <c r="I996" s="23">
        <v>56208.160000000003</v>
      </c>
    </row>
    <row r="997" spans="1:9" s="17" customFormat="1" x14ac:dyDescent="0.25">
      <c r="A997" s="14">
        <v>46197</v>
      </c>
      <c r="B997" s="15" t="s">
        <v>1355</v>
      </c>
      <c r="C997" s="15" t="s">
        <v>18</v>
      </c>
      <c r="D997" s="15" t="s">
        <v>332</v>
      </c>
      <c r="E997" s="16">
        <v>53256.51</v>
      </c>
      <c r="F997" s="16">
        <v>53256.51</v>
      </c>
      <c r="G997" s="15">
        <v>6</v>
      </c>
      <c r="H997" s="15" t="s">
        <v>748</v>
      </c>
      <c r="I997" s="23">
        <v>53256.51</v>
      </c>
    </row>
    <row r="998" spans="1:9" s="17" customFormat="1" x14ac:dyDescent="0.25">
      <c r="A998" s="14">
        <v>46197</v>
      </c>
      <c r="B998" s="15" t="s">
        <v>1356</v>
      </c>
      <c r="C998" s="15" t="s">
        <v>18</v>
      </c>
      <c r="D998" s="15" t="s">
        <v>332</v>
      </c>
      <c r="E998" s="16">
        <v>53557.279999999999</v>
      </c>
      <c r="F998" s="16">
        <v>53557.279999999999</v>
      </c>
      <c r="G998" s="15">
        <v>6</v>
      </c>
      <c r="H998" s="15" t="s">
        <v>748</v>
      </c>
      <c r="I998" s="23">
        <v>53557.279999999999</v>
      </c>
    </row>
    <row r="999" spans="1:9" s="17" customFormat="1" x14ac:dyDescent="0.25">
      <c r="A999" s="14">
        <v>46197</v>
      </c>
      <c r="B999" s="15" t="s">
        <v>1357</v>
      </c>
      <c r="C999" s="15" t="s">
        <v>18</v>
      </c>
      <c r="D999" s="15" t="s">
        <v>332</v>
      </c>
      <c r="E999" s="16">
        <v>61228.82</v>
      </c>
      <c r="F999" s="16">
        <v>61228.82</v>
      </c>
      <c r="G999" s="15">
        <v>6</v>
      </c>
      <c r="H999" s="15" t="s">
        <v>748</v>
      </c>
      <c r="I999" s="23">
        <v>61228.82</v>
      </c>
    </row>
    <row r="1000" spans="1:9" s="17" customFormat="1" x14ac:dyDescent="0.25">
      <c r="A1000" s="14">
        <v>46197</v>
      </c>
      <c r="B1000" s="15" t="s">
        <v>1358</v>
      </c>
      <c r="C1000" s="15" t="s">
        <v>18</v>
      </c>
      <c r="D1000" s="15" t="s">
        <v>332</v>
      </c>
      <c r="E1000" s="16">
        <v>73846.789999999994</v>
      </c>
      <c r="F1000" s="16">
        <v>73846.789999999994</v>
      </c>
      <c r="G1000" s="15">
        <v>6</v>
      </c>
      <c r="H1000" s="15" t="s">
        <v>748</v>
      </c>
      <c r="I1000" s="23">
        <v>73846.789999999994</v>
      </c>
    </row>
    <row r="1001" spans="1:9" s="17" customFormat="1" x14ac:dyDescent="0.25">
      <c r="A1001" s="14">
        <v>46197</v>
      </c>
      <c r="B1001" s="15" t="s">
        <v>1359</v>
      </c>
      <c r="C1001" s="15" t="s">
        <v>18</v>
      </c>
      <c r="D1001" s="15" t="s">
        <v>332</v>
      </c>
      <c r="E1001" s="16">
        <v>56402.77</v>
      </c>
      <c r="F1001" s="16">
        <v>56402.77</v>
      </c>
      <c r="G1001" s="15">
        <v>6</v>
      </c>
      <c r="H1001" s="15" t="s">
        <v>748</v>
      </c>
      <c r="I1001" s="23">
        <v>56402.77</v>
      </c>
    </row>
    <row r="1002" spans="1:9" s="17" customFormat="1" x14ac:dyDescent="0.25">
      <c r="A1002" s="14">
        <v>46197</v>
      </c>
      <c r="B1002" s="15" t="s">
        <v>1360</v>
      </c>
      <c r="C1002" s="15" t="s">
        <v>18</v>
      </c>
      <c r="D1002" s="15" t="s">
        <v>332</v>
      </c>
      <c r="E1002" s="16">
        <v>49580.47</v>
      </c>
      <c r="F1002" s="16">
        <v>49580.47</v>
      </c>
      <c r="G1002" s="15">
        <v>6</v>
      </c>
      <c r="H1002" s="15" t="s">
        <v>748</v>
      </c>
      <c r="I1002" s="23">
        <v>49580.47</v>
      </c>
    </row>
    <row r="1003" spans="1:9" s="17" customFormat="1" x14ac:dyDescent="0.25">
      <c r="A1003" s="14">
        <v>46197</v>
      </c>
      <c r="B1003" s="15" t="s">
        <v>1361</v>
      </c>
      <c r="C1003" s="15" t="s">
        <v>20</v>
      </c>
      <c r="D1003" s="15" t="s">
        <v>332</v>
      </c>
      <c r="E1003" s="16">
        <v>116532.16</v>
      </c>
      <c r="F1003" s="16">
        <v>116532.16</v>
      </c>
      <c r="G1003" s="15">
        <v>6</v>
      </c>
      <c r="H1003" s="15" t="s">
        <v>748</v>
      </c>
      <c r="I1003" s="23">
        <v>116532.16</v>
      </c>
    </row>
    <row r="1004" spans="1:9" s="17" customFormat="1" x14ac:dyDescent="0.25">
      <c r="A1004" s="14">
        <v>46197</v>
      </c>
      <c r="B1004" s="15" t="s">
        <v>1362</v>
      </c>
      <c r="C1004" s="15" t="s">
        <v>22</v>
      </c>
      <c r="D1004" s="15" t="s">
        <v>332</v>
      </c>
      <c r="E1004" s="16">
        <v>55697.279999999999</v>
      </c>
      <c r="F1004" s="16">
        <v>55697.279999999999</v>
      </c>
      <c r="G1004" s="15">
        <v>6</v>
      </c>
      <c r="H1004" s="15" t="s">
        <v>748</v>
      </c>
      <c r="I1004" s="23">
        <v>55697.279999999999</v>
      </c>
    </row>
    <row r="1005" spans="1:9" s="17" customFormat="1" x14ac:dyDescent="0.25">
      <c r="A1005" s="14">
        <v>46197</v>
      </c>
      <c r="B1005" s="15" t="s">
        <v>1363</v>
      </c>
      <c r="C1005" s="15" t="s">
        <v>22</v>
      </c>
      <c r="D1005" s="15" t="s">
        <v>332</v>
      </c>
      <c r="E1005" s="16">
        <v>58302.48</v>
      </c>
      <c r="F1005" s="16">
        <v>58302.48</v>
      </c>
      <c r="G1005" s="15">
        <v>6</v>
      </c>
      <c r="H1005" s="15" t="s">
        <v>748</v>
      </c>
      <c r="I1005" s="23">
        <v>58302.48</v>
      </c>
    </row>
    <row r="1006" spans="1:9" s="17" customFormat="1" x14ac:dyDescent="0.25">
      <c r="A1006" s="14">
        <v>46197</v>
      </c>
      <c r="B1006" s="15" t="s">
        <v>1364</v>
      </c>
      <c r="C1006" s="15" t="s">
        <v>43</v>
      </c>
      <c r="D1006" s="15" t="s">
        <v>321</v>
      </c>
      <c r="E1006" s="16">
        <v>89362</v>
      </c>
      <c r="F1006" s="16">
        <v>89362</v>
      </c>
      <c r="G1006" s="15">
        <v>6</v>
      </c>
      <c r="H1006" s="15" t="s">
        <v>748</v>
      </c>
      <c r="I1006" s="23">
        <v>89362</v>
      </c>
    </row>
    <row r="1007" spans="1:9" s="17" customFormat="1" x14ac:dyDescent="0.25">
      <c r="A1007" s="14">
        <v>46197</v>
      </c>
      <c r="B1007" s="15" t="s">
        <v>1365</v>
      </c>
      <c r="C1007" s="15" t="s">
        <v>43</v>
      </c>
      <c r="D1007" s="15" t="s">
        <v>321</v>
      </c>
      <c r="E1007" s="16">
        <v>78212</v>
      </c>
      <c r="F1007" s="16">
        <v>78212</v>
      </c>
      <c r="G1007" s="15">
        <v>6</v>
      </c>
      <c r="H1007" s="15" t="s">
        <v>748</v>
      </c>
      <c r="I1007" s="23">
        <v>78212</v>
      </c>
    </row>
    <row r="1008" spans="1:9" s="17" customFormat="1" x14ac:dyDescent="0.25">
      <c r="A1008" s="14">
        <v>46197</v>
      </c>
      <c r="B1008" s="15" t="s">
        <v>1366</v>
      </c>
      <c r="C1008" s="15" t="s">
        <v>1056</v>
      </c>
      <c r="D1008" s="15" t="s">
        <v>306</v>
      </c>
      <c r="E1008" s="16">
        <v>84591.33</v>
      </c>
      <c r="F1008" s="16">
        <v>84591.33</v>
      </c>
      <c r="G1008" s="15">
        <v>6</v>
      </c>
      <c r="H1008" s="15" t="s">
        <v>748</v>
      </c>
      <c r="I1008" s="23">
        <v>84591.33</v>
      </c>
    </row>
    <row r="1009" spans="1:9" s="17" customFormat="1" x14ac:dyDescent="0.25">
      <c r="A1009" s="14">
        <v>46197</v>
      </c>
      <c r="B1009" s="15" t="s">
        <v>1367</v>
      </c>
      <c r="C1009" s="15" t="s">
        <v>84</v>
      </c>
      <c r="D1009" s="15" t="s">
        <v>306</v>
      </c>
      <c r="E1009" s="16">
        <v>65583</v>
      </c>
      <c r="F1009" s="16">
        <v>65583</v>
      </c>
      <c r="G1009" s="15">
        <v>6</v>
      </c>
      <c r="H1009" s="15" t="s">
        <v>748</v>
      </c>
      <c r="I1009" s="23">
        <v>65583</v>
      </c>
    </row>
    <row r="1010" spans="1:9" s="17" customFormat="1" x14ac:dyDescent="0.25">
      <c r="A1010" s="14">
        <v>46197</v>
      </c>
      <c r="B1010" s="15" t="s">
        <v>1368</v>
      </c>
      <c r="C1010" s="15" t="s">
        <v>171</v>
      </c>
      <c r="D1010" s="15" t="s">
        <v>332</v>
      </c>
      <c r="E1010" s="16">
        <v>132121.5</v>
      </c>
      <c r="F1010" s="16">
        <v>132121.5</v>
      </c>
      <c r="G1010" s="15">
        <v>6</v>
      </c>
      <c r="H1010" s="15" t="s">
        <v>748</v>
      </c>
      <c r="I1010" s="23">
        <v>132121.5</v>
      </c>
    </row>
    <row r="1011" spans="1:9" s="17" customFormat="1" x14ac:dyDescent="0.25">
      <c r="A1011" s="14">
        <v>46197</v>
      </c>
      <c r="B1011" s="15" t="s">
        <v>1369</v>
      </c>
      <c r="C1011" s="15" t="s">
        <v>175</v>
      </c>
      <c r="D1011" s="15" t="s">
        <v>306</v>
      </c>
      <c r="E1011" s="16">
        <v>350065.3</v>
      </c>
      <c r="F1011" s="16">
        <v>350065.3</v>
      </c>
      <c r="G1011" s="15">
        <v>6</v>
      </c>
      <c r="H1011" s="15" t="s">
        <v>748</v>
      </c>
      <c r="I1011" s="23">
        <v>350065.3</v>
      </c>
    </row>
    <row r="1012" spans="1:9" s="17" customFormat="1" x14ac:dyDescent="0.25">
      <c r="A1012" s="14">
        <v>46197</v>
      </c>
      <c r="B1012" s="15" t="s">
        <v>1370</v>
      </c>
      <c r="C1012" s="15" t="s">
        <v>179</v>
      </c>
      <c r="D1012" s="15" t="s">
        <v>306</v>
      </c>
      <c r="E1012" s="16">
        <v>156302</v>
      </c>
      <c r="F1012" s="16">
        <v>156302</v>
      </c>
      <c r="G1012" s="15">
        <v>6</v>
      </c>
      <c r="H1012" s="15" t="s">
        <v>748</v>
      </c>
      <c r="I1012" s="23">
        <v>156302</v>
      </c>
    </row>
    <row r="1013" spans="1:9" s="17" customFormat="1" x14ac:dyDescent="0.25">
      <c r="A1013" s="14">
        <v>46197</v>
      </c>
      <c r="B1013" s="15" t="s">
        <v>1371</v>
      </c>
      <c r="C1013" s="15" t="s">
        <v>188</v>
      </c>
      <c r="D1013" s="15" t="s">
        <v>321</v>
      </c>
      <c r="E1013" s="16">
        <v>199000</v>
      </c>
      <c r="F1013" s="16">
        <v>199000</v>
      </c>
      <c r="G1013" s="15">
        <v>6</v>
      </c>
      <c r="H1013" s="15" t="s">
        <v>748</v>
      </c>
      <c r="I1013" s="23">
        <v>199000</v>
      </c>
    </row>
    <row r="1014" spans="1:9" s="17" customFormat="1" x14ac:dyDescent="0.25">
      <c r="A1014" s="14">
        <v>46197</v>
      </c>
      <c r="B1014" s="15" t="s">
        <v>1372</v>
      </c>
      <c r="C1014" s="15" t="s">
        <v>188</v>
      </c>
      <c r="D1014" s="15" t="s">
        <v>321</v>
      </c>
      <c r="E1014" s="16">
        <v>199574</v>
      </c>
      <c r="F1014" s="16">
        <v>199574</v>
      </c>
      <c r="G1014" s="15">
        <v>6</v>
      </c>
      <c r="H1014" s="15" t="s">
        <v>748</v>
      </c>
      <c r="I1014" s="23">
        <v>199574</v>
      </c>
    </row>
    <row r="1015" spans="1:9" s="17" customFormat="1" x14ac:dyDescent="0.25">
      <c r="A1015" s="14">
        <v>46197</v>
      </c>
      <c r="B1015" s="15" t="s">
        <v>1373</v>
      </c>
      <c r="C1015" s="15" t="s">
        <v>188</v>
      </c>
      <c r="D1015" s="15" t="s">
        <v>321</v>
      </c>
      <c r="E1015" s="16">
        <v>114697</v>
      </c>
      <c r="F1015" s="16">
        <v>114697</v>
      </c>
      <c r="G1015" s="15">
        <v>6</v>
      </c>
      <c r="H1015" s="15" t="s">
        <v>748</v>
      </c>
      <c r="I1015" s="23">
        <v>114697</v>
      </c>
    </row>
    <row r="1016" spans="1:9" s="17" customFormat="1" x14ac:dyDescent="0.25">
      <c r="A1016" s="14">
        <v>46197</v>
      </c>
      <c r="B1016" s="15" t="s">
        <v>1374</v>
      </c>
      <c r="C1016" s="15" t="s">
        <v>204</v>
      </c>
      <c r="D1016" s="15" t="s">
        <v>321</v>
      </c>
      <c r="E1016" s="16">
        <v>12500</v>
      </c>
      <c r="F1016" s="16">
        <v>12375</v>
      </c>
      <c r="G1016" s="15">
        <v>6</v>
      </c>
      <c r="H1016" s="15" t="s">
        <v>748</v>
      </c>
      <c r="I1016" s="23">
        <v>12375</v>
      </c>
    </row>
    <row r="1017" spans="1:9" s="17" customFormat="1" x14ac:dyDescent="0.25">
      <c r="A1017" s="14">
        <v>46197</v>
      </c>
      <c r="B1017" s="15" t="s">
        <v>1375</v>
      </c>
      <c r="C1017" s="15" t="s">
        <v>209</v>
      </c>
      <c r="D1017" s="15" t="s">
        <v>332</v>
      </c>
      <c r="E1017" s="16">
        <v>389497.84</v>
      </c>
      <c r="F1017" s="16">
        <v>389497.84</v>
      </c>
      <c r="G1017" s="15">
        <v>6</v>
      </c>
      <c r="H1017" s="15" t="s">
        <v>748</v>
      </c>
      <c r="I1017" s="23">
        <v>389497.84</v>
      </c>
    </row>
    <row r="1018" spans="1:9" s="17" customFormat="1" x14ac:dyDescent="0.25">
      <c r="A1018" s="14">
        <v>46197</v>
      </c>
      <c r="B1018" s="15" t="s">
        <v>1376</v>
      </c>
      <c r="C1018" s="15" t="s">
        <v>1059</v>
      </c>
      <c r="D1018" s="15" t="s">
        <v>335</v>
      </c>
      <c r="E1018" s="16">
        <v>95580</v>
      </c>
      <c r="F1018" s="16">
        <v>95580</v>
      </c>
      <c r="G1018" s="15">
        <v>6</v>
      </c>
      <c r="H1018" s="15" t="s">
        <v>748</v>
      </c>
      <c r="I1018" s="23">
        <v>95580</v>
      </c>
    </row>
    <row r="1019" spans="1:9" s="17" customFormat="1" x14ac:dyDescent="0.25">
      <c r="A1019" s="14">
        <v>46198</v>
      </c>
      <c r="B1019" s="15" t="s">
        <v>1377</v>
      </c>
      <c r="C1019" s="15" t="s">
        <v>43</v>
      </c>
      <c r="D1019" s="15" t="s">
        <v>321</v>
      </c>
      <c r="E1019" s="16">
        <v>77663</v>
      </c>
      <c r="F1019" s="16">
        <v>77663</v>
      </c>
      <c r="G1019" s="15">
        <v>5</v>
      </c>
      <c r="H1019" s="15" t="s">
        <v>748</v>
      </c>
      <c r="I1019" s="23">
        <v>77663</v>
      </c>
    </row>
    <row r="1020" spans="1:9" s="17" customFormat="1" x14ac:dyDescent="0.25">
      <c r="A1020" s="14">
        <v>46198</v>
      </c>
      <c r="B1020" s="15" t="s">
        <v>1378</v>
      </c>
      <c r="C1020" s="15" t="s">
        <v>43</v>
      </c>
      <c r="D1020" s="15" t="s">
        <v>321</v>
      </c>
      <c r="E1020" s="16">
        <v>91921</v>
      </c>
      <c r="F1020" s="16">
        <v>91921</v>
      </c>
      <c r="G1020" s="15">
        <v>5</v>
      </c>
      <c r="H1020" s="15" t="s">
        <v>748</v>
      </c>
      <c r="I1020" s="23">
        <v>91921</v>
      </c>
    </row>
    <row r="1021" spans="1:9" s="17" customFormat="1" x14ac:dyDescent="0.25">
      <c r="A1021" s="14">
        <v>46198</v>
      </c>
      <c r="B1021" s="15" t="s">
        <v>1379</v>
      </c>
      <c r="C1021" s="15" t="s">
        <v>82</v>
      </c>
      <c r="D1021" s="15" t="s">
        <v>335</v>
      </c>
      <c r="E1021" s="16">
        <v>487131</v>
      </c>
      <c r="F1021" s="16">
        <v>487131</v>
      </c>
      <c r="G1021" s="15">
        <v>5</v>
      </c>
      <c r="H1021" s="15" t="s">
        <v>748</v>
      </c>
      <c r="I1021" s="23">
        <v>487131</v>
      </c>
    </row>
    <row r="1022" spans="1:9" s="17" customFormat="1" x14ac:dyDescent="0.25">
      <c r="A1022" s="14">
        <v>46198</v>
      </c>
      <c r="B1022" s="15" t="s">
        <v>1380</v>
      </c>
      <c r="C1022" s="15" t="s">
        <v>188</v>
      </c>
      <c r="D1022" s="15" t="s">
        <v>321</v>
      </c>
      <c r="E1022" s="16">
        <v>169752</v>
      </c>
      <c r="F1022" s="16">
        <v>169752</v>
      </c>
      <c r="G1022" s="15">
        <v>5</v>
      </c>
      <c r="H1022" s="15" t="s">
        <v>748</v>
      </c>
      <c r="I1022" s="23">
        <v>169752</v>
      </c>
    </row>
    <row r="1023" spans="1:9" s="17" customFormat="1" x14ac:dyDescent="0.25">
      <c r="A1023" s="14">
        <v>46198</v>
      </c>
      <c r="B1023" s="15" t="s">
        <v>1381</v>
      </c>
      <c r="C1023" s="15" t="s">
        <v>188</v>
      </c>
      <c r="D1023" s="15" t="s">
        <v>321</v>
      </c>
      <c r="E1023" s="16">
        <v>169752</v>
      </c>
      <c r="F1023" s="16">
        <v>169752</v>
      </c>
      <c r="G1023" s="15">
        <v>5</v>
      </c>
      <c r="H1023" s="15" t="s">
        <v>748</v>
      </c>
      <c r="I1023" s="23">
        <v>169752</v>
      </c>
    </row>
    <row r="1024" spans="1:9" s="17" customFormat="1" x14ac:dyDescent="0.25">
      <c r="A1024" s="14">
        <v>46198</v>
      </c>
      <c r="B1024" s="15" t="s">
        <v>1382</v>
      </c>
      <c r="C1024" s="15" t="s">
        <v>215</v>
      </c>
      <c r="D1024" s="15" t="s">
        <v>306</v>
      </c>
      <c r="E1024" s="16">
        <v>5800</v>
      </c>
      <c r="F1024" s="16">
        <v>5800</v>
      </c>
      <c r="G1024" s="15">
        <v>5</v>
      </c>
      <c r="H1024" s="15" t="s">
        <v>748</v>
      </c>
      <c r="I1024" s="23">
        <v>5800</v>
      </c>
    </row>
    <row r="1025" spans="1:9" s="17" customFormat="1" x14ac:dyDescent="0.25">
      <c r="A1025" s="14">
        <v>46199</v>
      </c>
      <c r="B1025" s="15" t="s">
        <v>1383</v>
      </c>
      <c r="C1025" s="15" t="s">
        <v>32</v>
      </c>
      <c r="D1025" s="15" t="s">
        <v>319</v>
      </c>
      <c r="E1025" s="16">
        <v>58870</v>
      </c>
      <c r="F1025" s="16">
        <v>58870</v>
      </c>
      <c r="G1025" s="15">
        <v>4</v>
      </c>
      <c r="H1025" s="15" t="s">
        <v>748</v>
      </c>
      <c r="I1025" s="23">
        <v>58870</v>
      </c>
    </row>
    <row r="1026" spans="1:9" s="17" customFormat="1" x14ac:dyDescent="0.25">
      <c r="A1026" s="14">
        <v>46199</v>
      </c>
      <c r="B1026" s="15" t="s">
        <v>1384</v>
      </c>
      <c r="C1026" s="15" t="s">
        <v>34</v>
      </c>
      <c r="D1026" s="15" t="s">
        <v>1666</v>
      </c>
      <c r="E1026" s="16">
        <v>37850</v>
      </c>
      <c r="F1026" s="16">
        <v>37850</v>
      </c>
      <c r="G1026" s="15">
        <v>4</v>
      </c>
      <c r="H1026" s="15" t="s">
        <v>748</v>
      </c>
      <c r="I1026" s="23">
        <v>-37850</v>
      </c>
    </row>
    <row r="1027" spans="1:9" s="17" customFormat="1" x14ac:dyDescent="0.25">
      <c r="A1027" s="14">
        <v>46199</v>
      </c>
      <c r="B1027" s="15" t="s">
        <v>1385</v>
      </c>
      <c r="C1027" s="15" t="s">
        <v>43</v>
      </c>
      <c r="D1027" s="15" t="s">
        <v>321</v>
      </c>
      <c r="E1027" s="16">
        <v>77115</v>
      </c>
      <c r="F1027" s="16">
        <v>77115</v>
      </c>
      <c r="G1027" s="15">
        <v>4</v>
      </c>
      <c r="H1027" s="15" t="s">
        <v>748</v>
      </c>
      <c r="I1027" s="23">
        <v>77115</v>
      </c>
    </row>
    <row r="1028" spans="1:9" s="17" customFormat="1" x14ac:dyDescent="0.25">
      <c r="A1028" s="14">
        <v>46199</v>
      </c>
      <c r="B1028" s="15" t="s">
        <v>1386</v>
      </c>
      <c r="C1028" s="15" t="s">
        <v>43</v>
      </c>
      <c r="D1028" s="15" t="s">
        <v>321</v>
      </c>
      <c r="E1028" s="16">
        <v>76514</v>
      </c>
      <c r="F1028" s="16">
        <v>76514</v>
      </c>
      <c r="G1028" s="15">
        <v>4</v>
      </c>
      <c r="H1028" s="15" t="s">
        <v>748</v>
      </c>
      <c r="I1028" s="23">
        <v>76514</v>
      </c>
    </row>
    <row r="1029" spans="1:9" s="17" customFormat="1" x14ac:dyDescent="0.25">
      <c r="A1029" s="14">
        <v>46199</v>
      </c>
      <c r="B1029" s="15" t="s">
        <v>1387</v>
      </c>
      <c r="C1029" s="15" t="s">
        <v>55</v>
      </c>
      <c r="D1029" s="15" t="s">
        <v>335</v>
      </c>
      <c r="E1029" s="16">
        <v>64940</v>
      </c>
      <c r="F1029" s="16">
        <v>64940</v>
      </c>
      <c r="G1029" s="15">
        <v>4</v>
      </c>
      <c r="H1029" s="15" t="s">
        <v>748</v>
      </c>
      <c r="I1029" s="23">
        <v>64940</v>
      </c>
    </row>
    <row r="1030" spans="1:9" s="17" customFormat="1" x14ac:dyDescent="0.25">
      <c r="A1030" s="14">
        <v>46199</v>
      </c>
      <c r="B1030" s="15" t="s">
        <v>1388</v>
      </c>
      <c r="C1030" s="15" t="s">
        <v>55</v>
      </c>
      <c r="D1030" s="15" t="s">
        <v>531</v>
      </c>
      <c r="E1030" s="16">
        <v>45700</v>
      </c>
      <c r="F1030" s="16">
        <v>45700</v>
      </c>
      <c r="G1030" s="15">
        <v>4</v>
      </c>
      <c r="H1030" s="15" t="s">
        <v>748</v>
      </c>
      <c r="I1030" s="23">
        <v>45700</v>
      </c>
    </row>
    <row r="1031" spans="1:9" s="17" customFormat="1" x14ac:dyDescent="0.25">
      <c r="A1031" s="14">
        <v>46199</v>
      </c>
      <c r="B1031" s="15" t="s">
        <v>1389</v>
      </c>
      <c r="C1031" s="15" t="s">
        <v>198</v>
      </c>
      <c r="D1031" s="15" t="s">
        <v>306</v>
      </c>
      <c r="E1031" s="16">
        <v>90025.74</v>
      </c>
      <c r="F1031" s="16">
        <v>90025.74</v>
      </c>
      <c r="G1031" s="15">
        <v>4</v>
      </c>
      <c r="H1031" s="15" t="s">
        <v>748</v>
      </c>
      <c r="I1031" s="23">
        <v>90025.74</v>
      </c>
    </row>
    <row r="1032" spans="1:9" s="17" customFormat="1" x14ac:dyDescent="0.25">
      <c r="A1032" s="14">
        <v>46199</v>
      </c>
      <c r="B1032" s="15" t="s">
        <v>1390</v>
      </c>
      <c r="C1032" s="15" t="s">
        <v>204</v>
      </c>
      <c r="D1032" s="15" t="s">
        <v>321</v>
      </c>
      <c r="E1032" s="16">
        <v>53460</v>
      </c>
      <c r="F1032" s="16">
        <v>53460</v>
      </c>
      <c r="G1032" s="15">
        <v>4</v>
      </c>
      <c r="H1032" s="15" t="s">
        <v>748</v>
      </c>
      <c r="I1032" s="23">
        <v>53460</v>
      </c>
    </row>
    <row r="1033" spans="1:9" s="17" customFormat="1" x14ac:dyDescent="0.25">
      <c r="A1033" s="14">
        <v>46200</v>
      </c>
      <c r="B1033" s="15" t="s">
        <v>1391</v>
      </c>
      <c r="C1033" s="15" t="s">
        <v>152</v>
      </c>
      <c r="D1033" s="15" t="s">
        <v>321</v>
      </c>
      <c r="E1033" s="16">
        <v>76699.600000000006</v>
      </c>
      <c r="F1033" s="16">
        <v>76699.600000000006</v>
      </c>
      <c r="G1033" s="15">
        <v>3</v>
      </c>
      <c r="H1033" s="15" t="s">
        <v>748</v>
      </c>
      <c r="I1033" s="23">
        <v>76699.600000000006</v>
      </c>
    </row>
    <row r="1034" spans="1:9" s="17" customFormat="1" x14ac:dyDescent="0.25">
      <c r="A1034" s="14">
        <v>46200</v>
      </c>
      <c r="B1034" s="15" t="s">
        <v>1392</v>
      </c>
      <c r="C1034" s="15" t="s">
        <v>152</v>
      </c>
      <c r="D1034" s="15" t="s">
        <v>321</v>
      </c>
      <c r="E1034" s="16">
        <v>76478.399999999994</v>
      </c>
      <c r="F1034" s="16">
        <v>76478.399999999994</v>
      </c>
      <c r="G1034" s="15">
        <v>3</v>
      </c>
      <c r="H1034" s="15" t="s">
        <v>748</v>
      </c>
      <c r="I1034" s="23">
        <v>76478.399999999994</v>
      </c>
    </row>
    <row r="1035" spans="1:9" s="17" customFormat="1" x14ac:dyDescent="0.25">
      <c r="A1035" s="14">
        <v>46200</v>
      </c>
      <c r="B1035" s="15" t="s">
        <v>1393</v>
      </c>
      <c r="C1035" s="15" t="s">
        <v>152</v>
      </c>
      <c r="D1035" s="15" t="s">
        <v>321</v>
      </c>
      <c r="E1035" s="16">
        <v>77140</v>
      </c>
      <c r="F1035" s="16">
        <v>77140</v>
      </c>
      <c r="G1035" s="15">
        <v>3</v>
      </c>
      <c r="H1035" s="15" t="s">
        <v>748</v>
      </c>
      <c r="I1035" s="23">
        <v>77140</v>
      </c>
    </row>
    <row r="1036" spans="1:9" s="17" customFormat="1" x14ac:dyDescent="0.25">
      <c r="A1036" s="14">
        <v>46200</v>
      </c>
      <c r="B1036" s="15" t="s">
        <v>1394</v>
      </c>
      <c r="C1036" s="15" t="s">
        <v>152</v>
      </c>
      <c r="D1036" s="15" t="s">
        <v>321</v>
      </c>
      <c r="E1036" s="16">
        <v>77140</v>
      </c>
      <c r="F1036" s="16">
        <v>77140</v>
      </c>
      <c r="G1036" s="15">
        <v>3</v>
      </c>
      <c r="H1036" s="15" t="s">
        <v>748</v>
      </c>
      <c r="I1036" s="23">
        <v>77140</v>
      </c>
    </row>
    <row r="1037" spans="1:9" s="17" customFormat="1" x14ac:dyDescent="0.25">
      <c r="A1037" s="14">
        <v>46200</v>
      </c>
      <c r="B1037" s="15" t="s">
        <v>1395</v>
      </c>
      <c r="C1037" s="15" t="s">
        <v>152</v>
      </c>
      <c r="D1037" s="15" t="s">
        <v>321</v>
      </c>
      <c r="E1037" s="16">
        <v>76038</v>
      </c>
      <c r="F1037" s="16">
        <v>76038</v>
      </c>
      <c r="G1037" s="15">
        <v>3</v>
      </c>
      <c r="H1037" s="15" t="s">
        <v>748</v>
      </c>
      <c r="I1037" s="23">
        <v>76038</v>
      </c>
    </row>
    <row r="1038" spans="1:9" s="17" customFormat="1" x14ac:dyDescent="0.25">
      <c r="A1038" s="14">
        <v>46200</v>
      </c>
      <c r="B1038" s="15" t="s">
        <v>1396</v>
      </c>
      <c r="C1038" s="15" t="s">
        <v>152</v>
      </c>
      <c r="D1038" s="15" t="s">
        <v>321</v>
      </c>
      <c r="E1038" s="16">
        <v>76699.600000000006</v>
      </c>
      <c r="F1038" s="16">
        <v>76699.600000000006</v>
      </c>
      <c r="G1038" s="15">
        <v>3</v>
      </c>
      <c r="H1038" s="15" t="s">
        <v>748</v>
      </c>
      <c r="I1038" s="23">
        <v>76699.600000000006</v>
      </c>
    </row>
    <row r="1039" spans="1:9" s="17" customFormat="1" x14ac:dyDescent="0.25">
      <c r="A1039" s="14">
        <v>46200</v>
      </c>
      <c r="B1039" s="15" t="s">
        <v>1397</v>
      </c>
      <c r="C1039" s="15" t="s">
        <v>204</v>
      </c>
      <c r="D1039" s="15" t="s">
        <v>321</v>
      </c>
      <c r="E1039" s="16">
        <v>53460</v>
      </c>
      <c r="F1039" s="16">
        <v>53460</v>
      </c>
      <c r="G1039" s="15">
        <v>3</v>
      </c>
      <c r="H1039" s="15" t="s">
        <v>748</v>
      </c>
      <c r="I1039" s="23">
        <v>53460</v>
      </c>
    </row>
    <row r="1040" spans="1:9" s="17" customFormat="1" x14ac:dyDescent="0.25">
      <c r="A1040" s="14">
        <v>46200</v>
      </c>
      <c r="B1040" s="15" t="s">
        <v>1398</v>
      </c>
      <c r="C1040" s="15" t="s">
        <v>204</v>
      </c>
      <c r="D1040" s="15" t="s">
        <v>321</v>
      </c>
      <c r="E1040" s="16">
        <v>53460</v>
      </c>
      <c r="F1040" s="16">
        <v>53460</v>
      </c>
      <c r="G1040" s="15">
        <v>3</v>
      </c>
      <c r="H1040" s="15" t="s">
        <v>748</v>
      </c>
      <c r="I1040" s="23">
        <v>53460</v>
      </c>
    </row>
    <row r="1041" spans="1:9" s="17" customFormat="1" x14ac:dyDescent="0.25">
      <c r="A1041" s="14">
        <v>46201</v>
      </c>
      <c r="B1041" s="15" t="s">
        <v>1399</v>
      </c>
      <c r="C1041" s="15" t="s">
        <v>43</v>
      </c>
      <c r="D1041" s="15" t="s">
        <v>321</v>
      </c>
      <c r="E1041" s="16">
        <v>76749</v>
      </c>
      <c r="F1041" s="16">
        <v>76749</v>
      </c>
      <c r="G1041" s="15">
        <v>2</v>
      </c>
      <c r="H1041" s="15" t="s">
        <v>748</v>
      </c>
      <c r="I1041" s="23">
        <v>76749</v>
      </c>
    </row>
    <row r="1042" spans="1:9" s="17" customFormat="1" x14ac:dyDescent="0.25">
      <c r="A1042" s="14">
        <v>46201</v>
      </c>
      <c r="B1042" s="15" t="s">
        <v>1400</v>
      </c>
      <c r="C1042" s="15" t="s">
        <v>43</v>
      </c>
      <c r="D1042" s="15" t="s">
        <v>321</v>
      </c>
      <c r="E1042" s="16">
        <v>77637</v>
      </c>
      <c r="F1042" s="16">
        <v>77637</v>
      </c>
      <c r="G1042" s="15">
        <v>2</v>
      </c>
      <c r="H1042" s="15" t="s">
        <v>748</v>
      </c>
      <c r="I1042" s="23">
        <v>77637</v>
      </c>
    </row>
    <row r="1043" spans="1:9" s="17" customFormat="1" x14ac:dyDescent="0.25">
      <c r="A1043" s="14">
        <v>46201</v>
      </c>
      <c r="B1043" s="15" t="s">
        <v>1401</v>
      </c>
      <c r="C1043" s="15" t="s">
        <v>179</v>
      </c>
      <c r="D1043" s="15" t="s">
        <v>306</v>
      </c>
      <c r="E1043" s="16">
        <v>89838</v>
      </c>
      <c r="F1043" s="16">
        <v>89838</v>
      </c>
      <c r="G1043" s="15">
        <v>2</v>
      </c>
      <c r="H1043" s="15" t="s">
        <v>748</v>
      </c>
      <c r="I1043" s="23">
        <v>89838</v>
      </c>
    </row>
    <row r="1044" spans="1:9" s="17" customFormat="1" x14ac:dyDescent="0.25">
      <c r="A1044" s="14">
        <v>46201</v>
      </c>
      <c r="B1044" s="15" t="s">
        <v>1402</v>
      </c>
      <c r="C1044" s="15" t="s">
        <v>188</v>
      </c>
      <c r="D1044" s="15" t="s">
        <v>321</v>
      </c>
      <c r="E1044" s="16">
        <v>169752</v>
      </c>
      <c r="F1044" s="16">
        <v>169752</v>
      </c>
      <c r="G1044" s="15">
        <v>2</v>
      </c>
      <c r="H1044" s="15" t="s">
        <v>748</v>
      </c>
      <c r="I1044" s="23">
        <v>169752</v>
      </c>
    </row>
    <row r="1045" spans="1:9" s="17" customFormat="1" x14ac:dyDescent="0.25">
      <c r="A1045" s="14">
        <v>46201</v>
      </c>
      <c r="B1045" s="15" t="s">
        <v>1403</v>
      </c>
      <c r="C1045" s="15" t="s">
        <v>188</v>
      </c>
      <c r="D1045" s="15" t="s">
        <v>321</v>
      </c>
      <c r="E1045" s="16">
        <v>143372</v>
      </c>
      <c r="F1045" s="16">
        <v>143372</v>
      </c>
      <c r="G1045" s="15">
        <v>2</v>
      </c>
      <c r="H1045" s="15" t="s">
        <v>748</v>
      </c>
      <c r="I1045" s="23">
        <v>143372</v>
      </c>
    </row>
    <row r="1046" spans="1:9" s="17" customFormat="1" x14ac:dyDescent="0.25">
      <c r="A1046" s="14">
        <v>46202</v>
      </c>
      <c r="B1046" s="15" t="s">
        <v>1404</v>
      </c>
      <c r="C1046" s="15" t="s">
        <v>13</v>
      </c>
      <c r="D1046" s="15" t="s">
        <v>306</v>
      </c>
      <c r="E1046" s="16">
        <v>41605</v>
      </c>
      <c r="F1046" s="16">
        <v>41605</v>
      </c>
      <c r="G1046" s="15">
        <v>1</v>
      </c>
      <c r="H1046" s="15" t="s">
        <v>748</v>
      </c>
      <c r="I1046" s="23">
        <v>41605</v>
      </c>
    </row>
    <row r="1047" spans="1:9" s="17" customFormat="1" x14ac:dyDescent="0.25">
      <c r="A1047" s="14">
        <v>46202</v>
      </c>
      <c r="B1047" s="15" t="s">
        <v>1405</v>
      </c>
      <c r="C1047" s="15" t="s">
        <v>19</v>
      </c>
      <c r="D1047" s="15" t="s">
        <v>306</v>
      </c>
      <c r="E1047" s="16">
        <v>852204.14</v>
      </c>
      <c r="F1047" s="16">
        <v>557922.34</v>
      </c>
      <c r="G1047" s="15">
        <v>1</v>
      </c>
      <c r="H1047" s="15" t="s">
        <v>748</v>
      </c>
      <c r="I1047" s="23">
        <v>-557922.34</v>
      </c>
    </row>
    <row r="1048" spans="1:9" s="17" customFormat="1" x14ac:dyDescent="0.25">
      <c r="A1048" s="14">
        <v>46202</v>
      </c>
      <c r="B1048" s="15" t="s">
        <v>1406</v>
      </c>
      <c r="C1048" s="15" t="s">
        <v>32</v>
      </c>
      <c r="D1048" s="15" t="s">
        <v>319</v>
      </c>
      <c r="E1048" s="16">
        <v>58870</v>
      </c>
      <c r="F1048" s="16">
        <v>58870</v>
      </c>
      <c r="G1048" s="15">
        <v>1</v>
      </c>
      <c r="H1048" s="15" t="s">
        <v>748</v>
      </c>
      <c r="I1048" s="23">
        <v>58870</v>
      </c>
    </row>
    <row r="1049" spans="1:9" s="17" customFormat="1" x14ac:dyDescent="0.25">
      <c r="A1049" s="14">
        <v>46202</v>
      </c>
      <c r="B1049" s="15" t="s">
        <v>1407</v>
      </c>
      <c r="C1049" s="15" t="s">
        <v>44</v>
      </c>
      <c r="D1049" s="15" t="s">
        <v>280</v>
      </c>
      <c r="E1049" s="16">
        <v>146160</v>
      </c>
      <c r="F1049" s="16">
        <v>146160</v>
      </c>
      <c r="G1049" s="15">
        <v>1</v>
      </c>
      <c r="H1049" s="15" t="s">
        <v>748</v>
      </c>
      <c r="I1049" s="23">
        <v>146160</v>
      </c>
    </row>
    <row r="1050" spans="1:9" s="17" customFormat="1" x14ac:dyDescent="0.25">
      <c r="A1050" s="14">
        <v>46202</v>
      </c>
      <c r="B1050" s="15" t="s">
        <v>1408</v>
      </c>
      <c r="C1050" s="15" t="s">
        <v>58</v>
      </c>
      <c r="D1050" s="15" t="s">
        <v>663</v>
      </c>
      <c r="E1050" s="16">
        <v>500000</v>
      </c>
      <c r="F1050" s="16">
        <v>500000</v>
      </c>
      <c r="G1050" s="15">
        <v>1</v>
      </c>
      <c r="H1050" s="15" t="s">
        <v>748</v>
      </c>
      <c r="I1050" s="23">
        <v>-500000</v>
      </c>
    </row>
    <row r="1051" spans="1:9" s="17" customFormat="1" x14ac:dyDescent="0.25">
      <c r="A1051" s="14">
        <v>46202</v>
      </c>
      <c r="B1051" s="15" t="s">
        <v>1409</v>
      </c>
      <c r="C1051" s="15" t="s">
        <v>58</v>
      </c>
      <c r="D1051" s="15" t="s">
        <v>663</v>
      </c>
      <c r="E1051" s="16">
        <v>500000</v>
      </c>
      <c r="F1051" s="16">
        <v>500000</v>
      </c>
      <c r="G1051" s="15">
        <v>1</v>
      </c>
      <c r="H1051" s="15" t="s">
        <v>748</v>
      </c>
      <c r="I1051" s="23">
        <v>-500000</v>
      </c>
    </row>
    <row r="1052" spans="1:9" s="17" customFormat="1" x14ac:dyDescent="0.25">
      <c r="A1052" s="14">
        <v>46202</v>
      </c>
      <c r="B1052" s="15" t="s">
        <v>1410</v>
      </c>
      <c r="C1052" s="15" t="s">
        <v>63</v>
      </c>
      <c r="D1052" s="15" t="s">
        <v>663</v>
      </c>
      <c r="E1052" s="16">
        <v>1500000</v>
      </c>
      <c r="F1052" s="16">
        <v>1500000</v>
      </c>
      <c r="G1052" s="15">
        <v>1</v>
      </c>
      <c r="H1052" s="15" t="s">
        <v>748</v>
      </c>
      <c r="I1052" s="23">
        <v>-1500000</v>
      </c>
    </row>
    <row r="1053" spans="1:9" s="17" customFormat="1" x14ac:dyDescent="0.25">
      <c r="A1053" s="14">
        <v>46202</v>
      </c>
      <c r="B1053" s="15" t="s">
        <v>1411</v>
      </c>
      <c r="C1053" s="15" t="s">
        <v>63</v>
      </c>
      <c r="D1053" s="15" t="s">
        <v>1666</v>
      </c>
      <c r="E1053" s="16">
        <v>887615</v>
      </c>
      <c r="F1053" s="16">
        <v>887615</v>
      </c>
      <c r="G1053" s="15">
        <v>1</v>
      </c>
      <c r="H1053" s="15" t="s">
        <v>748</v>
      </c>
      <c r="I1053" s="23">
        <v>-887615</v>
      </c>
    </row>
    <row r="1054" spans="1:9" s="17" customFormat="1" x14ac:dyDescent="0.25">
      <c r="A1054" s="14">
        <v>46202</v>
      </c>
      <c r="B1054" s="15" t="s">
        <v>1412</v>
      </c>
      <c r="C1054" s="15" t="s">
        <v>1061</v>
      </c>
      <c r="D1054" s="15" t="s">
        <v>280</v>
      </c>
      <c r="E1054" s="16">
        <v>130732</v>
      </c>
      <c r="F1054" s="16">
        <v>130732</v>
      </c>
      <c r="G1054" s="15">
        <v>1</v>
      </c>
      <c r="H1054" s="15" t="s">
        <v>748</v>
      </c>
      <c r="I1054" s="23">
        <v>130732</v>
      </c>
    </row>
    <row r="1055" spans="1:9" s="17" customFormat="1" x14ac:dyDescent="0.25">
      <c r="A1055" s="14">
        <v>46202</v>
      </c>
      <c r="B1055" s="15" t="s">
        <v>1413</v>
      </c>
      <c r="C1055" s="15" t="s">
        <v>1054</v>
      </c>
      <c r="D1055" s="15" t="s">
        <v>306</v>
      </c>
      <c r="E1055" s="16">
        <v>68942</v>
      </c>
      <c r="F1055" s="16">
        <v>68942</v>
      </c>
      <c r="G1055" s="15">
        <v>1</v>
      </c>
      <c r="H1055" s="15" t="s">
        <v>748</v>
      </c>
      <c r="I1055" s="23">
        <v>68942</v>
      </c>
    </row>
    <row r="1056" spans="1:9" s="17" customFormat="1" x14ac:dyDescent="0.25">
      <c r="A1056" s="14">
        <v>46202</v>
      </c>
      <c r="B1056" s="15" t="s">
        <v>1414</v>
      </c>
      <c r="C1056" s="15" t="s">
        <v>151</v>
      </c>
      <c r="D1056" s="15" t="s">
        <v>284</v>
      </c>
      <c r="E1056" s="16">
        <v>246987.5</v>
      </c>
      <c r="F1056" s="16">
        <v>246987.5</v>
      </c>
      <c r="G1056" s="15">
        <v>1</v>
      </c>
      <c r="H1056" s="15" t="s">
        <v>748</v>
      </c>
      <c r="I1056" s="23">
        <v>246987.5</v>
      </c>
    </row>
    <row r="1057" spans="1:9" s="17" customFormat="1" x14ac:dyDescent="0.25">
      <c r="A1057" s="14">
        <v>46202</v>
      </c>
      <c r="B1057" s="15" t="s">
        <v>805</v>
      </c>
      <c r="C1057" s="15" t="s">
        <v>160</v>
      </c>
      <c r="D1057" s="15" t="s">
        <v>321</v>
      </c>
      <c r="E1057" s="16">
        <v>267975.76</v>
      </c>
      <c r="F1057" s="16">
        <v>267975.76</v>
      </c>
      <c r="G1057" s="15">
        <v>1</v>
      </c>
      <c r="H1057" s="15" t="s">
        <v>748</v>
      </c>
      <c r="I1057" s="23">
        <v>267975.76</v>
      </c>
    </row>
    <row r="1058" spans="1:9" s="17" customFormat="1" x14ac:dyDescent="0.25">
      <c r="A1058" s="14">
        <v>46202</v>
      </c>
      <c r="B1058" s="15" t="s">
        <v>1415</v>
      </c>
      <c r="C1058" s="15" t="s">
        <v>169</v>
      </c>
      <c r="D1058" s="15" t="s">
        <v>280</v>
      </c>
      <c r="E1058" s="16">
        <v>13340.09</v>
      </c>
      <c r="F1058" s="16">
        <v>13340.09</v>
      </c>
      <c r="G1058" s="15">
        <v>1</v>
      </c>
      <c r="H1058" s="15" t="s">
        <v>748</v>
      </c>
      <c r="I1058" s="23">
        <v>13340.09</v>
      </c>
    </row>
    <row r="1059" spans="1:9" s="17" customFormat="1" x14ac:dyDescent="0.25">
      <c r="A1059" s="14">
        <v>46202</v>
      </c>
      <c r="B1059" s="15" t="s">
        <v>1416</v>
      </c>
      <c r="C1059" s="15" t="s">
        <v>188</v>
      </c>
      <c r="D1059" s="15" t="s">
        <v>321</v>
      </c>
      <c r="E1059" s="16">
        <v>28674</v>
      </c>
      <c r="F1059" s="16">
        <v>28674</v>
      </c>
      <c r="G1059" s="15">
        <v>1</v>
      </c>
      <c r="H1059" s="15" t="s">
        <v>748</v>
      </c>
      <c r="I1059" s="23">
        <v>28674</v>
      </c>
    </row>
    <row r="1060" spans="1:9" s="17" customFormat="1" x14ac:dyDescent="0.25">
      <c r="A1060" s="14">
        <v>46202</v>
      </c>
      <c r="B1060" s="15" t="s">
        <v>1417</v>
      </c>
      <c r="C1060" s="15" t="s">
        <v>188</v>
      </c>
      <c r="D1060" s="15" t="s">
        <v>321</v>
      </c>
      <c r="E1060" s="16">
        <v>169752</v>
      </c>
      <c r="F1060" s="16">
        <v>169752</v>
      </c>
      <c r="G1060" s="15">
        <v>1</v>
      </c>
      <c r="H1060" s="15" t="s">
        <v>748</v>
      </c>
      <c r="I1060" s="23">
        <v>169752</v>
      </c>
    </row>
    <row r="1061" spans="1:9" s="17" customFormat="1" x14ac:dyDescent="0.25">
      <c r="A1061" s="14">
        <v>46202</v>
      </c>
      <c r="B1061" s="15" t="s">
        <v>1418</v>
      </c>
      <c r="C1061" s="15" t="s">
        <v>188</v>
      </c>
      <c r="D1061" s="15" t="s">
        <v>321</v>
      </c>
      <c r="E1061" s="16">
        <v>57349</v>
      </c>
      <c r="F1061" s="16">
        <v>57349</v>
      </c>
      <c r="G1061" s="15">
        <v>1</v>
      </c>
      <c r="H1061" s="15" t="s">
        <v>748</v>
      </c>
      <c r="I1061" s="23">
        <v>57349</v>
      </c>
    </row>
    <row r="1062" spans="1:9" s="17" customFormat="1" x14ac:dyDescent="0.25">
      <c r="A1062" s="14">
        <v>46203</v>
      </c>
      <c r="B1062" s="15" t="s">
        <v>1419</v>
      </c>
      <c r="C1062" s="15" t="s">
        <v>1036</v>
      </c>
      <c r="D1062" s="15" t="s">
        <v>306</v>
      </c>
      <c r="E1062" s="16">
        <v>3519</v>
      </c>
      <c r="F1062" s="16">
        <v>3519</v>
      </c>
      <c r="G1062" s="15">
        <v>0</v>
      </c>
      <c r="H1062" s="15" t="s">
        <v>748</v>
      </c>
      <c r="I1062" s="23">
        <v>3519</v>
      </c>
    </row>
    <row r="1063" spans="1:9" s="17" customFormat="1" x14ac:dyDescent="0.25">
      <c r="A1063" s="14">
        <v>46203</v>
      </c>
      <c r="B1063" s="15" t="s">
        <v>1420</v>
      </c>
      <c r="C1063" s="15" t="s">
        <v>1048</v>
      </c>
      <c r="D1063" s="15" t="s">
        <v>306</v>
      </c>
      <c r="E1063" s="16">
        <v>15861</v>
      </c>
      <c r="F1063" s="16">
        <v>15861</v>
      </c>
      <c r="G1063" s="15">
        <v>0</v>
      </c>
      <c r="H1063" s="15" t="s">
        <v>748</v>
      </c>
      <c r="I1063" s="23">
        <v>15861</v>
      </c>
    </row>
    <row r="1064" spans="1:9" s="17" customFormat="1" x14ac:dyDescent="0.25">
      <c r="A1064" s="14">
        <v>46203</v>
      </c>
      <c r="B1064" s="15" t="s">
        <v>1421</v>
      </c>
      <c r="C1064" s="15" t="s">
        <v>1048</v>
      </c>
      <c r="D1064" s="15" t="s">
        <v>306</v>
      </c>
      <c r="E1064" s="16">
        <v>2951</v>
      </c>
      <c r="F1064" s="16">
        <v>2951</v>
      </c>
      <c r="G1064" s="15">
        <v>0</v>
      </c>
      <c r="H1064" s="15" t="s">
        <v>748</v>
      </c>
      <c r="I1064" s="23">
        <v>2951</v>
      </c>
    </row>
    <row r="1065" spans="1:9" s="17" customFormat="1" x14ac:dyDescent="0.25">
      <c r="A1065" s="14">
        <v>46203</v>
      </c>
      <c r="B1065" s="15" t="s">
        <v>1422</v>
      </c>
      <c r="C1065" s="15" t="s">
        <v>13</v>
      </c>
      <c r="D1065" s="15" t="s">
        <v>347</v>
      </c>
      <c r="E1065" s="16">
        <v>158113.93</v>
      </c>
      <c r="F1065" s="16">
        <v>158113.93</v>
      </c>
      <c r="G1065" s="15">
        <v>0</v>
      </c>
      <c r="H1065" s="15" t="s">
        <v>748</v>
      </c>
      <c r="I1065" s="23">
        <v>158113.93</v>
      </c>
    </row>
    <row r="1066" spans="1:9" s="17" customFormat="1" x14ac:dyDescent="0.25">
      <c r="A1066" s="14">
        <v>46203</v>
      </c>
      <c r="B1066" s="15" t="s">
        <v>1423</v>
      </c>
      <c r="C1066" s="15" t="s">
        <v>16</v>
      </c>
      <c r="D1066" s="15" t="s">
        <v>317</v>
      </c>
      <c r="E1066" s="16">
        <v>33066</v>
      </c>
      <c r="F1066" s="16">
        <v>33066</v>
      </c>
      <c r="G1066" s="15">
        <v>0</v>
      </c>
      <c r="H1066" s="15" t="s">
        <v>748</v>
      </c>
      <c r="I1066" s="23">
        <v>33066</v>
      </c>
    </row>
    <row r="1067" spans="1:9" s="17" customFormat="1" x14ac:dyDescent="0.25">
      <c r="A1067" s="14">
        <v>46203</v>
      </c>
      <c r="B1067" s="15" t="s">
        <v>1424</v>
      </c>
      <c r="C1067" s="15" t="s">
        <v>16</v>
      </c>
      <c r="D1067" s="15" t="s">
        <v>317</v>
      </c>
      <c r="E1067" s="16">
        <v>30312</v>
      </c>
      <c r="F1067" s="16">
        <v>30312</v>
      </c>
      <c r="G1067" s="15">
        <v>0</v>
      </c>
      <c r="H1067" s="15" t="s">
        <v>748</v>
      </c>
      <c r="I1067" s="23">
        <v>30312</v>
      </c>
    </row>
    <row r="1068" spans="1:9" s="17" customFormat="1" x14ac:dyDescent="0.25">
      <c r="A1068" s="14">
        <v>46203</v>
      </c>
      <c r="B1068" s="15" t="s">
        <v>1425</v>
      </c>
      <c r="C1068" s="15" t="s">
        <v>16</v>
      </c>
      <c r="D1068" s="15" t="s">
        <v>317</v>
      </c>
      <c r="E1068" s="16">
        <v>14544</v>
      </c>
      <c r="F1068" s="16">
        <v>14544</v>
      </c>
      <c r="G1068" s="15">
        <v>0</v>
      </c>
      <c r="H1068" s="15" t="s">
        <v>748</v>
      </c>
      <c r="I1068" s="23">
        <v>14544</v>
      </c>
    </row>
    <row r="1069" spans="1:9" s="17" customFormat="1" x14ac:dyDescent="0.25">
      <c r="A1069" s="14">
        <v>46203</v>
      </c>
      <c r="B1069" s="15" t="s">
        <v>1426</v>
      </c>
      <c r="C1069" s="15" t="s">
        <v>16</v>
      </c>
      <c r="D1069" s="15" t="s">
        <v>317</v>
      </c>
      <c r="E1069" s="16">
        <v>6438</v>
      </c>
      <c r="F1069" s="16">
        <v>6438</v>
      </c>
      <c r="G1069" s="15">
        <v>0</v>
      </c>
      <c r="H1069" s="15" t="s">
        <v>748</v>
      </c>
      <c r="I1069" s="23">
        <v>6438</v>
      </c>
    </row>
    <row r="1070" spans="1:9" s="17" customFormat="1" x14ac:dyDescent="0.25">
      <c r="A1070" s="14">
        <v>46203</v>
      </c>
      <c r="B1070" s="15" t="s">
        <v>1427</v>
      </c>
      <c r="C1070" s="15" t="s">
        <v>16</v>
      </c>
      <c r="D1070" s="15" t="s">
        <v>317</v>
      </c>
      <c r="E1070" s="16">
        <v>26741</v>
      </c>
      <c r="F1070" s="16">
        <v>20355</v>
      </c>
      <c r="G1070" s="15">
        <v>0</v>
      </c>
      <c r="H1070" s="15" t="s">
        <v>748</v>
      </c>
      <c r="I1070" s="23">
        <v>20355</v>
      </c>
    </row>
    <row r="1071" spans="1:9" s="17" customFormat="1" x14ac:dyDescent="0.25">
      <c r="A1071" s="14">
        <v>46203</v>
      </c>
      <c r="B1071" s="15" t="s">
        <v>1428</v>
      </c>
      <c r="C1071" s="15" t="s">
        <v>17</v>
      </c>
      <c r="D1071" s="15" t="s">
        <v>317</v>
      </c>
      <c r="E1071" s="16">
        <v>21629.4</v>
      </c>
      <c r="F1071" s="16">
        <v>21629.4</v>
      </c>
      <c r="G1071" s="15">
        <v>0</v>
      </c>
      <c r="H1071" s="15" t="s">
        <v>748</v>
      </c>
      <c r="I1071" s="23">
        <v>21629.4</v>
      </c>
    </row>
    <row r="1072" spans="1:9" s="17" customFormat="1" x14ac:dyDescent="0.25">
      <c r="A1072" s="14">
        <v>46203</v>
      </c>
      <c r="B1072" s="15" t="s">
        <v>1429</v>
      </c>
      <c r="C1072" s="15" t="s">
        <v>17</v>
      </c>
      <c r="D1072" s="15" t="s">
        <v>317</v>
      </c>
      <c r="E1072" s="16">
        <v>708</v>
      </c>
      <c r="F1072" s="16">
        <v>708</v>
      </c>
      <c r="G1072" s="15">
        <v>0</v>
      </c>
      <c r="H1072" s="15" t="s">
        <v>748</v>
      </c>
      <c r="I1072" s="23">
        <v>708</v>
      </c>
    </row>
    <row r="1073" spans="1:9" s="17" customFormat="1" x14ac:dyDescent="0.25">
      <c r="A1073" s="14">
        <v>46203</v>
      </c>
      <c r="B1073" s="15" t="s">
        <v>1430</v>
      </c>
      <c r="C1073" s="15" t="s">
        <v>17</v>
      </c>
      <c r="D1073" s="15" t="s">
        <v>317</v>
      </c>
      <c r="E1073" s="16">
        <v>2226.66</v>
      </c>
      <c r="F1073" s="16">
        <v>2226.66</v>
      </c>
      <c r="G1073" s="15">
        <v>0</v>
      </c>
      <c r="H1073" s="15" t="s">
        <v>748</v>
      </c>
      <c r="I1073" s="23">
        <v>2226.66</v>
      </c>
    </row>
    <row r="1074" spans="1:9" s="17" customFormat="1" x14ac:dyDescent="0.25">
      <c r="A1074" s="14">
        <v>46203</v>
      </c>
      <c r="B1074" s="15" t="s">
        <v>1431</v>
      </c>
      <c r="C1074" s="15" t="s">
        <v>18</v>
      </c>
      <c r="D1074" s="15" t="s">
        <v>332</v>
      </c>
      <c r="E1074" s="16">
        <v>42226.18</v>
      </c>
      <c r="F1074" s="16">
        <v>42226.18</v>
      </c>
      <c r="G1074" s="15">
        <v>0</v>
      </c>
      <c r="H1074" s="15" t="s">
        <v>748</v>
      </c>
      <c r="I1074" s="23">
        <v>42226.18</v>
      </c>
    </row>
    <row r="1075" spans="1:9" s="17" customFormat="1" x14ac:dyDescent="0.25">
      <c r="A1075" s="14">
        <v>46203</v>
      </c>
      <c r="B1075" s="15" t="s">
        <v>1432</v>
      </c>
      <c r="C1075" s="15" t="s">
        <v>18</v>
      </c>
      <c r="D1075" s="15" t="s">
        <v>332</v>
      </c>
      <c r="E1075" s="16">
        <v>59265.95</v>
      </c>
      <c r="F1075" s="16">
        <v>59265.95</v>
      </c>
      <c r="G1075" s="15">
        <v>0</v>
      </c>
      <c r="H1075" s="15" t="s">
        <v>748</v>
      </c>
      <c r="I1075" s="23">
        <v>59265.95</v>
      </c>
    </row>
    <row r="1076" spans="1:9" s="17" customFormat="1" x14ac:dyDescent="0.25">
      <c r="A1076" s="14">
        <v>46203</v>
      </c>
      <c r="B1076" s="15" t="s">
        <v>1433</v>
      </c>
      <c r="C1076" s="15" t="s">
        <v>18</v>
      </c>
      <c r="D1076" s="15" t="s">
        <v>332</v>
      </c>
      <c r="E1076" s="16">
        <v>58683.1</v>
      </c>
      <c r="F1076" s="16">
        <v>58683.1</v>
      </c>
      <c r="G1076" s="15">
        <v>0</v>
      </c>
      <c r="H1076" s="15" t="s">
        <v>748</v>
      </c>
      <c r="I1076" s="23">
        <v>58683.1</v>
      </c>
    </row>
    <row r="1077" spans="1:9" s="17" customFormat="1" x14ac:dyDescent="0.25">
      <c r="A1077" s="14">
        <v>46203</v>
      </c>
      <c r="B1077" s="15" t="s">
        <v>1434</v>
      </c>
      <c r="C1077" s="15" t="s">
        <v>18</v>
      </c>
      <c r="D1077" s="15" t="s">
        <v>332</v>
      </c>
      <c r="E1077" s="16">
        <v>53964.21</v>
      </c>
      <c r="F1077" s="16">
        <v>53964.21</v>
      </c>
      <c r="G1077" s="15">
        <v>0</v>
      </c>
      <c r="H1077" s="15" t="s">
        <v>748</v>
      </c>
      <c r="I1077" s="23">
        <v>53964.21</v>
      </c>
    </row>
    <row r="1078" spans="1:9" s="17" customFormat="1" x14ac:dyDescent="0.25">
      <c r="A1078" s="14">
        <v>46203</v>
      </c>
      <c r="B1078" s="15" t="s">
        <v>1435</v>
      </c>
      <c r="C1078" s="15" t="s">
        <v>18</v>
      </c>
      <c r="D1078" s="15" t="s">
        <v>332</v>
      </c>
      <c r="E1078" s="16">
        <v>39890.879999999997</v>
      </c>
      <c r="F1078" s="16">
        <v>39890.879999999997</v>
      </c>
      <c r="G1078" s="15">
        <v>0</v>
      </c>
      <c r="H1078" s="15" t="s">
        <v>748</v>
      </c>
      <c r="I1078" s="23">
        <v>39890.879999999997</v>
      </c>
    </row>
    <row r="1079" spans="1:9" s="17" customFormat="1" x14ac:dyDescent="0.25">
      <c r="A1079" s="14">
        <v>46203</v>
      </c>
      <c r="B1079" s="15" t="s">
        <v>1436</v>
      </c>
      <c r="C1079" s="15" t="s">
        <v>18</v>
      </c>
      <c r="D1079" s="15" t="s">
        <v>332</v>
      </c>
      <c r="E1079" s="16">
        <v>73154.75</v>
      </c>
      <c r="F1079" s="16">
        <v>73154.75</v>
      </c>
      <c r="G1079" s="15">
        <v>0</v>
      </c>
      <c r="H1079" s="15" t="s">
        <v>748</v>
      </c>
      <c r="I1079" s="23">
        <v>73154.75</v>
      </c>
    </row>
    <row r="1080" spans="1:9" s="17" customFormat="1" x14ac:dyDescent="0.25">
      <c r="A1080" s="14">
        <v>46203</v>
      </c>
      <c r="B1080" s="15" t="s">
        <v>1437</v>
      </c>
      <c r="C1080" s="15" t="s">
        <v>18</v>
      </c>
      <c r="D1080" s="15" t="s">
        <v>332</v>
      </c>
      <c r="E1080" s="16">
        <v>57711.01</v>
      </c>
      <c r="F1080" s="16">
        <v>57711.01</v>
      </c>
      <c r="G1080" s="15">
        <v>0</v>
      </c>
      <c r="H1080" s="15" t="s">
        <v>748</v>
      </c>
      <c r="I1080" s="23">
        <v>57711.01</v>
      </c>
    </row>
    <row r="1081" spans="1:9" s="17" customFormat="1" x14ac:dyDescent="0.25">
      <c r="A1081" s="14">
        <v>46203</v>
      </c>
      <c r="B1081" s="15" t="s">
        <v>1438</v>
      </c>
      <c r="C1081" s="15" t="s">
        <v>18</v>
      </c>
      <c r="D1081" s="15" t="s">
        <v>332</v>
      </c>
      <c r="E1081" s="16">
        <v>56278.92</v>
      </c>
      <c r="F1081" s="16">
        <v>56278.92</v>
      </c>
      <c r="G1081" s="15">
        <v>0</v>
      </c>
      <c r="H1081" s="15" t="s">
        <v>748</v>
      </c>
      <c r="I1081" s="23">
        <v>56278.92</v>
      </c>
    </row>
    <row r="1082" spans="1:9" s="17" customFormat="1" x14ac:dyDescent="0.25">
      <c r="A1082" s="14">
        <v>46203</v>
      </c>
      <c r="B1082" s="15" t="s">
        <v>1439</v>
      </c>
      <c r="C1082" s="15" t="s">
        <v>18</v>
      </c>
      <c r="D1082" s="15" t="s">
        <v>332</v>
      </c>
      <c r="E1082" s="16">
        <v>57781.79</v>
      </c>
      <c r="F1082" s="16">
        <v>57781.79</v>
      </c>
      <c r="G1082" s="15">
        <v>0</v>
      </c>
      <c r="H1082" s="15" t="s">
        <v>748</v>
      </c>
      <c r="I1082" s="23">
        <v>57781.79</v>
      </c>
    </row>
    <row r="1083" spans="1:9" s="17" customFormat="1" x14ac:dyDescent="0.25">
      <c r="A1083" s="14">
        <v>46203</v>
      </c>
      <c r="B1083" s="15" t="s">
        <v>1440</v>
      </c>
      <c r="C1083" s="15" t="s">
        <v>18</v>
      </c>
      <c r="D1083" s="15" t="s">
        <v>332</v>
      </c>
      <c r="E1083" s="16">
        <v>58948.49</v>
      </c>
      <c r="F1083" s="16">
        <v>58948.49</v>
      </c>
      <c r="G1083" s="15">
        <v>0</v>
      </c>
      <c r="H1083" s="15" t="s">
        <v>748</v>
      </c>
      <c r="I1083" s="23">
        <v>58948.49</v>
      </c>
    </row>
    <row r="1084" spans="1:9" s="17" customFormat="1" x14ac:dyDescent="0.25">
      <c r="A1084" s="14">
        <v>46203</v>
      </c>
      <c r="B1084" s="15" t="s">
        <v>1441</v>
      </c>
      <c r="C1084" s="15" t="s">
        <v>18</v>
      </c>
      <c r="D1084" s="15" t="s">
        <v>332</v>
      </c>
      <c r="E1084" s="16">
        <v>59107.72</v>
      </c>
      <c r="F1084" s="16">
        <v>59107.72</v>
      </c>
      <c r="G1084" s="15">
        <v>0</v>
      </c>
      <c r="H1084" s="15" t="s">
        <v>748</v>
      </c>
      <c r="I1084" s="23">
        <v>59107.72</v>
      </c>
    </row>
    <row r="1085" spans="1:9" s="17" customFormat="1" x14ac:dyDescent="0.25">
      <c r="A1085" s="14">
        <v>46203</v>
      </c>
      <c r="B1085" s="15" t="s">
        <v>1442</v>
      </c>
      <c r="C1085" s="15" t="s">
        <v>18</v>
      </c>
      <c r="D1085" s="15" t="s">
        <v>332</v>
      </c>
      <c r="E1085" s="16">
        <v>56738.92</v>
      </c>
      <c r="F1085" s="16">
        <v>56738.92</v>
      </c>
      <c r="G1085" s="15">
        <v>0</v>
      </c>
      <c r="H1085" s="15" t="s">
        <v>748</v>
      </c>
      <c r="I1085" s="23">
        <v>56738.92</v>
      </c>
    </row>
    <row r="1086" spans="1:9" s="17" customFormat="1" x14ac:dyDescent="0.25">
      <c r="A1086" s="14">
        <v>46203</v>
      </c>
      <c r="B1086" s="15" t="s">
        <v>1443</v>
      </c>
      <c r="C1086" s="15" t="s">
        <v>18</v>
      </c>
      <c r="D1086" s="15" t="s">
        <v>332</v>
      </c>
      <c r="E1086" s="16">
        <v>86102</v>
      </c>
      <c r="F1086" s="16">
        <v>86102</v>
      </c>
      <c r="G1086" s="15">
        <v>0</v>
      </c>
      <c r="H1086" s="15" t="s">
        <v>748</v>
      </c>
      <c r="I1086" s="23">
        <v>86102</v>
      </c>
    </row>
    <row r="1087" spans="1:9" s="17" customFormat="1" x14ac:dyDescent="0.25">
      <c r="A1087" s="14">
        <v>46203</v>
      </c>
      <c r="B1087" s="15" t="s">
        <v>1444</v>
      </c>
      <c r="C1087" s="15" t="s">
        <v>18</v>
      </c>
      <c r="D1087" s="15" t="s">
        <v>332</v>
      </c>
      <c r="E1087" s="16">
        <v>60857.27</v>
      </c>
      <c r="F1087" s="16">
        <v>60857.27</v>
      </c>
      <c r="G1087" s="15">
        <v>0</v>
      </c>
      <c r="H1087" s="15" t="s">
        <v>748</v>
      </c>
      <c r="I1087" s="23">
        <v>60857.27</v>
      </c>
    </row>
    <row r="1088" spans="1:9" s="17" customFormat="1" x14ac:dyDescent="0.25">
      <c r="A1088" s="14">
        <v>46203</v>
      </c>
      <c r="B1088" s="15" t="s">
        <v>1445</v>
      </c>
      <c r="C1088" s="15" t="s">
        <v>18</v>
      </c>
      <c r="D1088" s="15" t="s">
        <v>332</v>
      </c>
      <c r="E1088" s="16">
        <v>41753.160000000003</v>
      </c>
      <c r="F1088" s="16">
        <v>41753.160000000003</v>
      </c>
      <c r="G1088" s="15">
        <v>0</v>
      </c>
      <c r="H1088" s="15" t="s">
        <v>748</v>
      </c>
      <c r="I1088" s="23">
        <v>41753.160000000003</v>
      </c>
    </row>
    <row r="1089" spans="1:9" s="17" customFormat="1" x14ac:dyDescent="0.25">
      <c r="A1089" s="14">
        <v>46203</v>
      </c>
      <c r="B1089" s="15" t="s">
        <v>1446</v>
      </c>
      <c r="C1089" s="15" t="s">
        <v>18</v>
      </c>
      <c r="D1089" s="15" t="s">
        <v>1666</v>
      </c>
      <c r="E1089" s="16">
        <v>98789.51</v>
      </c>
      <c r="F1089" s="16">
        <v>98789.51</v>
      </c>
      <c r="G1089" s="15">
        <v>0</v>
      </c>
      <c r="H1089" s="15" t="s">
        <v>748</v>
      </c>
      <c r="I1089" s="23">
        <v>98789.51</v>
      </c>
    </row>
    <row r="1090" spans="1:9" s="17" customFormat="1" x14ac:dyDescent="0.25">
      <c r="A1090" s="14">
        <v>46203</v>
      </c>
      <c r="B1090" s="15" t="s">
        <v>1447</v>
      </c>
      <c r="C1090" s="15" t="s">
        <v>18</v>
      </c>
      <c r="D1090" s="15" t="s">
        <v>332</v>
      </c>
      <c r="E1090" s="16">
        <v>72650.02</v>
      </c>
      <c r="F1090" s="16">
        <v>72650.02</v>
      </c>
      <c r="G1090" s="15">
        <v>0</v>
      </c>
      <c r="H1090" s="15" t="s">
        <v>748</v>
      </c>
      <c r="I1090" s="23">
        <v>72650.02</v>
      </c>
    </row>
    <row r="1091" spans="1:9" s="17" customFormat="1" x14ac:dyDescent="0.25">
      <c r="A1091" s="14">
        <v>46203</v>
      </c>
      <c r="B1091" s="15" t="s">
        <v>1448</v>
      </c>
      <c r="C1091" s="15" t="s">
        <v>18</v>
      </c>
      <c r="D1091" s="15" t="s">
        <v>332</v>
      </c>
      <c r="E1091" s="16">
        <v>78180.460000000006</v>
      </c>
      <c r="F1091" s="16">
        <v>78180.460000000006</v>
      </c>
      <c r="G1091" s="15">
        <v>0</v>
      </c>
      <c r="H1091" s="15" t="s">
        <v>748</v>
      </c>
      <c r="I1091" s="23">
        <v>78180.460000000006</v>
      </c>
    </row>
    <row r="1092" spans="1:9" s="17" customFormat="1" x14ac:dyDescent="0.25">
      <c r="A1092" s="14">
        <v>46203</v>
      </c>
      <c r="B1092" s="15" t="s">
        <v>1449</v>
      </c>
      <c r="C1092" s="15" t="s">
        <v>18</v>
      </c>
      <c r="D1092" s="15" t="s">
        <v>332</v>
      </c>
      <c r="E1092" s="16">
        <v>56650.47</v>
      </c>
      <c r="F1092" s="16">
        <v>56650.47</v>
      </c>
      <c r="G1092" s="15">
        <v>0</v>
      </c>
      <c r="H1092" s="15" t="s">
        <v>748</v>
      </c>
      <c r="I1092" s="23">
        <v>56650.47</v>
      </c>
    </row>
    <row r="1093" spans="1:9" s="17" customFormat="1" x14ac:dyDescent="0.25">
      <c r="A1093" s="14">
        <v>46203</v>
      </c>
      <c r="B1093" s="15" t="s">
        <v>1450</v>
      </c>
      <c r="C1093" s="15" t="s">
        <v>18</v>
      </c>
      <c r="D1093" s="15" t="s">
        <v>332</v>
      </c>
      <c r="E1093" s="16">
        <v>58223.1</v>
      </c>
      <c r="F1093" s="16">
        <v>58223.1</v>
      </c>
      <c r="G1093" s="15">
        <v>0</v>
      </c>
      <c r="H1093" s="15" t="s">
        <v>748</v>
      </c>
      <c r="I1093" s="23">
        <v>58223.1</v>
      </c>
    </row>
    <row r="1094" spans="1:9" s="17" customFormat="1" x14ac:dyDescent="0.25">
      <c r="A1094" s="14">
        <v>46203</v>
      </c>
      <c r="B1094" s="15" t="s">
        <v>1451</v>
      </c>
      <c r="C1094" s="15" t="s">
        <v>18</v>
      </c>
      <c r="D1094" s="15" t="s">
        <v>332</v>
      </c>
      <c r="E1094" s="16">
        <v>56809.7</v>
      </c>
      <c r="F1094" s="16">
        <v>56809.7</v>
      </c>
      <c r="G1094" s="15">
        <v>0</v>
      </c>
      <c r="H1094" s="15" t="s">
        <v>748</v>
      </c>
      <c r="I1094" s="23">
        <v>56809.7</v>
      </c>
    </row>
    <row r="1095" spans="1:9" s="17" customFormat="1" x14ac:dyDescent="0.25">
      <c r="A1095" s="14">
        <v>46203</v>
      </c>
      <c r="B1095" s="15" t="s">
        <v>1452</v>
      </c>
      <c r="C1095" s="15" t="s">
        <v>18</v>
      </c>
      <c r="D1095" s="15" t="s">
        <v>347</v>
      </c>
      <c r="E1095" s="16">
        <v>57251.01</v>
      </c>
      <c r="F1095" s="16">
        <v>57251.01</v>
      </c>
      <c r="G1095" s="15">
        <v>0</v>
      </c>
      <c r="H1095" s="15" t="s">
        <v>748</v>
      </c>
      <c r="I1095" s="23">
        <v>57251.01</v>
      </c>
    </row>
    <row r="1096" spans="1:9" s="17" customFormat="1" x14ac:dyDescent="0.25">
      <c r="A1096" s="14">
        <v>46203</v>
      </c>
      <c r="B1096" s="15" t="s">
        <v>1453</v>
      </c>
      <c r="C1096" s="15" t="s">
        <v>18</v>
      </c>
      <c r="D1096" s="15" t="s">
        <v>332</v>
      </c>
      <c r="E1096" s="16">
        <v>60468.05</v>
      </c>
      <c r="F1096" s="16">
        <v>60468.05</v>
      </c>
      <c r="G1096" s="15">
        <v>0</v>
      </c>
      <c r="H1096" s="15" t="s">
        <v>748</v>
      </c>
      <c r="I1096" s="23">
        <v>60468.05</v>
      </c>
    </row>
    <row r="1097" spans="1:9" s="17" customFormat="1" x14ac:dyDescent="0.25">
      <c r="A1097" s="14">
        <v>46203</v>
      </c>
      <c r="B1097" s="15" t="s">
        <v>1454</v>
      </c>
      <c r="C1097" s="15" t="s">
        <v>18</v>
      </c>
      <c r="D1097" s="15" t="s">
        <v>332</v>
      </c>
      <c r="E1097" s="16">
        <v>58541.56</v>
      </c>
      <c r="F1097" s="16">
        <v>58541.56</v>
      </c>
      <c r="G1097" s="15">
        <v>0</v>
      </c>
      <c r="H1097" s="15" t="s">
        <v>748</v>
      </c>
      <c r="I1097" s="23">
        <v>58541.56</v>
      </c>
    </row>
    <row r="1098" spans="1:9" s="17" customFormat="1" x14ac:dyDescent="0.25">
      <c r="A1098" s="14">
        <v>46203</v>
      </c>
      <c r="B1098" s="15" t="s">
        <v>1455</v>
      </c>
      <c r="C1098" s="15" t="s">
        <v>18</v>
      </c>
      <c r="D1098" s="15" t="s">
        <v>332</v>
      </c>
      <c r="E1098" s="16">
        <v>59249.26</v>
      </c>
      <c r="F1098" s="16">
        <v>59249.26</v>
      </c>
      <c r="G1098" s="15">
        <v>0</v>
      </c>
      <c r="H1098" s="15" t="s">
        <v>748</v>
      </c>
      <c r="I1098" s="23">
        <v>59249.26</v>
      </c>
    </row>
    <row r="1099" spans="1:9" s="17" customFormat="1" x14ac:dyDescent="0.25">
      <c r="A1099" s="14">
        <v>46203</v>
      </c>
      <c r="B1099" s="15" t="s">
        <v>1456</v>
      </c>
      <c r="C1099" s="15" t="s">
        <v>18</v>
      </c>
      <c r="D1099" s="15" t="s">
        <v>332</v>
      </c>
      <c r="E1099" s="16">
        <v>54405.52</v>
      </c>
      <c r="F1099" s="16">
        <v>54405.52</v>
      </c>
      <c r="G1099" s="15">
        <v>0</v>
      </c>
      <c r="H1099" s="15" t="s">
        <v>748</v>
      </c>
      <c r="I1099" s="23">
        <v>54405.52</v>
      </c>
    </row>
    <row r="1100" spans="1:9" s="17" customFormat="1" x14ac:dyDescent="0.25">
      <c r="A1100" s="14">
        <v>46203</v>
      </c>
      <c r="B1100" s="15" t="s">
        <v>1457</v>
      </c>
      <c r="C1100" s="15" t="s">
        <v>18</v>
      </c>
      <c r="D1100" s="15" t="s">
        <v>332</v>
      </c>
      <c r="E1100" s="16">
        <v>56420.46</v>
      </c>
      <c r="F1100" s="16">
        <v>56420.46</v>
      </c>
      <c r="G1100" s="15">
        <v>0</v>
      </c>
      <c r="H1100" s="15" t="s">
        <v>748</v>
      </c>
      <c r="I1100" s="23">
        <v>56420.46</v>
      </c>
    </row>
    <row r="1101" spans="1:9" s="17" customFormat="1" x14ac:dyDescent="0.25">
      <c r="A1101" s="14">
        <v>46203</v>
      </c>
      <c r="B1101" s="15" t="s">
        <v>1458</v>
      </c>
      <c r="C1101" s="15" t="s">
        <v>18</v>
      </c>
      <c r="D1101" s="15" t="s">
        <v>332</v>
      </c>
      <c r="E1101" s="16">
        <v>77116.759999999995</v>
      </c>
      <c r="F1101" s="16">
        <v>77116.759999999995</v>
      </c>
      <c r="G1101" s="15">
        <v>0</v>
      </c>
      <c r="H1101" s="15" t="s">
        <v>748</v>
      </c>
      <c r="I1101" s="23">
        <v>77116.759999999995</v>
      </c>
    </row>
    <row r="1102" spans="1:9" s="17" customFormat="1" x14ac:dyDescent="0.25">
      <c r="A1102" s="14">
        <v>46203</v>
      </c>
      <c r="B1102" s="15" t="s">
        <v>1459</v>
      </c>
      <c r="C1102" s="15" t="s">
        <v>18</v>
      </c>
      <c r="D1102" s="15" t="s">
        <v>332</v>
      </c>
      <c r="E1102" s="16">
        <v>42753.86</v>
      </c>
      <c r="F1102" s="16">
        <v>42753.86</v>
      </c>
      <c r="G1102" s="15">
        <v>0</v>
      </c>
      <c r="H1102" s="15" t="s">
        <v>748</v>
      </c>
      <c r="I1102" s="23">
        <v>42753.86</v>
      </c>
    </row>
    <row r="1103" spans="1:9" s="17" customFormat="1" x14ac:dyDescent="0.25">
      <c r="A1103" s="14">
        <v>46203</v>
      </c>
      <c r="B1103" s="15" t="s">
        <v>1460</v>
      </c>
      <c r="C1103" s="15" t="s">
        <v>18</v>
      </c>
      <c r="D1103" s="15" t="s">
        <v>332</v>
      </c>
      <c r="E1103" s="16">
        <v>74032.12</v>
      </c>
      <c r="F1103" s="16">
        <v>74032.12</v>
      </c>
      <c r="G1103" s="15">
        <v>0</v>
      </c>
      <c r="H1103" s="15" t="s">
        <v>748</v>
      </c>
      <c r="I1103" s="23">
        <v>74032.12</v>
      </c>
    </row>
    <row r="1104" spans="1:9" s="17" customFormat="1" x14ac:dyDescent="0.25">
      <c r="A1104" s="14">
        <v>46203</v>
      </c>
      <c r="B1104" s="15" t="s">
        <v>1461</v>
      </c>
      <c r="C1104" s="15" t="s">
        <v>18</v>
      </c>
      <c r="D1104" s="15" t="s">
        <v>332</v>
      </c>
      <c r="E1104" s="16">
        <v>58541.56</v>
      </c>
      <c r="F1104" s="16">
        <v>58541.56</v>
      </c>
      <c r="G1104" s="15">
        <v>0</v>
      </c>
      <c r="H1104" s="15" t="s">
        <v>748</v>
      </c>
      <c r="I1104" s="23">
        <v>58541.56</v>
      </c>
    </row>
    <row r="1105" spans="1:9" s="17" customFormat="1" x14ac:dyDescent="0.25">
      <c r="A1105" s="14">
        <v>46203</v>
      </c>
      <c r="B1105" s="15" t="s">
        <v>1462</v>
      </c>
      <c r="C1105" s="15" t="s">
        <v>18</v>
      </c>
      <c r="D1105" s="15" t="s">
        <v>332</v>
      </c>
      <c r="E1105" s="16">
        <v>56880.46</v>
      </c>
      <c r="F1105" s="16">
        <v>56880.46</v>
      </c>
      <c r="G1105" s="15">
        <v>0</v>
      </c>
      <c r="H1105" s="15" t="s">
        <v>748</v>
      </c>
      <c r="I1105" s="23">
        <v>56880.46</v>
      </c>
    </row>
    <row r="1106" spans="1:9" s="17" customFormat="1" x14ac:dyDescent="0.25">
      <c r="A1106" s="14">
        <v>46203</v>
      </c>
      <c r="B1106" s="15" t="s">
        <v>1463</v>
      </c>
      <c r="C1106" s="15" t="s">
        <v>18</v>
      </c>
      <c r="D1106" s="15" t="s">
        <v>332</v>
      </c>
      <c r="E1106" s="16">
        <v>51276.95</v>
      </c>
      <c r="F1106" s="16">
        <v>51276.95</v>
      </c>
      <c r="G1106" s="15">
        <v>0</v>
      </c>
      <c r="H1106" s="15" t="s">
        <v>748</v>
      </c>
      <c r="I1106" s="23">
        <v>51276.95</v>
      </c>
    </row>
    <row r="1107" spans="1:9" s="17" customFormat="1" x14ac:dyDescent="0.25">
      <c r="A1107" s="14">
        <v>46203</v>
      </c>
      <c r="B1107" s="15" t="s">
        <v>1464</v>
      </c>
      <c r="C1107" s="15" t="s">
        <v>18</v>
      </c>
      <c r="D1107" s="15" t="s">
        <v>332</v>
      </c>
      <c r="E1107" s="16">
        <v>58117.94</v>
      </c>
      <c r="F1107" s="16">
        <v>58117.94</v>
      </c>
      <c r="G1107" s="15">
        <v>0</v>
      </c>
      <c r="H1107" s="15" t="s">
        <v>748</v>
      </c>
      <c r="I1107" s="23">
        <v>58117.94</v>
      </c>
    </row>
    <row r="1108" spans="1:9" s="17" customFormat="1" x14ac:dyDescent="0.25">
      <c r="A1108" s="14">
        <v>46203</v>
      </c>
      <c r="B1108" s="15" t="s">
        <v>1465</v>
      </c>
      <c r="C1108" s="15" t="s">
        <v>18</v>
      </c>
      <c r="D1108" s="15" t="s">
        <v>332</v>
      </c>
      <c r="E1108" s="16">
        <v>58240.79</v>
      </c>
      <c r="F1108" s="16">
        <v>58240.79</v>
      </c>
      <c r="G1108" s="15">
        <v>0</v>
      </c>
      <c r="H1108" s="15" t="s">
        <v>748</v>
      </c>
      <c r="I1108" s="23">
        <v>58240.79</v>
      </c>
    </row>
    <row r="1109" spans="1:9" s="17" customFormat="1" x14ac:dyDescent="0.25">
      <c r="A1109" s="14">
        <v>46203</v>
      </c>
      <c r="B1109" s="15" t="s">
        <v>1466</v>
      </c>
      <c r="C1109" s="15" t="s">
        <v>18</v>
      </c>
      <c r="D1109" s="15" t="s">
        <v>332</v>
      </c>
      <c r="E1109" s="16">
        <v>59425.18</v>
      </c>
      <c r="F1109" s="16">
        <v>59425.18</v>
      </c>
      <c r="G1109" s="15">
        <v>0</v>
      </c>
      <c r="H1109" s="15" t="s">
        <v>748</v>
      </c>
      <c r="I1109" s="23">
        <v>59425.18</v>
      </c>
    </row>
    <row r="1110" spans="1:9" s="17" customFormat="1" x14ac:dyDescent="0.25">
      <c r="A1110" s="14">
        <v>46203</v>
      </c>
      <c r="B1110" s="15" t="s">
        <v>1467</v>
      </c>
      <c r="C1110" s="15" t="s">
        <v>18</v>
      </c>
      <c r="D1110" s="15" t="s">
        <v>332</v>
      </c>
      <c r="E1110" s="16">
        <v>57463.31</v>
      </c>
      <c r="F1110" s="16">
        <v>57463.31</v>
      </c>
      <c r="G1110" s="15">
        <v>0</v>
      </c>
      <c r="H1110" s="15" t="s">
        <v>748</v>
      </c>
      <c r="I1110" s="23">
        <v>57463.31</v>
      </c>
    </row>
    <row r="1111" spans="1:9" s="17" customFormat="1" x14ac:dyDescent="0.25">
      <c r="A1111" s="14">
        <v>46203</v>
      </c>
      <c r="B1111" s="15" t="s">
        <v>1468</v>
      </c>
      <c r="C1111" s="15" t="s">
        <v>18</v>
      </c>
      <c r="D1111" s="15" t="s">
        <v>332</v>
      </c>
      <c r="E1111" s="16">
        <v>58523.87</v>
      </c>
      <c r="F1111" s="16">
        <v>58523.87</v>
      </c>
      <c r="G1111" s="15">
        <v>0</v>
      </c>
      <c r="H1111" s="15" t="s">
        <v>748</v>
      </c>
      <c r="I1111" s="23">
        <v>58523.87</v>
      </c>
    </row>
    <row r="1112" spans="1:9" s="17" customFormat="1" x14ac:dyDescent="0.25">
      <c r="A1112" s="14">
        <v>46203</v>
      </c>
      <c r="B1112" s="15" t="s">
        <v>1469</v>
      </c>
      <c r="C1112" s="15" t="s">
        <v>18</v>
      </c>
      <c r="D1112" s="15" t="s">
        <v>332</v>
      </c>
      <c r="E1112" s="16">
        <v>55926.080000000002</v>
      </c>
      <c r="F1112" s="16">
        <v>55926.080000000002</v>
      </c>
      <c r="G1112" s="15">
        <v>0</v>
      </c>
      <c r="H1112" s="15" t="s">
        <v>748</v>
      </c>
      <c r="I1112" s="23">
        <v>55926.080000000002</v>
      </c>
    </row>
    <row r="1113" spans="1:9" s="17" customFormat="1" x14ac:dyDescent="0.25">
      <c r="A1113" s="14">
        <v>46203</v>
      </c>
      <c r="B1113" s="15" t="s">
        <v>1470</v>
      </c>
      <c r="C1113" s="15" t="s">
        <v>18</v>
      </c>
      <c r="D1113" s="15" t="s">
        <v>332</v>
      </c>
      <c r="E1113" s="16">
        <v>56738.92</v>
      </c>
      <c r="F1113" s="16">
        <v>56738.92</v>
      </c>
      <c r="G1113" s="15">
        <v>0</v>
      </c>
      <c r="H1113" s="15" t="s">
        <v>748</v>
      </c>
      <c r="I1113" s="23">
        <v>56738.92</v>
      </c>
    </row>
    <row r="1114" spans="1:9" s="17" customFormat="1" x14ac:dyDescent="0.25">
      <c r="A1114" s="14">
        <v>46203</v>
      </c>
      <c r="B1114" s="15" t="s">
        <v>1471</v>
      </c>
      <c r="C1114" s="15" t="s">
        <v>18</v>
      </c>
      <c r="D1114" s="15" t="s">
        <v>332</v>
      </c>
      <c r="E1114" s="16">
        <v>58435.4</v>
      </c>
      <c r="F1114" s="16">
        <v>58435.4</v>
      </c>
      <c r="G1114" s="15">
        <v>0</v>
      </c>
      <c r="H1114" s="15" t="s">
        <v>748</v>
      </c>
      <c r="I1114" s="23">
        <v>58435.4</v>
      </c>
    </row>
    <row r="1115" spans="1:9" s="17" customFormat="1" x14ac:dyDescent="0.25">
      <c r="A1115" s="14">
        <v>46203</v>
      </c>
      <c r="B1115" s="15" t="s">
        <v>1472</v>
      </c>
      <c r="C1115" s="15" t="s">
        <v>18</v>
      </c>
      <c r="D1115" s="15" t="s">
        <v>332</v>
      </c>
      <c r="E1115" s="16">
        <v>58647.72</v>
      </c>
      <c r="F1115" s="16">
        <v>58647.72</v>
      </c>
      <c r="G1115" s="15">
        <v>0</v>
      </c>
      <c r="H1115" s="15" t="s">
        <v>748</v>
      </c>
      <c r="I1115" s="23">
        <v>58647.72</v>
      </c>
    </row>
    <row r="1116" spans="1:9" s="17" customFormat="1" x14ac:dyDescent="0.25">
      <c r="A1116" s="14">
        <v>46203</v>
      </c>
      <c r="B1116" s="15" t="s">
        <v>1473</v>
      </c>
      <c r="C1116" s="15" t="s">
        <v>18</v>
      </c>
      <c r="D1116" s="15" t="s">
        <v>332</v>
      </c>
      <c r="E1116" s="16">
        <v>59178.5</v>
      </c>
      <c r="F1116" s="16">
        <v>59178.5</v>
      </c>
      <c r="G1116" s="15">
        <v>0</v>
      </c>
      <c r="H1116" s="15" t="s">
        <v>748</v>
      </c>
      <c r="I1116" s="23">
        <v>59178.5</v>
      </c>
    </row>
    <row r="1117" spans="1:9" s="17" customFormat="1" x14ac:dyDescent="0.25">
      <c r="A1117" s="14">
        <v>46203</v>
      </c>
      <c r="B1117" s="15" t="s">
        <v>1474</v>
      </c>
      <c r="C1117" s="15" t="s">
        <v>18</v>
      </c>
      <c r="D1117" s="15" t="s">
        <v>332</v>
      </c>
      <c r="E1117" s="16">
        <v>49173.54</v>
      </c>
      <c r="F1117" s="16">
        <v>49173.54</v>
      </c>
      <c r="G1117" s="15">
        <v>0</v>
      </c>
      <c r="H1117" s="15" t="s">
        <v>748</v>
      </c>
      <c r="I1117" s="23">
        <v>49173.54</v>
      </c>
    </row>
    <row r="1118" spans="1:9" s="17" customFormat="1" x14ac:dyDescent="0.25">
      <c r="A1118" s="14">
        <v>46203</v>
      </c>
      <c r="B1118" s="15" t="s">
        <v>1475</v>
      </c>
      <c r="C1118" s="15" t="s">
        <v>20</v>
      </c>
      <c r="D1118" s="15" t="s">
        <v>332</v>
      </c>
      <c r="E1118" s="16">
        <v>116170.96</v>
      </c>
      <c r="F1118" s="16">
        <v>116170.96</v>
      </c>
      <c r="G1118" s="15">
        <v>0</v>
      </c>
      <c r="H1118" s="15" t="s">
        <v>748</v>
      </c>
      <c r="I1118" s="23">
        <v>116170.96</v>
      </c>
    </row>
    <row r="1119" spans="1:9" s="17" customFormat="1" x14ac:dyDescent="0.25">
      <c r="A1119" s="14">
        <v>46203</v>
      </c>
      <c r="B1119" s="15" t="s">
        <v>1476</v>
      </c>
      <c r="C1119" s="15" t="s">
        <v>20</v>
      </c>
      <c r="D1119" s="15" t="s">
        <v>332</v>
      </c>
      <c r="E1119" s="16">
        <v>119150.86</v>
      </c>
      <c r="F1119" s="16">
        <v>119150.86</v>
      </c>
      <c r="G1119" s="15">
        <v>0</v>
      </c>
      <c r="H1119" s="15" t="s">
        <v>748</v>
      </c>
      <c r="I1119" s="23">
        <v>119150.86</v>
      </c>
    </row>
    <row r="1120" spans="1:9" s="17" customFormat="1" x14ac:dyDescent="0.25">
      <c r="A1120" s="14">
        <v>46203</v>
      </c>
      <c r="B1120" s="15" t="s">
        <v>1477</v>
      </c>
      <c r="C1120" s="15" t="s">
        <v>20</v>
      </c>
      <c r="D1120" s="15" t="s">
        <v>332</v>
      </c>
      <c r="E1120" s="16">
        <v>122808</v>
      </c>
      <c r="F1120" s="16">
        <v>122808</v>
      </c>
      <c r="G1120" s="15">
        <v>0</v>
      </c>
      <c r="H1120" s="15" t="s">
        <v>748</v>
      </c>
      <c r="I1120" s="23">
        <v>122808</v>
      </c>
    </row>
    <row r="1121" spans="1:9" s="17" customFormat="1" x14ac:dyDescent="0.25">
      <c r="A1121" s="14">
        <v>46203</v>
      </c>
      <c r="B1121" s="15" t="s">
        <v>1478</v>
      </c>
      <c r="C1121" s="15" t="s">
        <v>20</v>
      </c>
      <c r="D1121" s="15" t="s">
        <v>332</v>
      </c>
      <c r="E1121" s="16">
        <v>16931.259999999998</v>
      </c>
      <c r="F1121" s="16">
        <v>16931.259999999998</v>
      </c>
      <c r="G1121" s="15">
        <v>0</v>
      </c>
      <c r="H1121" s="15" t="s">
        <v>748</v>
      </c>
      <c r="I1121" s="23">
        <v>16931.259999999998</v>
      </c>
    </row>
    <row r="1122" spans="1:9" s="17" customFormat="1" x14ac:dyDescent="0.25">
      <c r="A1122" s="14">
        <v>46203</v>
      </c>
      <c r="B1122" s="15" t="s">
        <v>1479</v>
      </c>
      <c r="C1122" s="15" t="s">
        <v>21</v>
      </c>
      <c r="D1122" s="15" t="s">
        <v>347</v>
      </c>
      <c r="E1122" s="16">
        <v>3000</v>
      </c>
      <c r="F1122" s="16">
        <v>3000</v>
      </c>
      <c r="G1122" s="15">
        <v>0</v>
      </c>
      <c r="H1122" s="15" t="s">
        <v>748</v>
      </c>
      <c r="I1122" s="23">
        <v>3000</v>
      </c>
    </row>
    <row r="1123" spans="1:9" s="17" customFormat="1" x14ac:dyDescent="0.25">
      <c r="A1123" s="14">
        <v>46203</v>
      </c>
      <c r="B1123" s="15" t="s">
        <v>1480</v>
      </c>
      <c r="C1123" s="15" t="s">
        <v>22</v>
      </c>
      <c r="D1123" s="15" t="s">
        <v>332</v>
      </c>
      <c r="E1123" s="16">
        <v>62012.53</v>
      </c>
      <c r="F1123" s="16">
        <v>62012.53</v>
      </c>
      <c r="G1123" s="15">
        <v>0</v>
      </c>
      <c r="H1123" s="15" t="s">
        <v>748</v>
      </c>
      <c r="I1123" s="23">
        <v>62012.53</v>
      </c>
    </row>
    <row r="1124" spans="1:9" s="17" customFormat="1" x14ac:dyDescent="0.25">
      <c r="A1124" s="14">
        <v>46203</v>
      </c>
      <c r="B1124" s="15" t="s">
        <v>1481</v>
      </c>
      <c r="C1124" s="15" t="s">
        <v>22</v>
      </c>
      <c r="D1124" s="15" t="s">
        <v>332</v>
      </c>
      <c r="E1124" s="16">
        <v>164413.18</v>
      </c>
      <c r="F1124" s="16">
        <v>164413.18</v>
      </c>
      <c r="G1124" s="15">
        <v>0</v>
      </c>
      <c r="H1124" s="15" t="s">
        <v>748</v>
      </c>
      <c r="I1124" s="23">
        <v>164413.18</v>
      </c>
    </row>
    <row r="1125" spans="1:9" s="17" customFormat="1" x14ac:dyDescent="0.25">
      <c r="A1125" s="14">
        <v>46203</v>
      </c>
      <c r="B1125" s="15" t="s">
        <v>1482</v>
      </c>
      <c r="C1125" s="15" t="s">
        <v>26</v>
      </c>
      <c r="D1125" s="15" t="s">
        <v>332</v>
      </c>
      <c r="E1125" s="16">
        <v>109488.7</v>
      </c>
      <c r="F1125" s="16">
        <v>109488.7</v>
      </c>
      <c r="G1125" s="15">
        <v>0</v>
      </c>
      <c r="H1125" s="15" t="s">
        <v>748</v>
      </c>
      <c r="I1125" s="23">
        <v>109488.7</v>
      </c>
    </row>
    <row r="1126" spans="1:9" s="17" customFormat="1" x14ac:dyDescent="0.25">
      <c r="A1126" s="14">
        <v>46203</v>
      </c>
      <c r="B1126" s="15" t="s">
        <v>1483</v>
      </c>
      <c r="C1126" s="15" t="s">
        <v>26</v>
      </c>
      <c r="D1126" s="15" t="s">
        <v>306</v>
      </c>
      <c r="E1126" s="16">
        <v>1052051.97</v>
      </c>
      <c r="F1126" s="16">
        <v>1052051.97</v>
      </c>
      <c r="G1126" s="15">
        <v>0</v>
      </c>
      <c r="H1126" s="15" t="s">
        <v>748</v>
      </c>
      <c r="I1126" s="23">
        <v>1052051.97</v>
      </c>
    </row>
    <row r="1127" spans="1:9" s="17" customFormat="1" x14ac:dyDescent="0.25">
      <c r="A1127" s="14">
        <v>46203</v>
      </c>
      <c r="B1127" s="15" t="s">
        <v>1484</v>
      </c>
      <c r="C1127" s="15" t="s">
        <v>26</v>
      </c>
      <c r="D1127" s="15" t="s">
        <v>332</v>
      </c>
      <c r="E1127" s="16">
        <v>84540.6</v>
      </c>
      <c r="F1127" s="16">
        <v>84540.6</v>
      </c>
      <c r="G1127" s="15">
        <v>0</v>
      </c>
      <c r="H1127" s="15" t="s">
        <v>748</v>
      </c>
      <c r="I1127" s="23">
        <v>84540.6</v>
      </c>
    </row>
    <row r="1128" spans="1:9" s="17" customFormat="1" x14ac:dyDescent="0.25">
      <c r="A1128" s="14">
        <v>46203</v>
      </c>
      <c r="B1128" s="15" t="s">
        <v>1485</v>
      </c>
      <c r="C1128" s="15" t="s">
        <v>26</v>
      </c>
      <c r="D1128" s="15" t="s">
        <v>332</v>
      </c>
      <c r="E1128" s="16">
        <v>85168.5</v>
      </c>
      <c r="F1128" s="16">
        <v>85168.5</v>
      </c>
      <c r="G1128" s="15">
        <v>0</v>
      </c>
      <c r="H1128" s="15" t="s">
        <v>748</v>
      </c>
      <c r="I1128" s="23">
        <v>85168.5</v>
      </c>
    </row>
    <row r="1129" spans="1:9" s="17" customFormat="1" x14ac:dyDescent="0.25">
      <c r="A1129" s="14">
        <v>46203</v>
      </c>
      <c r="B1129" s="15" t="s">
        <v>1486</v>
      </c>
      <c r="C1129" s="15" t="s">
        <v>27</v>
      </c>
      <c r="D1129" s="15" t="s">
        <v>663</v>
      </c>
      <c r="E1129" s="16">
        <v>200175.08</v>
      </c>
      <c r="F1129" s="16">
        <v>200175.08</v>
      </c>
      <c r="G1129" s="15">
        <v>0</v>
      </c>
      <c r="H1129" s="15" t="s">
        <v>748</v>
      </c>
      <c r="I1129" s="23">
        <v>200175.08</v>
      </c>
    </row>
    <row r="1130" spans="1:9" s="17" customFormat="1" x14ac:dyDescent="0.25">
      <c r="A1130" s="14">
        <v>46203</v>
      </c>
      <c r="B1130" s="15" t="s">
        <v>1487</v>
      </c>
      <c r="C1130" s="15" t="s">
        <v>28</v>
      </c>
      <c r="D1130" s="15" t="s">
        <v>319</v>
      </c>
      <c r="E1130" s="16">
        <v>42305.599999999999</v>
      </c>
      <c r="F1130" s="16">
        <v>42305.599999999999</v>
      </c>
      <c r="G1130" s="15">
        <v>0</v>
      </c>
      <c r="H1130" s="15" t="s">
        <v>748</v>
      </c>
      <c r="I1130" s="23">
        <v>42305.599999999999</v>
      </c>
    </row>
    <row r="1131" spans="1:9" s="17" customFormat="1" x14ac:dyDescent="0.25">
      <c r="A1131" s="14">
        <v>46203</v>
      </c>
      <c r="B1131" s="15" t="s">
        <v>1488</v>
      </c>
      <c r="C1131" s="15" t="s">
        <v>1060</v>
      </c>
      <c r="D1131" s="15" t="s">
        <v>347</v>
      </c>
      <c r="E1131" s="16">
        <v>31779</v>
      </c>
      <c r="F1131" s="16">
        <v>31779</v>
      </c>
      <c r="G1131" s="15">
        <v>0</v>
      </c>
      <c r="H1131" s="15" t="s">
        <v>748</v>
      </c>
      <c r="I1131" s="23">
        <v>31779</v>
      </c>
    </row>
    <row r="1132" spans="1:9" s="17" customFormat="1" x14ac:dyDescent="0.25">
      <c r="A1132" s="14">
        <v>46203</v>
      </c>
      <c r="B1132" s="15" t="s">
        <v>805</v>
      </c>
      <c r="C1132" s="15" t="s">
        <v>30</v>
      </c>
      <c r="D1132" s="15" t="s">
        <v>321</v>
      </c>
      <c r="E1132" s="16">
        <v>372600</v>
      </c>
      <c r="F1132" s="16">
        <v>372600</v>
      </c>
      <c r="G1132" s="15">
        <v>0</v>
      </c>
      <c r="H1132" s="15" t="s">
        <v>748</v>
      </c>
      <c r="I1132" s="23">
        <v>372600</v>
      </c>
    </row>
    <row r="1133" spans="1:9" s="17" customFormat="1" x14ac:dyDescent="0.25">
      <c r="A1133" s="14">
        <v>46203</v>
      </c>
      <c r="B1133" s="15" t="s">
        <v>1489</v>
      </c>
      <c r="C1133" s="15" t="s">
        <v>32</v>
      </c>
      <c r="D1133" s="15" t="s">
        <v>319</v>
      </c>
      <c r="E1133" s="16">
        <v>58870</v>
      </c>
      <c r="F1133" s="16">
        <v>58870</v>
      </c>
      <c r="G1133" s="15">
        <v>0</v>
      </c>
      <c r="H1133" s="15" t="s">
        <v>748</v>
      </c>
      <c r="I1133" s="23">
        <v>58870</v>
      </c>
    </row>
    <row r="1134" spans="1:9" s="17" customFormat="1" x14ac:dyDescent="0.25">
      <c r="A1134" s="14">
        <v>46203</v>
      </c>
      <c r="B1134" s="15" t="s">
        <v>1490</v>
      </c>
      <c r="C1134" s="15" t="s">
        <v>32</v>
      </c>
      <c r="D1134" s="15" t="s">
        <v>319</v>
      </c>
      <c r="E1134" s="16">
        <v>58870</v>
      </c>
      <c r="F1134" s="16">
        <v>58870</v>
      </c>
      <c r="G1134" s="15">
        <v>0</v>
      </c>
      <c r="H1134" s="15" t="s">
        <v>748</v>
      </c>
      <c r="I1134" s="23">
        <v>58870</v>
      </c>
    </row>
    <row r="1135" spans="1:9" s="17" customFormat="1" x14ac:dyDescent="0.25">
      <c r="A1135" s="14">
        <v>46203</v>
      </c>
      <c r="B1135" s="15" t="s">
        <v>1491</v>
      </c>
      <c r="C1135" s="15" t="s">
        <v>32</v>
      </c>
      <c r="D1135" s="15" t="s">
        <v>319</v>
      </c>
      <c r="E1135" s="16">
        <v>58870</v>
      </c>
      <c r="F1135" s="16">
        <v>58870</v>
      </c>
      <c r="G1135" s="15">
        <v>0</v>
      </c>
      <c r="H1135" s="15" t="s">
        <v>748</v>
      </c>
      <c r="I1135" s="23">
        <v>58870</v>
      </c>
    </row>
    <row r="1136" spans="1:9" s="17" customFormat="1" x14ac:dyDescent="0.25">
      <c r="A1136" s="14">
        <v>46203</v>
      </c>
      <c r="B1136" s="15" t="s">
        <v>1492</v>
      </c>
      <c r="C1136" s="15" t="s">
        <v>1055</v>
      </c>
      <c r="D1136" s="15" t="s">
        <v>347</v>
      </c>
      <c r="E1136" s="16">
        <v>78300</v>
      </c>
      <c r="F1136" s="16">
        <v>78300</v>
      </c>
      <c r="G1136" s="15">
        <v>0</v>
      </c>
      <c r="H1136" s="15" t="s">
        <v>748</v>
      </c>
      <c r="I1136" s="23">
        <v>78300</v>
      </c>
    </row>
    <row r="1137" spans="1:9" s="17" customFormat="1" x14ac:dyDescent="0.25">
      <c r="A1137" s="14">
        <v>46203</v>
      </c>
      <c r="B1137" s="15" t="s">
        <v>1493</v>
      </c>
      <c r="C1137" s="15" t="s">
        <v>33</v>
      </c>
      <c r="D1137" s="15" t="s">
        <v>332</v>
      </c>
      <c r="E1137" s="16">
        <v>332709.03000000003</v>
      </c>
      <c r="F1137" s="16">
        <v>332709.03000000003</v>
      </c>
      <c r="G1137" s="15">
        <v>0</v>
      </c>
      <c r="H1137" s="15" t="s">
        <v>748</v>
      </c>
      <c r="I1137" s="23">
        <v>332709.03000000003</v>
      </c>
    </row>
    <row r="1138" spans="1:9" s="17" customFormat="1" x14ac:dyDescent="0.25">
      <c r="A1138" s="14">
        <v>46203</v>
      </c>
      <c r="B1138" s="15" t="s">
        <v>1494</v>
      </c>
      <c r="C1138" s="15" t="s">
        <v>33</v>
      </c>
      <c r="D1138" s="15" t="s">
        <v>347</v>
      </c>
      <c r="E1138" s="16">
        <v>23100</v>
      </c>
      <c r="F1138" s="16">
        <v>23100</v>
      </c>
      <c r="G1138" s="15">
        <v>0</v>
      </c>
      <c r="H1138" s="15" t="s">
        <v>748</v>
      </c>
      <c r="I1138" s="23">
        <v>23100</v>
      </c>
    </row>
    <row r="1139" spans="1:9" s="17" customFormat="1" x14ac:dyDescent="0.25">
      <c r="A1139" s="14">
        <v>46203</v>
      </c>
      <c r="B1139" s="15" t="s">
        <v>1495</v>
      </c>
      <c r="C1139" s="15" t="s">
        <v>33</v>
      </c>
      <c r="D1139" s="15" t="s">
        <v>1666</v>
      </c>
      <c r="E1139" s="16">
        <v>109063.24</v>
      </c>
      <c r="F1139" s="16">
        <v>109063.24</v>
      </c>
      <c r="G1139" s="15">
        <v>0</v>
      </c>
      <c r="H1139" s="15" t="s">
        <v>748</v>
      </c>
      <c r="I1139" s="23">
        <v>109063.24</v>
      </c>
    </row>
    <row r="1140" spans="1:9" s="17" customFormat="1" x14ac:dyDescent="0.25">
      <c r="A1140" s="14">
        <v>46203</v>
      </c>
      <c r="B1140" s="15" t="s">
        <v>1496</v>
      </c>
      <c r="C1140" s="15" t="s">
        <v>1035</v>
      </c>
      <c r="D1140" s="15" t="s">
        <v>312</v>
      </c>
      <c r="E1140" s="16">
        <v>2472.1</v>
      </c>
      <c r="F1140" s="16">
        <v>2472.1</v>
      </c>
      <c r="G1140" s="15">
        <v>0</v>
      </c>
      <c r="H1140" s="15" t="s">
        <v>748</v>
      </c>
      <c r="I1140" s="23">
        <v>2472.1</v>
      </c>
    </row>
    <row r="1141" spans="1:9" s="17" customFormat="1" x14ac:dyDescent="0.25">
      <c r="A1141" s="14">
        <v>46203</v>
      </c>
      <c r="B1141" s="15" t="s">
        <v>1497</v>
      </c>
      <c r="C1141" s="15" t="s">
        <v>37</v>
      </c>
      <c r="D1141" s="15" t="s">
        <v>531</v>
      </c>
      <c r="E1141" s="16">
        <v>105518</v>
      </c>
      <c r="F1141" s="16">
        <v>105518</v>
      </c>
      <c r="G1141" s="15">
        <v>0</v>
      </c>
      <c r="H1141" s="15" t="s">
        <v>748</v>
      </c>
      <c r="I1141" s="23">
        <v>105518</v>
      </c>
    </row>
    <row r="1142" spans="1:9" s="17" customFormat="1" x14ac:dyDescent="0.25">
      <c r="A1142" s="14">
        <v>46203</v>
      </c>
      <c r="B1142" s="15" t="s">
        <v>1498</v>
      </c>
      <c r="C1142" s="15" t="s">
        <v>37</v>
      </c>
      <c r="D1142" s="15" t="s">
        <v>531</v>
      </c>
      <c r="E1142" s="16">
        <v>225161</v>
      </c>
      <c r="F1142" s="16">
        <v>225161</v>
      </c>
      <c r="G1142" s="15">
        <v>0</v>
      </c>
      <c r="H1142" s="15" t="s">
        <v>748</v>
      </c>
      <c r="I1142" s="23">
        <v>225161</v>
      </c>
    </row>
    <row r="1143" spans="1:9" s="17" customFormat="1" x14ac:dyDescent="0.25">
      <c r="A1143" s="14">
        <v>46203</v>
      </c>
      <c r="B1143" s="15" t="s">
        <v>1499</v>
      </c>
      <c r="C1143" s="15" t="s">
        <v>37</v>
      </c>
      <c r="D1143" s="15" t="s">
        <v>280</v>
      </c>
      <c r="E1143" s="16">
        <v>422678</v>
      </c>
      <c r="F1143" s="16">
        <v>422678</v>
      </c>
      <c r="G1143" s="15">
        <v>0</v>
      </c>
      <c r="H1143" s="15" t="s">
        <v>748</v>
      </c>
      <c r="I1143" s="23">
        <v>422678</v>
      </c>
    </row>
    <row r="1144" spans="1:9" s="17" customFormat="1" x14ac:dyDescent="0.25">
      <c r="A1144" s="14">
        <v>46203</v>
      </c>
      <c r="B1144" s="15" t="s">
        <v>1500</v>
      </c>
      <c r="C1144" s="15" t="s">
        <v>37</v>
      </c>
      <c r="D1144" s="15" t="s">
        <v>531</v>
      </c>
      <c r="E1144" s="16">
        <v>74168</v>
      </c>
      <c r="F1144" s="16">
        <v>74168</v>
      </c>
      <c r="G1144" s="15">
        <v>0</v>
      </c>
      <c r="H1144" s="15" t="s">
        <v>748</v>
      </c>
      <c r="I1144" s="23">
        <v>74168</v>
      </c>
    </row>
    <row r="1145" spans="1:9" s="17" customFormat="1" x14ac:dyDescent="0.25">
      <c r="A1145" s="14">
        <v>46203</v>
      </c>
      <c r="B1145" s="15" t="s">
        <v>1479</v>
      </c>
      <c r="C1145" s="15" t="s">
        <v>38</v>
      </c>
      <c r="D1145" s="15" t="s">
        <v>347</v>
      </c>
      <c r="E1145" s="16">
        <v>4500</v>
      </c>
      <c r="F1145" s="16">
        <v>4500</v>
      </c>
      <c r="G1145" s="15">
        <v>0</v>
      </c>
      <c r="H1145" s="15" t="s">
        <v>748</v>
      </c>
      <c r="I1145" s="23">
        <v>4500</v>
      </c>
    </row>
    <row r="1146" spans="1:9" s="17" customFormat="1" x14ac:dyDescent="0.25">
      <c r="A1146" s="14">
        <v>46203</v>
      </c>
      <c r="B1146" s="15" t="s">
        <v>1501</v>
      </c>
      <c r="C1146" s="15" t="s">
        <v>39</v>
      </c>
      <c r="D1146" s="15" t="s">
        <v>531</v>
      </c>
      <c r="E1146" s="16">
        <v>36262.879999999997</v>
      </c>
      <c r="F1146" s="16">
        <v>36262.879999999997</v>
      </c>
      <c r="G1146" s="15">
        <v>0</v>
      </c>
      <c r="H1146" s="15" t="s">
        <v>748</v>
      </c>
      <c r="I1146" s="23">
        <v>36262.879999999997</v>
      </c>
    </row>
    <row r="1147" spans="1:9" s="17" customFormat="1" x14ac:dyDescent="0.25">
      <c r="A1147" s="14">
        <v>46203</v>
      </c>
      <c r="B1147" s="15" t="s">
        <v>1502</v>
      </c>
      <c r="C1147" s="15" t="s">
        <v>40</v>
      </c>
      <c r="D1147" s="15" t="s">
        <v>306</v>
      </c>
      <c r="E1147" s="16">
        <v>106361.74</v>
      </c>
      <c r="F1147" s="16">
        <v>106361.74</v>
      </c>
      <c r="G1147" s="15">
        <v>0</v>
      </c>
      <c r="H1147" s="15" t="s">
        <v>748</v>
      </c>
      <c r="I1147" s="23">
        <v>106361.74</v>
      </c>
    </row>
    <row r="1148" spans="1:9" s="17" customFormat="1" x14ac:dyDescent="0.25">
      <c r="A1148" s="14">
        <v>46203</v>
      </c>
      <c r="B1148" s="15" t="s">
        <v>1503</v>
      </c>
      <c r="C1148" s="15" t="s">
        <v>43</v>
      </c>
      <c r="D1148" s="15" t="s">
        <v>321</v>
      </c>
      <c r="E1148" s="16">
        <v>77846</v>
      </c>
      <c r="F1148" s="16">
        <v>77846</v>
      </c>
      <c r="G1148" s="15">
        <v>0</v>
      </c>
      <c r="H1148" s="15" t="s">
        <v>748</v>
      </c>
      <c r="I1148" s="23">
        <v>77846</v>
      </c>
    </row>
    <row r="1149" spans="1:9" s="17" customFormat="1" x14ac:dyDescent="0.25">
      <c r="A1149" s="14">
        <v>46203</v>
      </c>
      <c r="B1149" s="15" t="s">
        <v>1504</v>
      </c>
      <c r="C1149" s="15" t="s">
        <v>43</v>
      </c>
      <c r="D1149" s="15" t="s">
        <v>321</v>
      </c>
      <c r="E1149" s="16">
        <v>76880</v>
      </c>
      <c r="F1149" s="16">
        <v>76880</v>
      </c>
      <c r="G1149" s="15">
        <v>0</v>
      </c>
      <c r="H1149" s="15" t="s">
        <v>748</v>
      </c>
      <c r="I1149" s="23">
        <v>76880</v>
      </c>
    </row>
    <row r="1150" spans="1:9" s="17" customFormat="1" x14ac:dyDescent="0.25">
      <c r="A1150" s="14">
        <v>46203</v>
      </c>
      <c r="B1150" s="15" t="s">
        <v>1505</v>
      </c>
      <c r="C1150" s="15" t="s">
        <v>1051</v>
      </c>
      <c r="D1150" s="15" t="s">
        <v>1666</v>
      </c>
      <c r="E1150" s="16">
        <v>32191.759999999998</v>
      </c>
      <c r="F1150" s="16">
        <v>32191.759999999998</v>
      </c>
      <c r="G1150" s="15">
        <v>0</v>
      </c>
      <c r="H1150" s="15" t="s">
        <v>748</v>
      </c>
      <c r="I1150" s="23">
        <v>32191.759999999998</v>
      </c>
    </row>
    <row r="1151" spans="1:9" s="17" customFormat="1" x14ac:dyDescent="0.25">
      <c r="A1151" s="14">
        <v>46203</v>
      </c>
      <c r="B1151" s="15" t="s">
        <v>1506</v>
      </c>
      <c r="C1151" s="15" t="s">
        <v>44</v>
      </c>
      <c r="D1151" s="15" t="s">
        <v>321</v>
      </c>
      <c r="E1151" s="16">
        <v>83230</v>
      </c>
      <c r="F1151" s="16">
        <v>83230</v>
      </c>
      <c r="G1151" s="15">
        <v>0</v>
      </c>
      <c r="H1151" s="15" t="s">
        <v>748</v>
      </c>
      <c r="I1151" s="23">
        <v>83230</v>
      </c>
    </row>
    <row r="1152" spans="1:9" s="17" customFormat="1" x14ac:dyDescent="0.25">
      <c r="A1152" s="14">
        <v>46203</v>
      </c>
      <c r="B1152" s="15" t="s">
        <v>1507</v>
      </c>
      <c r="C1152" s="15" t="s">
        <v>44</v>
      </c>
      <c r="D1152" s="15" t="s">
        <v>321</v>
      </c>
      <c r="E1152" s="16">
        <v>59450</v>
      </c>
      <c r="F1152" s="16">
        <v>59450</v>
      </c>
      <c r="G1152" s="15">
        <v>0</v>
      </c>
      <c r="H1152" s="15" t="s">
        <v>748</v>
      </c>
      <c r="I1152" s="23">
        <v>59450</v>
      </c>
    </row>
    <row r="1153" spans="1:9" s="17" customFormat="1" x14ac:dyDescent="0.25">
      <c r="A1153" s="14">
        <v>46203</v>
      </c>
      <c r="B1153" s="15" t="s">
        <v>1508</v>
      </c>
      <c r="C1153" s="15" t="s">
        <v>44</v>
      </c>
      <c r="D1153" s="15" t="s">
        <v>321</v>
      </c>
      <c r="E1153" s="16">
        <v>87000</v>
      </c>
      <c r="F1153" s="16">
        <v>87000</v>
      </c>
      <c r="G1153" s="15">
        <v>0</v>
      </c>
      <c r="H1153" s="15" t="s">
        <v>748</v>
      </c>
      <c r="I1153" s="23">
        <v>87000</v>
      </c>
    </row>
    <row r="1154" spans="1:9" s="17" customFormat="1" x14ac:dyDescent="0.25">
      <c r="A1154" s="14">
        <v>46203</v>
      </c>
      <c r="B1154" s="15" t="s">
        <v>1509</v>
      </c>
      <c r="C1154" s="15" t="s">
        <v>44</v>
      </c>
      <c r="D1154" s="15" t="s">
        <v>280</v>
      </c>
      <c r="E1154" s="16">
        <v>125697.60000000001</v>
      </c>
      <c r="F1154" s="16">
        <v>125697.60000000001</v>
      </c>
      <c r="G1154" s="15">
        <v>0</v>
      </c>
      <c r="H1154" s="15" t="s">
        <v>748</v>
      </c>
      <c r="I1154" s="23">
        <v>125697.60000000001</v>
      </c>
    </row>
    <row r="1155" spans="1:9" s="17" customFormat="1" x14ac:dyDescent="0.25">
      <c r="A1155" s="14">
        <v>46203</v>
      </c>
      <c r="B1155" s="15" t="s">
        <v>1510</v>
      </c>
      <c r="C1155" s="15" t="s">
        <v>44</v>
      </c>
      <c r="D1155" s="15" t="s">
        <v>531</v>
      </c>
      <c r="E1155" s="16">
        <v>116348</v>
      </c>
      <c r="F1155" s="16">
        <v>116348</v>
      </c>
      <c r="G1155" s="15">
        <v>0</v>
      </c>
      <c r="H1155" s="15" t="s">
        <v>748</v>
      </c>
      <c r="I1155" s="23">
        <v>116348</v>
      </c>
    </row>
    <row r="1156" spans="1:9" s="17" customFormat="1" x14ac:dyDescent="0.25">
      <c r="A1156" s="14">
        <v>46203</v>
      </c>
      <c r="B1156" s="15" t="s">
        <v>1511</v>
      </c>
      <c r="C1156" s="15" t="s">
        <v>45</v>
      </c>
      <c r="D1156" s="15" t="s">
        <v>306</v>
      </c>
      <c r="E1156" s="16">
        <v>11059904</v>
      </c>
      <c r="F1156" s="16">
        <v>11059904</v>
      </c>
      <c r="G1156" s="15">
        <v>0</v>
      </c>
      <c r="H1156" s="15" t="s">
        <v>748</v>
      </c>
      <c r="I1156" s="23">
        <v>11059904</v>
      </c>
    </row>
    <row r="1157" spans="1:9" s="17" customFormat="1" x14ac:dyDescent="0.25">
      <c r="A1157" s="14">
        <v>46203</v>
      </c>
      <c r="B1157" s="15" t="s">
        <v>1512</v>
      </c>
      <c r="C1157" s="15" t="s">
        <v>45</v>
      </c>
      <c r="D1157" s="15" t="s">
        <v>306</v>
      </c>
      <c r="E1157" s="16">
        <v>7434125.6399999997</v>
      </c>
      <c r="F1157" s="16">
        <v>7434125.6399999997</v>
      </c>
      <c r="G1157" s="15">
        <v>0</v>
      </c>
      <c r="H1157" s="15" t="s">
        <v>748</v>
      </c>
      <c r="I1157" s="23">
        <v>7434125.6399999997</v>
      </c>
    </row>
    <row r="1158" spans="1:9" s="17" customFormat="1" x14ac:dyDescent="0.25">
      <c r="A1158" s="14">
        <v>46203</v>
      </c>
      <c r="B1158" s="15" t="s">
        <v>1513</v>
      </c>
      <c r="C1158" s="15" t="s">
        <v>45</v>
      </c>
      <c r="D1158" s="15" t="s">
        <v>312</v>
      </c>
      <c r="E1158" s="16">
        <v>11059904</v>
      </c>
      <c r="F1158" s="16">
        <v>11059904</v>
      </c>
      <c r="G1158" s="15">
        <v>0</v>
      </c>
      <c r="H1158" s="15" t="s">
        <v>748</v>
      </c>
      <c r="I1158" s="23">
        <v>11059904</v>
      </c>
    </row>
    <row r="1159" spans="1:9" s="17" customFormat="1" x14ac:dyDescent="0.25">
      <c r="A1159" s="14">
        <v>46203</v>
      </c>
      <c r="B1159" s="15" t="s">
        <v>1514</v>
      </c>
      <c r="C1159" s="15" t="s">
        <v>45</v>
      </c>
      <c r="D1159" s="15" t="s">
        <v>312</v>
      </c>
      <c r="E1159" s="16">
        <v>635322.72</v>
      </c>
      <c r="F1159" s="16">
        <v>635322.72</v>
      </c>
      <c r="G1159" s="15">
        <v>0</v>
      </c>
      <c r="H1159" s="15" t="s">
        <v>748</v>
      </c>
      <c r="I1159" s="23">
        <v>635322.72</v>
      </c>
    </row>
    <row r="1160" spans="1:9" s="17" customFormat="1" x14ac:dyDescent="0.25">
      <c r="A1160" s="14">
        <v>46203</v>
      </c>
      <c r="B1160" s="15" t="s">
        <v>1515</v>
      </c>
      <c r="C1160" s="15" t="s">
        <v>45</v>
      </c>
      <c r="D1160" s="15" t="s">
        <v>306</v>
      </c>
      <c r="E1160" s="16">
        <v>1816638.88</v>
      </c>
      <c r="F1160" s="16">
        <v>1816638.88</v>
      </c>
      <c r="G1160" s="15">
        <v>0</v>
      </c>
      <c r="H1160" s="15" t="s">
        <v>748</v>
      </c>
      <c r="I1160" s="23">
        <v>1816638.88</v>
      </c>
    </row>
    <row r="1161" spans="1:9" s="17" customFormat="1" x14ac:dyDescent="0.25">
      <c r="A1161" s="14">
        <v>46203</v>
      </c>
      <c r="B1161" s="15" t="s">
        <v>1516</v>
      </c>
      <c r="C1161" s="15" t="s">
        <v>48</v>
      </c>
      <c r="D1161" s="15" t="s">
        <v>317</v>
      </c>
      <c r="E1161" s="16">
        <v>19952</v>
      </c>
      <c r="F1161" s="16">
        <v>19952</v>
      </c>
      <c r="G1161" s="15">
        <v>0</v>
      </c>
      <c r="H1161" s="15" t="s">
        <v>748</v>
      </c>
      <c r="I1161" s="23">
        <v>19952</v>
      </c>
    </row>
    <row r="1162" spans="1:9" s="17" customFormat="1" x14ac:dyDescent="0.25">
      <c r="A1162" s="14">
        <v>46203</v>
      </c>
      <c r="B1162" s="15" t="s">
        <v>1517</v>
      </c>
      <c r="C1162" s="15" t="s">
        <v>50</v>
      </c>
      <c r="D1162" s="15" t="s">
        <v>319</v>
      </c>
      <c r="E1162" s="16">
        <v>13761</v>
      </c>
      <c r="F1162" s="16">
        <v>13761</v>
      </c>
      <c r="G1162" s="15">
        <v>0</v>
      </c>
      <c r="H1162" s="15" t="s">
        <v>748</v>
      </c>
      <c r="I1162" s="23">
        <v>13761</v>
      </c>
    </row>
    <row r="1163" spans="1:9" s="17" customFormat="1" x14ac:dyDescent="0.25">
      <c r="A1163" s="14">
        <v>46203</v>
      </c>
      <c r="B1163" s="15" t="s">
        <v>1518</v>
      </c>
      <c r="C1163" s="15" t="s">
        <v>50</v>
      </c>
      <c r="D1163" s="15" t="s">
        <v>663</v>
      </c>
      <c r="E1163" s="16">
        <v>3791</v>
      </c>
      <c r="F1163" s="16">
        <v>3791</v>
      </c>
      <c r="G1163" s="15">
        <v>0</v>
      </c>
      <c r="H1163" s="15" t="s">
        <v>748</v>
      </c>
      <c r="I1163" s="23">
        <v>3791</v>
      </c>
    </row>
    <row r="1164" spans="1:9" s="17" customFormat="1" x14ac:dyDescent="0.25">
      <c r="A1164" s="14">
        <v>46203</v>
      </c>
      <c r="B1164" s="15" t="s">
        <v>1519</v>
      </c>
      <c r="C1164" s="15" t="s">
        <v>51</v>
      </c>
      <c r="D1164" s="15" t="s">
        <v>280</v>
      </c>
      <c r="E1164" s="16">
        <v>3000</v>
      </c>
      <c r="F1164" s="16">
        <v>3000</v>
      </c>
      <c r="G1164" s="15">
        <v>0</v>
      </c>
      <c r="H1164" s="15" t="s">
        <v>748</v>
      </c>
      <c r="I1164" s="23">
        <v>3000</v>
      </c>
    </row>
    <row r="1165" spans="1:9" s="17" customFormat="1" x14ac:dyDescent="0.25">
      <c r="A1165" s="14">
        <v>46203</v>
      </c>
      <c r="B1165" s="15" t="s">
        <v>1520</v>
      </c>
      <c r="C1165" s="15" t="s">
        <v>53</v>
      </c>
      <c r="D1165" s="15" t="s">
        <v>280</v>
      </c>
      <c r="E1165" s="16">
        <v>827999.28</v>
      </c>
      <c r="F1165" s="16">
        <v>827999.28</v>
      </c>
      <c r="G1165" s="15">
        <v>0</v>
      </c>
      <c r="H1165" s="15" t="s">
        <v>748</v>
      </c>
      <c r="I1165" s="23">
        <v>827999.28</v>
      </c>
    </row>
    <row r="1166" spans="1:9" s="17" customFormat="1" x14ac:dyDescent="0.25">
      <c r="A1166" s="14">
        <v>46203</v>
      </c>
      <c r="B1166" s="15" t="s">
        <v>1521</v>
      </c>
      <c r="C1166" s="15" t="s">
        <v>56</v>
      </c>
      <c r="D1166" s="15" t="s">
        <v>347</v>
      </c>
      <c r="E1166" s="16">
        <v>1376713</v>
      </c>
      <c r="F1166" s="16">
        <v>1376713</v>
      </c>
      <c r="G1166" s="15">
        <v>0</v>
      </c>
      <c r="H1166" s="15" t="s">
        <v>748</v>
      </c>
      <c r="I1166" s="23">
        <v>1376713</v>
      </c>
    </row>
    <row r="1167" spans="1:9" s="17" customFormat="1" x14ac:dyDescent="0.25">
      <c r="A1167" s="14">
        <v>46203</v>
      </c>
      <c r="B1167" s="15" t="s">
        <v>1522</v>
      </c>
      <c r="C1167" s="15" t="s">
        <v>57</v>
      </c>
      <c r="D1167" s="15" t="s">
        <v>280</v>
      </c>
      <c r="E1167" s="16">
        <v>16379.2</v>
      </c>
      <c r="F1167" s="16">
        <v>16379.2</v>
      </c>
      <c r="G1167" s="15">
        <v>0</v>
      </c>
      <c r="H1167" s="15" t="s">
        <v>748</v>
      </c>
      <c r="I1167" s="23">
        <v>16379.2</v>
      </c>
    </row>
    <row r="1168" spans="1:9" s="17" customFormat="1" x14ac:dyDescent="0.25">
      <c r="A1168" s="14">
        <v>46203</v>
      </c>
      <c r="B1168" s="15" t="s">
        <v>1523</v>
      </c>
      <c r="C1168" s="15" t="s">
        <v>59</v>
      </c>
      <c r="D1168" s="15" t="s">
        <v>335</v>
      </c>
      <c r="E1168" s="16">
        <v>35577</v>
      </c>
      <c r="F1168" s="16">
        <v>35577</v>
      </c>
      <c r="G1168" s="15">
        <v>0</v>
      </c>
      <c r="H1168" s="15" t="s">
        <v>748</v>
      </c>
      <c r="I1168" s="23">
        <v>35577</v>
      </c>
    </row>
    <row r="1169" spans="1:9" s="17" customFormat="1" x14ac:dyDescent="0.25">
      <c r="A1169" s="14">
        <v>46203</v>
      </c>
      <c r="B1169" s="15" t="s">
        <v>1524</v>
      </c>
      <c r="C1169" s="15" t="s">
        <v>59</v>
      </c>
      <c r="D1169" s="15" t="s">
        <v>531</v>
      </c>
      <c r="E1169" s="16">
        <v>18243</v>
      </c>
      <c r="F1169" s="16">
        <v>18243</v>
      </c>
      <c r="G1169" s="15">
        <v>0</v>
      </c>
      <c r="H1169" s="15" t="s">
        <v>748</v>
      </c>
      <c r="I1169" s="23">
        <v>18243</v>
      </c>
    </row>
    <row r="1170" spans="1:9" s="17" customFormat="1" x14ac:dyDescent="0.25">
      <c r="A1170" s="14">
        <v>46203</v>
      </c>
      <c r="B1170" s="15" t="s">
        <v>1525</v>
      </c>
      <c r="C1170" s="15" t="s">
        <v>59</v>
      </c>
      <c r="D1170" s="15" t="s">
        <v>531</v>
      </c>
      <c r="E1170" s="16">
        <v>14101</v>
      </c>
      <c r="F1170" s="16">
        <v>14101</v>
      </c>
      <c r="G1170" s="15">
        <v>0</v>
      </c>
      <c r="H1170" s="15" t="s">
        <v>748</v>
      </c>
      <c r="I1170" s="23">
        <v>14101</v>
      </c>
    </row>
    <row r="1171" spans="1:9" s="17" customFormat="1" x14ac:dyDescent="0.25">
      <c r="A1171" s="14">
        <v>46203</v>
      </c>
      <c r="B1171" s="15" t="s">
        <v>1526</v>
      </c>
      <c r="C1171" s="15" t="s">
        <v>59</v>
      </c>
      <c r="D1171" s="15" t="s">
        <v>335</v>
      </c>
      <c r="E1171" s="16">
        <v>17464.2</v>
      </c>
      <c r="F1171" s="16">
        <v>17464.2</v>
      </c>
      <c r="G1171" s="15">
        <v>0</v>
      </c>
      <c r="H1171" s="15" t="s">
        <v>748</v>
      </c>
      <c r="I1171" s="23">
        <v>17464.2</v>
      </c>
    </row>
    <row r="1172" spans="1:9" s="17" customFormat="1" x14ac:dyDescent="0.25">
      <c r="A1172" s="14">
        <v>46203</v>
      </c>
      <c r="B1172" s="15" t="s">
        <v>1527</v>
      </c>
      <c r="C1172" s="15" t="s">
        <v>59</v>
      </c>
      <c r="D1172" s="15" t="s">
        <v>531</v>
      </c>
      <c r="E1172" s="16">
        <v>4484.2</v>
      </c>
      <c r="F1172" s="16">
        <v>4484.2</v>
      </c>
      <c r="G1172" s="15">
        <v>0</v>
      </c>
      <c r="H1172" s="15" t="s">
        <v>748</v>
      </c>
      <c r="I1172" s="23">
        <v>4484.2</v>
      </c>
    </row>
    <row r="1173" spans="1:9" s="17" customFormat="1" x14ac:dyDescent="0.25">
      <c r="A1173" s="14">
        <v>46203</v>
      </c>
      <c r="B1173" s="15" t="s">
        <v>1528</v>
      </c>
      <c r="C1173" s="15" t="s">
        <v>1062</v>
      </c>
      <c r="D1173" s="15" t="s">
        <v>335</v>
      </c>
      <c r="E1173" s="16">
        <v>77987</v>
      </c>
      <c r="F1173" s="16">
        <v>77987</v>
      </c>
      <c r="G1173" s="15">
        <v>0</v>
      </c>
      <c r="H1173" s="15" t="s">
        <v>748</v>
      </c>
      <c r="I1173" s="23">
        <v>77987</v>
      </c>
    </row>
    <row r="1174" spans="1:9" s="17" customFormat="1" x14ac:dyDescent="0.25">
      <c r="A1174" s="14">
        <v>46203</v>
      </c>
      <c r="B1174" s="15" t="s">
        <v>1529</v>
      </c>
      <c r="C1174" s="15" t="s">
        <v>64</v>
      </c>
      <c r="D1174" s="15" t="s">
        <v>335</v>
      </c>
      <c r="E1174" s="16">
        <v>48720</v>
      </c>
      <c r="F1174" s="16">
        <v>48720</v>
      </c>
      <c r="G1174" s="15">
        <v>0</v>
      </c>
      <c r="H1174" s="15" t="s">
        <v>748</v>
      </c>
      <c r="I1174" s="23">
        <v>48720</v>
      </c>
    </row>
    <row r="1175" spans="1:9" s="17" customFormat="1" x14ac:dyDescent="0.25">
      <c r="A1175" s="14">
        <v>46203</v>
      </c>
      <c r="B1175" s="15" t="s">
        <v>1530</v>
      </c>
      <c r="C1175" s="15" t="s">
        <v>64</v>
      </c>
      <c r="D1175" s="15" t="s">
        <v>531</v>
      </c>
      <c r="E1175" s="16">
        <v>38641.919999999998</v>
      </c>
      <c r="F1175" s="16">
        <v>38641.919999999998</v>
      </c>
      <c r="G1175" s="15">
        <v>0</v>
      </c>
      <c r="H1175" s="15" t="s">
        <v>748</v>
      </c>
      <c r="I1175" s="23">
        <v>38641.919999999998</v>
      </c>
    </row>
    <row r="1176" spans="1:9" s="17" customFormat="1" x14ac:dyDescent="0.25">
      <c r="A1176" s="14">
        <v>46203</v>
      </c>
      <c r="B1176" s="15" t="s">
        <v>1531</v>
      </c>
      <c r="C1176" s="15" t="s">
        <v>1043</v>
      </c>
      <c r="D1176" s="15" t="s">
        <v>347</v>
      </c>
      <c r="E1176" s="16">
        <v>9801.08</v>
      </c>
      <c r="F1176" s="16">
        <v>9801.08</v>
      </c>
      <c r="G1176" s="15">
        <v>0</v>
      </c>
      <c r="H1176" s="15" t="s">
        <v>748</v>
      </c>
      <c r="I1176" s="23">
        <v>9801.08</v>
      </c>
    </row>
    <row r="1177" spans="1:9" s="17" customFormat="1" x14ac:dyDescent="0.25">
      <c r="A1177" s="14">
        <v>46203</v>
      </c>
      <c r="B1177" s="15" t="s">
        <v>1532</v>
      </c>
      <c r="C1177" s="15" t="s">
        <v>1065</v>
      </c>
      <c r="D1177" s="15" t="s">
        <v>332</v>
      </c>
      <c r="E1177" s="16">
        <v>459993.59999999998</v>
      </c>
      <c r="F1177" s="16">
        <v>459993.59999999998</v>
      </c>
      <c r="G1177" s="15">
        <v>0</v>
      </c>
      <c r="H1177" s="15" t="s">
        <v>748</v>
      </c>
      <c r="I1177" s="23">
        <v>459993.59999999998</v>
      </c>
    </row>
    <row r="1178" spans="1:9" s="17" customFormat="1" x14ac:dyDescent="0.25">
      <c r="A1178" s="14">
        <v>46203</v>
      </c>
      <c r="B1178" s="15" t="s">
        <v>1533</v>
      </c>
      <c r="C1178" s="15" t="s">
        <v>69</v>
      </c>
      <c r="D1178" s="15" t="s">
        <v>347</v>
      </c>
      <c r="E1178" s="16">
        <v>60336.57</v>
      </c>
      <c r="F1178" s="16">
        <v>60336.57</v>
      </c>
      <c r="G1178" s="15">
        <v>0</v>
      </c>
      <c r="H1178" s="15" t="s">
        <v>748</v>
      </c>
      <c r="I1178" s="23">
        <v>60336.57</v>
      </c>
    </row>
    <row r="1179" spans="1:9" s="17" customFormat="1" x14ac:dyDescent="0.25">
      <c r="A1179" s="14">
        <v>46203</v>
      </c>
      <c r="B1179" s="15" t="s">
        <v>1534</v>
      </c>
      <c r="C1179" s="15" t="s">
        <v>71</v>
      </c>
      <c r="D1179" s="15" t="s">
        <v>347</v>
      </c>
      <c r="E1179" s="16">
        <v>420623.92</v>
      </c>
      <c r="F1179" s="16">
        <v>420623.92</v>
      </c>
      <c r="G1179" s="15">
        <v>0</v>
      </c>
      <c r="H1179" s="15" t="s">
        <v>748</v>
      </c>
      <c r="I1179" s="23">
        <v>420623.92</v>
      </c>
    </row>
    <row r="1180" spans="1:9" s="17" customFormat="1" x14ac:dyDescent="0.25">
      <c r="A1180" s="14">
        <v>46203</v>
      </c>
      <c r="B1180" s="15" t="s">
        <v>1535</v>
      </c>
      <c r="C1180" s="15" t="s">
        <v>73</v>
      </c>
      <c r="D1180" s="15" t="s">
        <v>347</v>
      </c>
      <c r="E1180" s="16">
        <v>148680</v>
      </c>
      <c r="F1180" s="16">
        <v>148680</v>
      </c>
      <c r="G1180" s="15">
        <v>0</v>
      </c>
      <c r="H1180" s="15" t="s">
        <v>748</v>
      </c>
      <c r="I1180" s="23">
        <v>148680</v>
      </c>
    </row>
    <row r="1181" spans="1:9" s="17" customFormat="1" x14ac:dyDescent="0.25">
      <c r="A1181" s="14">
        <v>46203</v>
      </c>
      <c r="B1181" s="15" t="s">
        <v>1536</v>
      </c>
      <c r="C1181" s="15" t="s">
        <v>74</v>
      </c>
      <c r="D1181" s="15" t="s">
        <v>1666</v>
      </c>
      <c r="E1181" s="16">
        <v>327580.03999999998</v>
      </c>
      <c r="F1181" s="16">
        <v>327580.03999999998</v>
      </c>
      <c r="G1181" s="15">
        <v>0</v>
      </c>
      <c r="H1181" s="15" t="s">
        <v>748</v>
      </c>
      <c r="I1181" s="23">
        <v>-327580.03999999998</v>
      </c>
    </row>
    <row r="1182" spans="1:9" s="17" customFormat="1" x14ac:dyDescent="0.25">
      <c r="A1182" s="14">
        <v>46203</v>
      </c>
      <c r="B1182" s="15" t="s">
        <v>1537</v>
      </c>
      <c r="C1182" s="15" t="s">
        <v>78</v>
      </c>
      <c r="D1182" s="15" t="s">
        <v>347</v>
      </c>
      <c r="E1182" s="16">
        <v>473678.34</v>
      </c>
      <c r="F1182" s="16">
        <v>473678.34</v>
      </c>
      <c r="G1182" s="15">
        <v>0</v>
      </c>
      <c r="H1182" s="15" t="s">
        <v>748</v>
      </c>
      <c r="I1182" s="23">
        <v>473678.34</v>
      </c>
    </row>
    <row r="1183" spans="1:9" s="17" customFormat="1" x14ac:dyDescent="0.25">
      <c r="A1183" s="14">
        <v>46203</v>
      </c>
      <c r="B1183" s="15" t="s">
        <v>1538</v>
      </c>
      <c r="C1183" s="15" t="s">
        <v>80</v>
      </c>
      <c r="D1183" s="15" t="s">
        <v>319</v>
      </c>
      <c r="E1183" s="16">
        <v>49297.54</v>
      </c>
      <c r="F1183" s="16">
        <v>49297.54</v>
      </c>
      <c r="G1183" s="15">
        <v>0</v>
      </c>
      <c r="H1183" s="15" t="s">
        <v>748</v>
      </c>
      <c r="I1183" s="23">
        <v>49297.54</v>
      </c>
    </row>
    <row r="1184" spans="1:9" s="17" customFormat="1" x14ac:dyDescent="0.25">
      <c r="A1184" s="14">
        <v>46203</v>
      </c>
      <c r="B1184" s="15" t="s">
        <v>1539</v>
      </c>
      <c r="C1184" s="15" t="s">
        <v>80</v>
      </c>
      <c r="D1184" s="15" t="s">
        <v>319</v>
      </c>
      <c r="E1184" s="16">
        <v>24709.439999999999</v>
      </c>
      <c r="F1184" s="16">
        <v>24709.439999999999</v>
      </c>
      <c r="G1184" s="15">
        <v>0</v>
      </c>
      <c r="H1184" s="15" t="s">
        <v>748</v>
      </c>
      <c r="I1184" s="23">
        <v>24709.439999999999</v>
      </c>
    </row>
    <row r="1185" spans="1:9" s="17" customFormat="1" x14ac:dyDescent="0.25">
      <c r="A1185" s="14">
        <v>46203</v>
      </c>
      <c r="B1185" s="15" t="s">
        <v>1540</v>
      </c>
      <c r="C1185" s="15" t="s">
        <v>82</v>
      </c>
      <c r="D1185" s="15" t="s">
        <v>335</v>
      </c>
      <c r="E1185" s="16">
        <v>412050</v>
      </c>
      <c r="F1185" s="16">
        <v>412050</v>
      </c>
      <c r="G1185" s="15">
        <v>0</v>
      </c>
      <c r="H1185" s="15" t="s">
        <v>748</v>
      </c>
      <c r="I1185" s="23">
        <v>412050</v>
      </c>
    </row>
    <row r="1186" spans="1:9" s="17" customFormat="1" x14ac:dyDescent="0.25">
      <c r="A1186" s="14">
        <v>46203</v>
      </c>
      <c r="B1186" s="15" t="s">
        <v>1541</v>
      </c>
      <c r="C1186" s="15" t="s">
        <v>83</v>
      </c>
      <c r="D1186" s="15" t="s">
        <v>347</v>
      </c>
      <c r="E1186" s="16">
        <v>34630.199999999997</v>
      </c>
      <c r="F1186" s="16">
        <v>34630.199999999997</v>
      </c>
      <c r="G1186" s="15">
        <v>0</v>
      </c>
      <c r="H1186" s="15" t="s">
        <v>748</v>
      </c>
      <c r="I1186" s="23">
        <v>34630.199999999997</v>
      </c>
    </row>
    <row r="1187" spans="1:9" s="17" customFormat="1" x14ac:dyDescent="0.25">
      <c r="A1187" s="14">
        <v>46203</v>
      </c>
      <c r="B1187" s="15" t="s">
        <v>1542</v>
      </c>
      <c r="C1187" s="15" t="s">
        <v>1040</v>
      </c>
      <c r="D1187" s="15" t="s">
        <v>317</v>
      </c>
      <c r="E1187" s="16">
        <v>5900</v>
      </c>
      <c r="F1187" s="16">
        <v>5900</v>
      </c>
      <c r="G1187" s="15">
        <v>0</v>
      </c>
      <c r="H1187" s="15" t="s">
        <v>748</v>
      </c>
      <c r="I1187" s="23">
        <v>5900</v>
      </c>
    </row>
    <row r="1188" spans="1:9" s="17" customFormat="1" x14ac:dyDescent="0.25">
      <c r="A1188" s="14">
        <v>46203</v>
      </c>
      <c r="B1188" s="15" t="s">
        <v>1543</v>
      </c>
      <c r="C1188" s="15" t="s">
        <v>85</v>
      </c>
      <c r="D1188" s="15" t="s">
        <v>347</v>
      </c>
      <c r="E1188" s="16">
        <v>5705</v>
      </c>
      <c r="F1188" s="16">
        <v>5705</v>
      </c>
      <c r="G1188" s="15">
        <v>0</v>
      </c>
      <c r="H1188" s="15" t="s">
        <v>748</v>
      </c>
      <c r="I1188" s="23">
        <v>5705</v>
      </c>
    </row>
    <row r="1189" spans="1:9" s="17" customFormat="1" x14ac:dyDescent="0.25">
      <c r="A1189" s="14">
        <v>46203</v>
      </c>
      <c r="B1189" s="15" t="s">
        <v>1544</v>
      </c>
      <c r="C1189" s="15" t="s">
        <v>1045</v>
      </c>
      <c r="D1189" s="15" t="s">
        <v>317</v>
      </c>
      <c r="E1189" s="16">
        <v>6873</v>
      </c>
      <c r="F1189" s="16">
        <v>6873</v>
      </c>
      <c r="G1189" s="15">
        <v>0</v>
      </c>
      <c r="H1189" s="15" t="s">
        <v>748</v>
      </c>
      <c r="I1189" s="23">
        <v>6873</v>
      </c>
    </row>
    <row r="1190" spans="1:9" s="17" customFormat="1" x14ac:dyDescent="0.25">
      <c r="A1190" s="14">
        <v>46203</v>
      </c>
      <c r="B1190" s="15" t="s">
        <v>1545</v>
      </c>
      <c r="C1190" s="15" t="s">
        <v>1045</v>
      </c>
      <c r="D1190" s="15" t="s">
        <v>317</v>
      </c>
      <c r="E1190" s="16">
        <v>817</v>
      </c>
      <c r="F1190" s="16">
        <v>817</v>
      </c>
      <c r="G1190" s="15">
        <v>0</v>
      </c>
      <c r="H1190" s="15" t="s">
        <v>748</v>
      </c>
      <c r="I1190" s="23">
        <v>817</v>
      </c>
    </row>
    <row r="1191" spans="1:9" s="17" customFormat="1" x14ac:dyDescent="0.25">
      <c r="A1191" s="14">
        <v>46203</v>
      </c>
      <c r="B1191" s="15" t="s">
        <v>1546</v>
      </c>
      <c r="C1191" s="15" t="s">
        <v>1045</v>
      </c>
      <c r="D1191" s="15" t="s">
        <v>317</v>
      </c>
      <c r="E1191" s="16">
        <v>2877</v>
      </c>
      <c r="F1191" s="16">
        <v>2877</v>
      </c>
      <c r="G1191" s="15">
        <v>0</v>
      </c>
      <c r="H1191" s="15" t="s">
        <v>748</v>
      </c>
      <c r="I1191" s="23">
        <v>2877</v>
      </c>
    </row>
    <row r="1192" spans="1:9" s="17" customFormat="1" x14ac:dyDescent="0.25">
      <c r="A1192" s="14">
        <v>46203</v>
      </c>
      <c r="B1192" s="15" t="s">
        <v>1547</v>
      </c>
      <c r="C1192" s="15" t="s">
        <v>86</v>
      </c>
      <c r="D1192" s="15" t="s">
        <v>332</v>
      </c>
      <c r="E1192" s="16">
        <v>104204.86</v>
      </c>
      <c r="F1192" s="16">
        <v>104204.86</v>
      </c>
      <c r="G1192" s="15">
        <v>0</v>
      </c>
      <c r="H1192" s="15" t="s">
        <v>748</v>
      </c>
      <c r="I1192" s="23">
        <v>104204.86</v>
      </c>
    </row>
    <row r="1193" spans="1:9" s="17" customFormat="1" x14ac:dyDescent="0.25">
      <c r="A1193" s="14">
        <v>46203</v>
      </c>
      <c r="B1193" s="15" t="s">
        <v>1548</v>
      </c>
      <c r="C1193" s="15" t="s">
        <v>90</v>
      </c>
      <c r="D1193" s="15" t="s">
        <v>306</v>
      </c>
      <c r="E1193" s="16">
        <v>5782</v>
      </c>
      <c r="F1193" s="16">
        <v>5782</v>
      </c>
      <c r="G1193" s="15">
        <v>0</v>
      </c>
      <c r="H1193" s="15" t="s">
        <v>748</v>
      </c>
      <c r="I1193" s="23">
        <v>5782</v>
      </c>
    </row>
    <row r="1194" spans="1:9" s="17" customFormat="1" x14ac:dyDescent="0.25">
      <c r="A1194" s="14">
        <v>46203</v>
      </c>
      <c r="B1194" s="15" t="s">
        <v>1549</v>
      </c>
      <c r="C1194" s="15" t="s">
        <v>92</v>
      </c>
      <c r="D1194" s="15" t="s">
        <v>531</v>
      </c>
      <c r="E1194" s="16">
        <v>18000</v>
      </c>
      <c r="F1194" s="16">
        <v>18000</v>
      </c>
      <c r="G1194" s="15">
        <v>0</v>
      </c>
      <c r="H1194" s="15" t="s">
        <v>748</v>
      </c>
      <c r="I1194" s="23">
        <v>18000</v>
      </c>
    </row>
    <row r="1195" spans="1:9" s="17" customFormat="1" x14ac:dyDescent="0.25">
      <c r="A1195" s="14">
        <v>46203</v>
      </c>
      <c r="B1195" s="15" t="s">
        <v>1550</v>
      </c>
      <c r="C1195" s="15" t="s">
        <v>93</v>
      </c>
      <c r="D1195" s="15" t="s">
        <v>531</v>
      </c>
      <c r="E1195" s="16">
        <v>37000</v>
      </c>
      <c r="F1195" s="16">
        <v>37000</v>
      </c>
      <c r="G1195" s="15">
        <v>0</v>
      </c>
      <c r="H1195" s="15" t="s">
        <v>748</v>
      </c>
      <c r="I1195" s="23">
        <v>37000</v>
      </c>
    </row>
    <row r="1196" spans="1:9" s="17" customFormat="1" x14ac:dyDescent="0.25">
      <c r="A1196" s="14">
        <v>46203</v>
      </c>
      <c r="B1196" s="15" t="s">
        <v>922</v>
      </c>
      <c r="C1196" s="15" t="s">
        <v>99</v>
      </c>
      <c r="D1196" s="15" t="s">
        <v>232</v>
      </c>
      <c r="E1196" s="16">
        <v>52803.65</v>
      </c>
      <c r="F1196" s="16">
        <v>52803.65</v>
      </c>
      <c r="G1196" s="15">
        <v>0</v>
      </c>
      <c r="H1196" s="15" t="s">
        <v>748</v>
      </c>
      <c r="I1196" s="23">
        <v>52803.65</v>
      </c>
    </row>
    <row r="1197" spans="1:9" s="17" customFormat="1" x14ac:dyDescent="0.25">
      <c r="A1197" s="14">
        <v>46203</v>
      </c>
      <c r="B1197" s="15" t="s">
        <v>794</v>
      </c>
      <c r="C1197" s="15" t="s">
        <v>99</v>
      </c>
      <c r="D1197" s="15" t="s">
        <v>232</v>
      </c>
      <c r="E1197" s="16">
        <v>72500</v>
      </c>
      <c r="F1197" s="16">
        <v>72500</v>
      </c>
      <c r="G1197" s="15">
        <v>0</v>
      </c>
      <c r="H1197" s="15" t="s">
        <v>748</v>
      </c>
      <c r="I1197" s="23">
        <v>72500</v>
      </c>
    </row>
    <row r="1198" spans="1:9" s="17" customFormat="1" x14ac:dyDescent="0.25">
      <c r="A1198" s="14">
        <v>46203</v>
      </c>
      <c r="B1198" s="15" t="s">
        <v>1551</v>
      </c>
      <c r="C1198" s="15" t="s">
        <v>100</v>
      </c>
      <c r="D1198" s="15" t="s">
        <v>280</v>
      </c>
      <c r="E1198" s="16">
        <v>48599.4</v>
      </c>
      <c r="F1198" s="16">
        <v>48599.4</v>
      </c>
      <c r="G1198" s="15">
        <v>0</v>
      </c>
      <c r="H1198" s="15" t="s">
        <v>748</v>
      </c>
      <c r="I1198" s="23">
        <v>48599.4</v>
      </c>
    </row>
    <row r="1199" spans="1:9" s="17" customFormat="1" x14ac:dyDescent="0.25">
      <c r="A1199" s="14">
        <v>46203</v>
      </c>
      <c r="B1199" s="15" t="s">
        <v>1552</v>
      </c>
      <c r="C1199" s="15" t="s">
        <v>101</v>
      </c>
      <c r="D1199" s="15" t="s">
        <v>280</v>
      </c>
      <c r="E1199" s="16">
        <v>97350</v>
      </c>
      <c r="F1199" s="16">
        <v>97350</v>
      </c>
      <c r="G1199" s="15">
        <v>0</v>
      </c>
      <c r="H1199" s="15" t="s">
        <v>748</v>
      </c>
      <c r="I1199" s="23">
        <v>97350</v>
      </c>
    </row>
    <row r="1200" spans="1:9" s="17" customFormat="1" x14ac:dyDescent="0.25">
      <c r="A1200" s="14">
        <v>46203</v>
      </c>
      <c r="B1200" s="15" t="s">
        <v>1553</v>
      </c>
      <c r="C1200" s="15" t="s">
        <v>101</v>
      </c>
      <c r="D1200" s="15" t="s">
        <v>280</v>
      </c>
      <c r="E1200" s="16">
        <v>177000</v>
      </c>
      <c r="F1200" s="16">
        <v>177000</v>
      </c>
      <c r="G1200" s="15">
        <v>0</v>
      </c>
      <c r="H1200" s="15" t="s">
        <v>748</v>
      </c>
      <c r="I1200" s="23">
        <v>177000</v>
      </c>
    </row>
    <row r="1201" spans="1:9" s="17" customFormat="1" x14ac:dyDescent="0.25">
      <c r="A1201" s="14">
        <v>46203</v>
      </c>
      <c r="B1201" s="15" t="s">
        <v>1554</v>
      </c>
      <c r="C1201" s="15" t="s">
        <v>103</v>
      </c>
      <c r="D1201" s="15" t="s">
        <v>531</v>
      </c>
      <c r="E1201" s="16">
        <v>9396</v>
      </c>
      <c r="F1201" s="16">
        <v>9396</v>
      </c>
      <c r="G1201" s="15">
        <v>0</v>
      </c>
      <c r="H1201" s="15" t="s">
        <v>748</v>
      </c>
      <c r="I1201" s="23">
        <v>9396</v>
      </c>
    </row>
    <row r="1202" spans="1:9" s="17" customFormat="1" x14ac:dyDescent="0.25">
      <c r="A1202" s="14">
        <v>46203</v>
      </c>
      <c r="B1202" s="15" t="s">
        <v>1555</v>
      </c>
      <c r="C1202" s="15" t="s">
        <v>104</v>
      </c>
      <c r="D1202" s="15" t="s">
        <v>335</v>
      </c>
      <c r="E1202" s="16">
        <v>1800161.34</v>
      </c>
      <c r="F1202" s="16">
        <v>1800161.34</v>
      </c>
      <c r="G1202" s="15">
        <v>0</v>
      </c>
      <c r="H1202" s="15" t="s">
        <v>748</v>
      </c>
      <c r="I1202" s="23">
        <v>1800161.34</v>
      </c>
    </row>
    <row r="1203" spans="1:9" s="17" customFormat="1" x14ac:dyDescent="0.25">
      <c r="A1203" s="14">
        <v>46203</v>
      </c>
      <c r="B1203" s="15" t="s">
        <v>1556</v>
      </c>
      <c r="C1203" s="15" t="s">
        <v>105</v>
      </c>
      <c r="D1203" s="15" t="s">
        <v>335</v>
      </c>
      <c r="E1203" s="16">
        <v>352640</v>
      </c>
      <c r="F1203" s="16">
        <v>352640</v>
      </c>
      <c r="G1203" s="15">
        <v>0</v>
      </c>
      <c r="H1203" s="15" t="s">
        <v>748</v>
      </c>
      <c r="I1203" s="23">
        <v>352640</v>
      </c>
    </row>
    <row r="1204" spans="1:9" s="17" customFormat="1" x14ac:dyDescent="0.25">
      <c r="A1204" s="14">
        <v>46203</v>
      </c>
      <c r="B1204" s="15" t="s">
        <v>1557</v>
      </c>
      <c r="C1204" s="15" t="s">
        <v>106</v>
      </c>
      <c r="D1204" s="15" t="s">
        <v>347</v>
      </c>
      <c r="E1204" s="16">
        <v>26550</v>
      </c>
      <c r="F1204" s="16">
        <v>26550</v>
      </c>
      <c r="G1204" s="15">
        <v>0</v>
      </c>
      <c r="H1204" s="15" t="s">
        <v>748</v>
      </c>
      <c r="I1204" s="23">
        <v>26550</v>
      </c>
    </row>
    <row r="1205" spans="1:9" s="17" customFormat="1" x14ac:dyDescent="0.25">
      <c r="A1205" s="14">
        <v>46203</v>
      </c>
      <c r="B1205" s="15" t="s">
        <v>1558</v>
      </c>
      <c r="C1205" s="15" t="s">
        <v>1039</v>
      </c>
      <c r="D1205" s="15" t="s">
        <v>317</v>
      </c>
      <c r="E1205" s="16">
        <v>5757</v>
      </c>
      <c r="F1205" s="16">
        <v>5757</v>
      </c>
      <c r="G1205" s="15">
        <v>0</v>
      </c>
      <c r="H1205" s="15" t="s">
        <v>748</v>
      </c>
      <c r="I1205" s="23">
        <v>5757</v>
      </c>
    </row>
    <row r="1206" spans="1:9" s="17" customFormat="1" x14ac:dyDescent="0.25">
      <c r="A1206" s="14">
        <v>46203</v>
      </c>
      <c r="B1206" s="15" t="s">
        <v>1559</v>
      </c>
      <c r="C1206" s="15" t="s">
        <v>110</v>
      </c>
      <c r="D1206" s="15" t="s">
        <v>280</v>
      </c>
      <c r="E1206" s="16">
        <v>669710</v>
      </c>
      <c r="F1206" s="16">
        <v>669710</v>
      </c>
      <c r="G1206" s="15">
        <v>0</v>
      </c>
      <c r="H1206" s="15" t="s">
        <v>748</v>
      </c>
      <c r="I1206" s="23">
        <v>669710</v>
      </c>
    </row>
    <row r="1207" spans="1:9" s="17" customFormat="1" x14ac:dyDescent="0.25">
      <c r="A1207" s="14">
        <v>46203</v>
      </c>
      <c r="B1207" s="15" t="s">
        <v>1560</v>
      </c>
      <c r="C1207" s="15" t="s">
        <v>112</v>
      </c>
      <c r="D1207" s="15" t="s">
        <v>280</v>
      </c>
      <c r="E1207" s="16">
        <v>87075.24</v>
      </c>
      <c r="F1207" s="16">
        <v>87075.24</v>
      </c>
      <c r="G1207" s="15">
        <v>0</v>
      </c>
      <c r="H1207" s="15" t="s">
        <v>748</v>
      </c>
      <c r="I1207" s="23">
        <v>87075.24</v>
      </c>
    </row>
    <row r="1208" spans="1:9" s="17" customFormat="1" x14ac:dyDescent="0.25">
      <c r="A1208" s="14">
        <v>46203</v>
      </c>
      <c r="B1208" s="15" t="s">
        <v>1561</v>
      </c>
      <c r="C1208" s="15" t="s">
        <v>112</v>
      </c>
      <c r="D1208" s="15" t="s">
        <v>280</v>
      </c>
      <c r="E1208" s="16">
        <v>91547.82</v>
      </c>
      <c r="F1208" s="16">
        <v>91547.82</v>
      </c>
      <c r="G1208" s="15">
        <v>0</v>
      </c>
      <c r="H1208" s="15" t="s">
        <v>748</v>
      </c>
      <c r="I1208" s="23">
        <v>91547.82</v>
      </c>
    </row>
    <row r="1209" spans="1:9" s="17" customFormat="1" x14ac:dyDescent="0.25">
      <c r="A1209" s="14">
        <v>46203</v>
      </c>
      <c r="B1209" s="15" t="s">
        <v>1551</v>
      </c>
      <c r="C1209" s="15" t="s">
        <v>112</v>
      </c>
      <c r="D1209" s="15" t="s">
        <v>280</v>
      </c>
      <c r="E1209" s="16">
        <v>86659.86</v>
      </c>
      <c r="F1209" s="16">
        <v>86659.86</v>
      </c>
      <c r="G1209" s="15">
        <v>0</v>
      </c>
      <c r="H1209" s="15" t="s">
        <v>748</v>
      </c>
      <c r="I1209" s="23">
        <v>86659.86</v>
      </c>
    </row>
    <row r="1210" spans="1:9" s="17" customFormat="1" x14ac:dyDescent="0.25">
      <c r="A1210" s="14">
        <v>46203</v>
      </c>
      <c r="B1210" s="15" t="s">
        <v>1562</v>
      </c>
      <c r="C1210" s="15" t="s">
        <v>112</v>
      </c>
      <c r="D1210" s="15" t="s">
        <v>306</v>
      </c>
      <c r="E1210" s="16">
        <v>29615.21</v>
      </c>
      <c r="F1210" s="16">
        <v>29615.21</v>
      </c>
      <c r="G1210" s="15">
        <v>0</v>
      </c>
      <c r="H1210" s="15" t="s">
        <v>748</v>
      </c>
      <c r="I1210" s="23">
        <v>29615.21</v>
      </c>
    </row>
    <row r="1211" spans="1:9" s="17" customFormat="1" x14ac:dyDescent="0.25">
      <c r="A1211" s="14">
        <v>46203</v>
      </c>
      <c r="B1211" s="15" t="s">
        <v>1563</v>
      </c>
      <c r="C1211" s="15" t="s">
        <v>112</v>
      </c>
      <c r="D1211" s="15" t="s">
        <v>280</v>
      </c>
      <c r="E1211" s="16">
        <v>7725</v>
      </c>
      <c r="F1211" s="16">
        <v>7725</v>
      </c>
      <c r="G1211" s="15">
        <v>0</v>
      </c>
      <c r="H1211" s="15" t="s">
        <v>748</v>
      </c>
      <c r="I1211" s="23">
        <v>7725</v>
      </c>
    </row>
    <row r="1212" spans="1:9" s="17" customFormat="1" x14ac:dyDescent="0.25">
      <c r="A1212" s="14">
        <v>46203</v>
      </c>
      <c r="B1212" s="15" t="s">
        <v>1564</v>
      </c>
      <c r="C1212" s="15" t="s">
        <v>112</v>
      </c>
      <c r="D1212" s="15" t="s">
        <v>280</v>
      </c>
      <c r="E1212" s="16">
        <v>7107</v>
      </c>
      <c r="F1212" s="16">
        <v>7107</v>
      </c>
      <c r="G1212" s="15">
        <v>0</v>
      </c>
      <c r="H1212" s="15" t="s">
        <v>748</v>
      </c>
      <c r="I1212" s="23">
        <v>7107</v>
      </c>
    </row>
    <row r="1213" spans="1:9" s="17" customFormat="1" x14ac:dyDescent="0.25">
      <c r="A1213" s="14">
        <v>46203</v>
      </c>
      <c r="B1213" s="15" t="s">
        <v>1565</v>
      </c>
      <c r="C1213" s="15" t="s">
        <v>112</v>
      </c>
      <c r="D1213" s="15" t="s">
        <v>280</v>
      </c>
      <c r="E1213" s="16">
        <v>54487</v>
      </c>
      <c r="F1213" s="16">
        <v>54487</v>
      </c>
      <c r="G1213" s="15">
        <v>0</v>
      </c>
      <c r="H1213" s="15" t="s">
        <v>748</v>
      </c>
      <c r="I1213" s="23">
        <v>54487</v>
      </c>
    </row>
    <row r="1214" spans="1:9" s="17" customFormat="1" x14ac:dyDescent="0.25">
      <c r="A1214" s="14">
        <v>46203</v>
      </c>
      <c r="B1214" s="15" t="s">
        <v>1566</v>
      </c>
      <c r="C1214" s="15" t="s">
        <v>118</v>
      </c>
      <c r="D1214" s="15" t="s">
        <v>306</v>
      </c>
      <c r="E1214" s="16">
        <v>21729</v>
      </c>
      <c r="F1214" s="16">
        <v>21729</v>
      </c>
      <c r="G1214" s="15">
        <v>0</v>
      </c>
      <c r="H1214" s="15" t="s">
        <v>748</v>
      </c>
      <c r="I1214" s="23">
        <v>21729</v>
      </c>
    </row>
    <row r="1215" spans="1:9" s="17" customFormat="1" x14ac:dyDescent="0.25">
      <c r="A1215" s="14">
        <v>46203</v>
      </c>
      <c r="B1215" s="15" t="s">
        <v>1567</v>
      </c>
      <c r="C1215" s="15" t="s">
        <v>119</v>
      </c>
      <c r="D1215" s="15" t="s">
        <v>319</v>
      </c>
      <c r="E1215" s="16">
        <v>27225</v>
      </c>
      <c r="F1215" s="16">
        <v>27225</v>
      </c>
      <c r="G1215" s="15">
        <v>0</v>
      </c>
      <c r="H1215" s="15" t="s">
        <v>748</v>
      </c>
      <c r="I1215" s="23">
        <v>27225</v>
      </c>
    </row>
    <row r="1216" spans="1:9" s="17" customFormat="1" x14ac:dyDescent="0.25">
      <c r="A1216" s="14">
        <v>46203</v>
      </c>
      <c r="B1216" s="15" t="s">
        <v>1568</v>
      </c>
      <c r="C1216" s="15" t="s">
        <v>120</v>
      </c>
      <c r="D1216" s="15" t="s">
        <v>232</v>
      </c>
      <c r="E1216" s="16">
        <v>138060</v>
      </c>
      <c r="F1216" s="16">
        <v>138060</v>
      </c>
      <c r="G1216" s="15">
        <v>0</v>
      </c>
      <c r="H1216" s="15" t="s">
        <v>748</v>
      </c>
      <c r="I1216" s="23">
        <v>138060</v>
      </c>
    </row>
    <row r="1217" spans="1:9" s="17" customFormat="1" x14ac:dyDescent="0.25">
      <c r="A1217" s="14">
        <v>46203</v>
      </c>
      <c r="B1217" s="15" t="s">
        <v>1569</v>
      </c>
      <c r="C1217" s="15" t="s">
        <v>124</v>
      </c>
      <c r="D1217" s="15" t="s">
        <v>335</v>
      </c>
      <c r="E1217" s="16">
        <v>10958</v>
      </c>
      <c r="F1217" s="16">
        <v>10958</v>
      </c>
      <c r="G1217" s="15">
        <v>0</v>
      </c>
      <c r="H1217" s="15" t="s">
        <v>748</v>
      </c>
      <c r="I1217" s="23">
        <v>10958</v>
      </c>
    </row>
    <row r="1218" spans="1:9" s="17" customFormat="1" x14ac:dyDescent="0.25">
      <c r="A1218" s="14">
        <v>46203</v>
      </c>
      <c r="B1218" s="15" t="s">
        <v>1570</v>
      </c>
      <c r="C1218" s="15" t="s">
        <v>127</v>
      </c>
      <c r="D1218" s="15" t="s">
        <v>347</v>
      </c>
      <c r="E1218" s="16">
        <v>9114</v>
      </c>
      <c r="F1218" s="16">
        <v>9114</v>
      </c>
      <c r="G1218" s="15">
        <v>0</v>
      </c>
      <c r="H1218" s="15" t="s">
        <v>748</v>
      </c>
      <c r="I1218" s="23">
        <v>9114</v>
      </c>
    </row>
    <row r="1219" spans="1:9" s="17" customFormat="1" x14ac:dyDescent="0.25">
      <c r="A1219" s="14">
        <v>46203</v>
      </c>
      <c r="B1219" s="15" t="s">
        <v>1571</v>
      </c>
      <c r="C1219" s="15" t="s">
        <v>128</v>
      </c>
      <c r="D1219" s="15" t="s">
        <v>280</v>
      </c>
      <c r="E1219" s="16">
        <v>61272.68</v>
      </c>
      <c r="F1219" s="16">
        <v>61272.68</v>
      </c>
      <c r="G1219" s="15">
        <v>0</v>
      </c>
      <c r="H1219" s="15" t="s">
        <v>748</v>
      </c>
      <c r="I1219" s="23">
        <v>61272.68</v>
      </c>
    </row>
    <row r="1220" spans="1:9" s="17" customFormat="1" x14ac:dyDescent="0.25">
      <c r="A1220" s="14">
        <v>46203</v>
      </c>
      <c r="B1220" s="15" t="s">
        <v>1572</v>
      </c>
      <c r="C1220" s="15" t="s">
        <v>128</v>
      </c>
      <c r="D1220" s="15" t="s">
        <v>280</v>
      </c>
      <c r="E1220" s="16">
        <v>51296.22</v>
      </c>
      <c r="F1220" s="16">
        <v>51296.22</v>
      </c>
      <c r="G1220" s="15">
        <v>0</v>
      </c>
      <c r="H1220" s="15" t="s">
        <v>748</v>
      </c>
      <c r="I1220" s="23">
        <v>51296.22</v>
      </c>
    </row>
    <row r="1221" spans="1:9" s="17" customFormat="1" x14ac:dyDescent="0.25">
      <c r="A1221" s="14">
        <v>46203</v>
      </c>
      <c r="B1221" s="15" t="s">
        <v>948</v>
      </c>
      <c r="C1221" s="15" t="s">
        <v>129</v>
      </c>
      <c r="D1221" s="15" t="s">
        <v>232</v>
      </c>
      <c r="E1221" s="16">
        <v>1908662</v>
      </c>
      <c r="F1221" s="16">
        <v>1908662</v>
      </c>
      <c r="G1221" s="15">
        <v>0</v>
      </c>
      <c r="H1221" s="15" t="s">
        <v>748</v>
      </c>
      <c r="I1221" s="23">
        <v>1908662</v>
      </c>
    </row>
    <row r="1222" spans="1:9" s="17" customFormat="1" x14ac:dyDescent="0.25">
      <c r="A1222" s="14">
        <v>46203</v>
      </c>
      <c r="B1222" s="15" t="s">
        <v>1573</v>
      </c>
      <c r="C1222" s="15" t="s">
        <v>130</v>
      </c>
      <c r="D1222" s="15" t="s">
        <v>280</v>
      </c>
      <c r="E1222" s="16">
        <v>24592</v>
      </c>
      <c r="F1222" s="16">
        <v>24592</v>
      </c>
      <c r="G1222" s="15">
        <v>0</v>
      </c>
      <c r="H1222" s="15" t="s">
        <v>748</v>
      </c>
      <c r="I1222" s="23">
        <v>24592</v>
      </c>
    </row>
    <row r="1223" spans="1:9" s="17" customFormat="1" x14ac:dyDescent="0.25">
      <c r="A1223" s="14">
        <v>46203</v>
      </c>
      <c r="B1223" s="15" t="s">
        <v>1574</v>
      </c>
      <c r="C1223" s="15" t="s">
        <v>1041</v>
      </c>
      <c r="D1223" s="15" t="s">
        <v>280</v>
      </c>
      <c r="E1223" s="16">
        <v>8232</v>
      </c>
      <c r="F1223" s="16">
        <v>8232</v>
      </c>
      <c r="G1223" s="15">
        <v>0</v>
      </c>
      <c r="H1223" s="15" t="s">
        <v>748</v>
      </c>
      <c r="I1223" s="23">
        <v>8232</v>
      </c>
    </row>
    <row r="1224" spans="1:9" s="17" customFormat="1" x14ac:dyDescent="0.25">
      <c r="A1224" s="14">
        <v>46203</v>
      </c>
      <c r="B1224" s="15" t="s">
        <v>1575</v>
      </c>
      <c r="C1224" s="15" t="s">
        <v>1052</v>
      </c>
      <c r="D1224" s="15" t="s">
        <v>306</v>
      </c>
      <c r="E1224" s="16">
        <v>10000</v>
      </c>
      <c r="F1224" s="16">
        <v>10000</v>
      </c>
      <c r="G1224" s="15">
        <v>0</v>
      </c>
      <c r="H1224" s="15" t="s">
        <v>748</v>
      </c>
      <c r="I1224" s="23">
        <v>10000</v>
      </c>
    </row>
    <row r="1225" spans="1:9" s="17" customFormat="1" x14ac:dyDescent="0.25">
      <c r="A1225" s="14">
        <v>46203</v>
      </c>
      <c r="B1225" s="15" t="s">
        <v>1576</v>
      </c>
      <c r="C1225" s="15" t="s">
        <v>1052</v>
      </c>
      <c r="D1225" s="15" t="s">
        <v>306</v>
      </c>
      <c r="E1225" s="16">
        <v>23829</v>
      </c>
      <c r="F1225" s="16">
        <v>23829</v>
      </c>
      <c r="G1225" s="15">
        <v>0</v>
      </c>
      <c r="H1225" s="15" t="s">
        <v>748</v>
      </c>
      <c r="I1225" s="23">
        <v>23829</v>
      </c>
    </row>
    <row r="1226" spans="1:9" s="17" customFormat="1" x14ac:dyDescent="0.25">
      <c r="A1226" s="14">
        <v>46203</v>
      </c>
      <c r="B1226" s="15" t="s">
        <v>1577</v>
      </c>
      <c r="C1226" s="15" t="s">
        <v>134</v>
      </c>
      <c r="D1226" s="15" t="s">
        <v>531</v>
      </c>
      <c r="E1226" s="16">
        <v>18000</v>
      </c>
      <c r="F1226" s="16">
        <v>18000</v>
      </c>
      <c r="G1226" s="15">
        <v>0</v>
      </c>
      <c r="H1226" s="15" t="s">
        <v>748</v>
      </c>
      <c r="I1226" s="23">
        <v>18000</v>
      </c>
    </row>
    <row r="1227" spans="1:9" s="17" customFormat="1" x14ac:dyDescent="0.25">
      <c r="A1227" s="14">
        <v>46203</v>
      </c>
      <c r="B1227" s="15" t="s">
        <v>1578</v>
      </c>
      <c r="C1227" s="15" t="s">
        <v>135</v>
      </c>
      <c r="D1227" s="15" t="s">
        <v>531</v>
      </c>
      <c r="E1227" s="16">
        <v>35600</v>
      </c>
      <c r="F1227" s="16">
        <v>35600</v>
      </c>
      <c r="G1227" s="15">
        <v>0</v>
      </c>
      <c r="H1227" s="15" t="s">
        <v>748</v>
      </c>
      <c r="I1227" s="23">
        <v>35600</v>
      </c>
    </row>
    <row r="1228" spans="1:9" s="17" customFormat="1" x14ac:dyDescent="0.25">
      <c r="A1228" s="14">
        <v>46203</v>
      </c>
      <c r="B1228" s="15" t="s">
        <v>1579</v>
      </c>
      <c r="C1228" s="15" t="s">
        <v>138</v>
      </c>
      <c r="D1228" s="15" t="s">
        <v>280</v>
      </c>
      <c r="E1228" s="16">
        <v>4851</v>
      </c>
      <c r="F1228" s="16">
        <v>4851</v>
      </c>
      <c r="G1228" s="15">
        <v>0</v>
      </c>
      <c r="H1228" s="15" t="s">
        <v>748</v>
      </c>
      <c r="I1228" s="23">
        <v>4851</v>
      </c>
    </row>
    <row r="1229" spans="1:9" s="17" customFormat="1" x14ac:dyDescent="0.25">
      <c r="A1229" s="14">
        <v>46203</v>
      </c>
      <c r="B1229" s="15" t="s">
        <v>1580</v>
      </c>
      <c r="C1229" s="15" t="s">
        <v>1046</v>
      </c>
      <c r="D1229" s="15" t="s">
        <v>317</v>
      </c>
      <c r="E1229" s="16">
        <v>600</v>
      </c>
      <c r="F1229" s="16">
        <v>600</v>
      </c>
      <c r="G1229" s="15">
        <v>0</v>
      </c>
      <c r="H1229" s="15" t="s">
        <v>748</v>
      </c>
      <c r="I1229" s="23">
        <v>600</v>
      </c>
    </row>
    <row r="1230" spans="1:9" s="17" customFormat="1" x14ac:dyDescent="0.25">
      <c r="A1230" s="14">
        <v>46203</v>
      </c>
      <c r="B1230" s="15" t="s">
        <v>1581</v>
      </c>
      <c r="C1230" s="15" t="s">
        <v>1046</v>
      </c>
      <c r="D1230" s="15" t="s">
        <v>317</v>
      </c>
      <c r="E1230" s="16">
        <v>10800</v>
      </c>
      <c r="F1230" s="16">
        <v>10800</v>
      </c>
      <c r="G1230" s="15">
        <v>0</v>
      </c>
      <c r="H1230" s="15" t="s">
        <v>748</v>
      </c>
      <c r="I1230" s="23">
        <v>10800</v>
      </c>
    </row>
    <row r="1231" spans="1:9" s="17" customFormat="1" x14ac:dyDescent="0.25">
      <c r="A1231" s="14">
        <v>46203</v>
      </c>
      <c r="B1231" s="15" t="s">
        <v>1582</v>
      </c>
      <c r="C1231" s="15" t="s">
        <v>146</v>
      </c>
      <c r="D1231" s="15" t="s">
        <v>317</v>
      </c>
      <c r="E1231" s="16">
        <v>304500</v>
      </c>
      <c r="F1231" s="16">
        <v>304500</v>
      </c>
      <c r="G1231" s="15">
        <v>0</v>
      </c>
      <c r="H1231" s="15" t="s">
        <v>748</v>
      </c>
      <c r="I1231" s="23">
        <v>304500</v>
      </c>
    </row>
    <row r="1232" spans="1:9" s="17" customFormat="1" x14ac:dyDescent="0.25">
      <c r="A1232" s="14">
        <v>46203</v>
      </c>
      <c r="B1232" s="15" t="s">
        <v>1583</v>
      </c>
      <c r="C1232" s="15" t="s">
        <v>147</v>
      </c>
      <c r="D1232" s="15" t="s">
        <v>335</v>
      </c>
      <c r="E1232" s="16">
        <v>470229.6</v>
      </c>
      <c r="F1232" s="16">
        <v>470229.6</v>
      </c>
      <c r="G1232" s="15">
        <v>0</v>
      </c>
      <c r="H1232" s="15" t="s">
        <v>748</v>
      </c>
      <c r="I1232" s="23">
        <v>470229.6</v>
      </c>
    </row>
    <row r="1233" spans="1:9" s="17" customFormat="1" x14ac:dyDescent="0.25">
      <c r="A1233" s="14">
        <v>46203</v>
      </c>
      <c r="B1233" s="15" t="s">
        <v>1584</v>
      </c>
      <c r="C1233" s="15" t="s">
        <v>147</v>
      </c>
      <c r="D1233" s="15" t="s">
        <v>335</v>
      </c>
      <c r="E1233" s="16">
        <v>22680</v>
      </c>
      <c r="F1233" s="16">
        <v>22680</v>
      </c>
      <c r="G1233" s="15">
        <v>0</v>
      </c>
      <c r="H1233" s="15" t="s">
        <v>748</v>
      </c>
      <c r="I1233" s="23">
        <v>22680</v>
      </c>
    </row>
    <row r="1234" spans="1:9" s="17" customFormat="1" x14ac:dyDescent="0.25">
      <c r="A1234" s="14">
        <v>46203</v>
      </c>
      <c r="B1234" s="15" t="s">
        <v>1585</v>
      </c>
      <c r="C1234" s="15" t="s">
        <v>147</v>
      </c>
      <c r="D1234" s="15" t="s">
        <v>335</v>
      </c>
      <c r="E1234" s="16">
        <v>2711836.06</v>
      </c>
      <c r="F1234" s="16">
        <v>2711836.06</v>
      </c>
      <c r="G1234" s="15">
        <v>0</v>
      </c>
      <c r="H1234" s="15" t="s">
        <v>748</v>
      </c>
      <c r="I1234" s="23">
        <v>2711836.06</v>
      </c>
    </row>
    <row r="1235" spans="1:9" s="17" customFormat="1" x14ac:dyDescent="0.25">
      <c r="A1235" s="14">
        <v>46203</v>
      </c>
      <c r="B1235" s="15" t="s">
        <v>1586</v>
      </c>
      <c r="C1235" s="15" t="s">
        <v>151</v>
      </c>
      <c r="D1235" s="15" t="s">
        <v>284</v>
      </c>
      <c r="E1235" s="16">
        <v>329333.5</v>
      </c>
      <c r="F1235" s="16">
        <v>329333.5</v>
      </c>
      <c r="G1235" s="15">
        <v>0</v>
      </c>
      <c r="H1235" s="15" t="s">
        <v>748</v>
      </c>
      <c r="I1235" s="23">
        <v>329333.5</v>
      </c>
    </row>
    <row r="1236" spans="1:9" s="17" customFormat="1" x14ac:dyDescent="0.25">
      <c r="A1236" s="14">
        <v>46203</v>
      </c>
      <c r="B1236" s="15" t="s">
        <v>1587</v>
      </c>
      <c r="C1236" s="15" t="s">
        <v>151</v>
      </c>
      <c r="D1236" s="15" t="s">
        <v>321</v>
      </c>
      <c r="E1236" s="16">
        <v>329910</v>
      </c>
      <c r="F1236" s="16">
        <v>329910</v>
      </c>
      <c r="G1236" s="15">
        <v>0</v>
      </c>
      <c r="H1236" s="15" t="s">
        <v>748</v>
      </c>
      <c r="I1236" s="23">
        <v>329910</v>
      </c>
    </row>
    <row r="1237" spans="1:9" s="17" customFormat="1" x14ac:dyDescent="0.25">
      <c r="A1237" s="14">
        <v>46203</v>
      </c>
      <c r="B1237" s="15" t="s">
        <v>1588</v>
      </c>
      <c r="C1237" s="15" t="s">
        <v>155</v>
      </c>
      <c r="D1237" s="15" t="s">
        <v>347</v>
      </c>
      <c r="E1237" s="16">
        <v>199520</v>
      </c>
      <c r="F1237" s="16">
        <v>199520</v>
      </c>
      <c r="G1237" s="15">
        <v>0</v>
      </c>
      <c r="H1237" s="15" t="s">
        <v>748</v>
      </c>
      <c r="I1237" s="23">
        <v>199520</v>
      </c>
    </row>
    <row r="1238" spans="1:9" s="17" customFormat="1" x14ac:dyDescent="0.25">
      <c r="A1238" s="14">
        <v>46203</v>
      </c>
      <c r="B1238" s="15" t="s">
        <v>1589</v>
      </c>
      <c r="C1238" s="15" t="s">
        <v>155</v>
      </c>
      <c r="D1238" s="15" t="s">
        <v>347</v>
      </c>
      <c r="E1238" s="16">
        <v>27840</v>
      </c>
      <c r="F1238" s="16">
        <v>27840</v>
      </c>
      <c r="G1238" s="15">
        <v>0</v>
      </c>
      <c r="H1238" s="15" t="s">
        <v>748</v>
      </c>
      <c r="I1238" s="23">
        <v>27840</v>
      </c>
    </row>
    <row r="1239" spans="1:9" s="17" customFormat="1" x14ac:dyDescent="0.25">
      <c r="A1239" s="14">
        <v>46203</v>
      </c>
      <c r="B1239" s="15" t="s">
        <v>1590</v>
      </c>
      <c r="C1239" s="15" t="s">
        <v>1066</v>
      </c>
      <c r="D1239" s="15" t="s">
        <v>312</v>
      </c>
      <c r="E1239" s="16">
        <v>765000</v>
      </c>
      <c r="F1239" s="16">
        <v>765000</v>
      </c>
      <c r="G1239" s="15">
        <v>0</v>
      </c>
      <c r="H1239" s="15" t="s">
        <v>748</v>
      </c>
      <c r="I1239" s="23">
        <v>765000</v>
      </c>
    </row>
    <row r="1240" spans="1:9" s="17" customFormat="1" x14ac:dyDescent="0.25">
      <c r="A1240" s="14">
        <v>46203</v>
      </c>
      <c r="B1240" s="15" t="s">
        <v>1591</v>
      </c>
      <c r="C1240" s="15" t="s">
        <v>1066</v>
      </c>
      <c r="D1240" s="15" t="s">
        <v>312</v>
      </c>
      <c r="E1240" s="16">
        <v>495000</v>
      </c>
      <c r="F1240" s="16">
        <v>495000</v>
      </c>
      <c r="G1240" s="15">
        <v>0</v>
      </c>
      <c r="H1240" s="15" t="s">
        <v>748</v>
      </c>
      <c r="I1240" s="23">
        <v>495000</v>
      </c>
    </row>
    <row r="1241" spans="1:9" s="17" customFormat="1" x14ac:dyDescent="0.25">
      <c r="A1241" s="14">
        <v>46203</v>
      </c>
      <c r="B1241" s="15" t="s">
        <v>1592</v>
      </c>
      <c r="C1241" s="15" t="s">
        <v>157</v>
      </c>
      <c r="D1241" s="15" t="s">
        <v>335</v>
      </c>
      <c r="E1241" s="16">
        <v>1537000</v>
      </c>
      <c r="F1241" s="16">
        <v>1537000</v>
      </c>
      <c r="G1241" s="15">
        <v>0</v>
      </c>
      <c r="H1241" s="15" t="s">
        <v>748</v>
      </c>
      <c r="I1241" s="23">
        <v>1537000</v>
      </c>
    </row>
    <row r="1242" spans="1:9" s="17" customFormat="1" x14ac:dyDescent="0.25">
      <c r="A1242" s="14">
        <v>46203</v>
      </c>
      <c r="B1242" s="15" t="s">
        <v>1593</v>
      </c>
      <c r="C1242" s="15" t="s">
        <v>157</v>
      </c>
      <c r="D1242" s="15" t="s">
        <v>335</v>
      </c>
      <c r="E1242" s="16">
        <v>1537000</v>
      </c>
      <c r="F1242" s="16">
        <v>1537000</v>
      </c>
      <c r="G1242" s="15">
        <v>0</v>
      </c>
      <c r="H1242" s="15" t="s">
        <v>748</v>
      </c>
      <c r="I1242" s="23">
        <v>1537000</v>
      </c>
    </row>
    <row r="1243" spans="1:9" s="17" customFormat="1" x14ac:dyDescent="0.25">
      <c r="A1243" s="14">
        <v>46203</v>
      </c>
      <c r="B1243" s="15" t="s">
        <v>1594</v>
      </c>
      <c r="C1243" s="15" t="s">
        <v>157</v>
      </c>
      <c r="D1243" s="15" t="s">
        <v>335</v>
      </c>
      <c r="E1243" s="16">
        <v>1537000</v>
      </c>
      <c r="F1243" s="16">
        <v>1537000</v>
      </c>
      <c r="G1243" s="15">
        <v>0</v>
      </c>
      <c r="H1243" s="15" t="s">
        <v>748</v>
      </c>
      <c r="I1243" s="23">
        <v>1537000</v>
      </c>
    </row>
    <row r="1244" spans="1:9" s="17" customFormat="1" x14ac:dyDescent="0.25">
      <c r="A1244" s="14">
        <v>46203</v>
      </c>
      <c r="B1244" s="15" t="s">
        <v>1595</v>
      </c>
      <c r="C1244" s="15" t="s">
        <v>157</v>
      </c>
      <c r="D1244" s="15" t="s">
        <v>335</v>
      </c>
      <c r="E1244" s="16">
        <v>9900918.9600000009</v>
      </c>
      <c r="F1244" s="16">
        <v>9900918.9600000009</v>
      </c>
      <c r="G1244" s="15">
        <v>0</v>
      </c>
      <c r="H1244" s="15" t="s">
        <v>748</v>
      </c>
      <c r="I1244" s="23">
        <v>9900918.9600000009</v>
      </c>
    </row>
    <row r="1245" spans="1:9" s="17" customFormat="1" x14ac:dyDescent="0.25">
      <c r="A1245" s="14">
        <v>46203</v>
      </c>
      <c r="B1245" s="15" t="s">
        <v>1596</v>
      </c>
      <c r="C1245" s="15" t="s">
        <v>158</v>
      </c>
      <c r="D1245" s="15" t="s">
        <v>306</v>
      </c>
      <c r="E1245" s="16">
        <v>4000</v>
      </c>
      <c r="F1245" s="16">
        <v>4000</v>
      </c>
      <c r="G1245" s="15">
        <v>0</v>
      </c>
      <c r="H1245" s="15" t="s">
        <v>748</v>
      </c>
      <c r="I1245" s="23">
        <v>4000</v>
      </c>
    </row>
    <row r="1246" spans="1:9" s="17" customFormat="1" x14ac:dyDescent="0.25">
      <c r="A1246" s="14">
        <v>46203</v>
      </c>
      <c r="B1246" s="15" t="s">
        <v>1597</v>
      </c>
      <c r="C1246" s="15" t="s">
        <v>158</v>
      </c>
      <c r="D1246" s="15" t="s">
        <v>306</v>
      </c>
      <c r="E1246" s="16">
        <v>16455</v>
      </c>
      <c r="F1246" s="16">
        <v>16455</v>
      </c>
      <c r="G1246" s="15">
        <v>0</v>
      </c>
      <c r="H1246" s="15" t="s">
        <v>748</v>
      </c>
      <c r="I1246" s="23">
        <v>16455</v>
      </c>
    </row>
    <row r="1247" spans="1:9" s="17" customFormat="1" x14ac:dyDescent="0.25">
      <c r="A1247" s="14">
        <v>46203</v>
      </c>
      <c r="B1247" s="15" t="s">
        <v>1598</v>
      </c>
      <c r="C1247" s="15" t="s">
        <v>158</v>
      </c>
      <c r="D1247" s="15" t="s">
        <v>306</v>
      </c>
      <c r="E1247" s="16">
        <v>14577</v>
      </c>
      <c r="F1247" s="16">
        <v>14577</v>
      </c>
      <c r="G1247" s="15">
        <v>0</v>
      </c>
      <c r="H1247" s="15" t="s">
        <v>748</v>
      </c>
      <c r="I1247" s="23">
        <v>14577</v>
      </c>
    </row>
    <row r="1248" spans="1:9" s="17" customFormat="1" x14ac:dyDescent="0.25">
      <c r="A1248" s="14">
        <v>46203</v>
      </c>
      <c r="B1248" s="15" t="s">
        <v>1599</v>
      </c>
      <c r="C1248" s="15" t="s">
        <v>158</v>
      </c>
      <c r="D1248" s="15" t="s">
        <v>306</v>
      </c>
      <c r="E1248" s="16">
        <v>12391</v>
      </c>
      <c r="F1248" s="16">
        <v>12391</v>
      </c>
      <c r="G1248" s="15">
        <v>0</v>
      </c>
      <c r="H1248" s="15" t="s">
        <v>748</v>
      </c>
      <c r="I1248" s="23">
        <v>12391</v>
      </c>
    </row>
    <row r="1249" spans="1:9" s="17" customFormat="1" x14ac:dyDescent="0.25">
      <c r="A1249" s="14">
        <v>46203</v>
      </c>
      <c r="B1249" s="15" t="s">
        <v>1600</v>
      </c>
      <c r="C1249" s="15" t="s">
        <v>160</v>
      </c>
      <c r="D1249" s="15" t="s">
        <v>321</v>
      </c>
      <c r="E1249" s="16">
        <v>203168.7</v>
      </c>
      <c r="F1249" s="16">
        <v>203168.7</v>
      </c>
      <c r="G1249" s="15">
        <v>0</v>
      </c>
      <c r="H1249" s="15" t="s">
        <v>748</v>
      </c>
      <c r="I1249" s="23">
        <v>203168.7</v>
      </c>
    </row>
    <row r="1250" spans="1:9" s="17" customFormat="1" x14ac:dyDescent="0.25">
      <c r="A1250" s="14">
        <v>46203</v>
      </c>
      <c r="B1250" s="15" t="s">
        <v>1601</v>
      </c>
      <c r="C1250" s="15" t="s">
        <v>161</v>
      </c>
      <c r="D1250" s="15" t="s">
        <v>332</v>
      </c>
      <c r="E1250" s="16">
        <v>85497.8</v>
      </c>
      <c r="F1250" s="16">
        <v>85497.8</v>
      </c>
      <c r="G1250" s="15">
        <v>0</v>
      </c>
      <c r="H1250" s="15" t="s">
        <v>748</v>
      </c>
      <c r="I1250" s="23">
        <v>85497.8</v>
      </c>
    </row>
    <row r="1251" spans="1:9" s="17" customFormat="1" x14ac:dyDescent="0.25">
      <c r="A1251" s="14">
        <v>46203</v>
      </c>
      <c r="B1251" s="15" t="s">
        <v>1602</v>
      </c>
      <c r="C1251" s="15" t="s">
        <v>161</v>
      </c>
      <c r="D1251" s="15" t="s">
        <v>332</v>
      </c>
      <c r="E1251" s="16">
        <v>106601.8</v>
      </c>
      <c r="F1251" s="16">
        <v>106601.8</v>
      </c>
      <c r="G1251" s="15">
        <v>0</v>
      </c>
      <c r="H1251" s="15" t="s">
        <v>748</v>
      </c>
      <c r="I1251" s="23">
        <v>106601.8</v>
      </c>
    </row>
    <row r="1252" spans="1:9" s="17" customFormat="1" x14ac:dyDescent="0.25">
      <c r="A1252" s="14">
        <v>46203</v>
      </c>
      <c r="B1252" s="15" t="s">
        <v>1603</v>
      </c>
      <c r="C1252" s="15" t="s">
        <v>161</v>
      </c>
      <c r="D1252" s="15" t="s">
        <v>332</v>
      </c>
      <c r="E1252" s="16">
        <v>114493.75</v>
      </c>
      <c r="F1252" s="16">
        <v>114493.75</v>
      </c>
      <c r="G1252" s="15">
        <v>0</v>
      </c>
      <c r="H1252" s="15" t="s">
        <v>748</v>
      </c>
      <c r="I1252" s="23">
        <v>114493.75</v>
      </c>
    </row>
    <row r="1253" spans="1:9" s="17" customFormat="1" x14ac:dyDescent="0.25">
      <c r="A1253" s="14">
        <v>46203</v>
      </c>
      <c r="B1253" s="15" t="s">
        <v>1604</v>
      </c>
      <c r="C1253" s="15" t="s">
        <v>161</v>
      </c>
      <c r="D1253" s="15" t="s">
        <v>332</v>
      </c>
      <c r="E1253" s="16">
        <v>52205.4</v>
      </c>
      <c r="F1253" s="16">
        <v>52205.4</v>
      </c>
      <c r="G1253" s="15">
        <v>0</v>
      </c>
      <c r="H1253" s="15" t="s">
        <v>748</v>
      </c>
      <c r="I1253" s="23">
        <v>52205.4</v>
      </c>
    </row>
    <row r="1254" spans="1:9" s="17" customFormat="1" x14ac:dyDescent="0.25">
      <c r="A1254" s="14">
        <v>46203</v>
      </c>
      <c r="B1254" s="15" t="s">
        <v>1605</v>
      </c>
      <c r="C1254" s="15" t="s">
        <v>1064</v>
      </c>
      <c r="D1254" s="15" t="s">
        <v>347</v>
      </c>
      <c r="E1254" s="16">
        <v>391285.4</v>
      </c>
      <c r="F1254" s="16">
        <v>330568.7</v>
      </c>
      <c r="G1254" s="15">
        <v>0</v>
      </c>
      <c r="H1254" s="15" t="s">
        <v>748</v>
      </c>
      <c r="I1254" s="23">
        <v>330568.7</v>
      </c>
    </row>
    <row r="1255" spans="1:9" s="17" customFormat="1" x14ac:dyDescent="0.25">
      <c r="A1255" s="14">
        <v>46203</v>
      </c>
      <c r="B1255" s="15" t="s">
        <v>1606</v>
      </c>
      <c r="C1255" s="15" t="s">
        <v>163</v>
      </c>
      <c r="D1255" s="15" t="s">
        <v>280</v>
      </c>
      <c r="E1255" s="16">
        <v>33320</v>
      </c>
      <c r="F1255" s="16">
        <v>33320</v>
      </c>
      <c r="G1255" s="15">
        <v>0</v>
      </c>
      <c r="H1255" s="15" t="s">
        <v>748</v>
      </c>
      <c r="I1255" s="23">
        <v>33320</v>
      </c>
    </row>
    <row r="1256" spans="1:9" s="17" customFormat="1" x14ac:dyDescent="0.25">
      <c r="A1256" s="14">
        <v>46203</v>
      </c>
      <c r="B1256" s="15" t="s">
        <v>1607</v>
      </c>
      <c r="C1256" s="15" t="s">
        <v>164</v>
      </c>
      <c r="D1256" s="15" t="s">
        <v>321</v>
      </c>
      <c r="E1256" s="16">
        <v>98000</v>
      </c>
      <c r="F1256" s="16">
        <v>96040</v>
      </c>
      <c r="G1256" s="15">
        <v>0</v>
      </c>
      <c r="H1256" s="15" t="s">
        <v>748</v>
      </c>
      <c r="I1256" s="23">
        <v>96040</v>
      </c>
    </row>
    <row r="1257" spans="1:9" s="17" customFormat="1" x14ac:dyDescent="0.25">
      <c r="A1257" s="14">
        <v>46203</v>
      </c>
      <c r="B1257" s="15" t="s">
        <v>1608</v>
      </c>
      <c r="C1257" s="15" t="s">
        <v>164</v>
      </c>
      <c r="D1257" s="15" t="s">
        <v>321</v>
      </c>
      <c r="E1257" s="16">
        <v>465000</v>
      </c>
      <c r="F1257" s="16">
        <v>455700</v>
      </c>
      <c r="G1257" s="15">
        <v>0</v>
      </c>
      <c r="H1257" s="15" t="s">
        <v>748</v>
      </c>
      <c r="I1257" s="23">
        <v>455700</v>
      </c>
    </row>
    <row r="1258" spans="1:9" s="17" customFormat="1" x14ac:dyDescent="0.25">
      <c r="A1258" s="14">
        <v>46203</v>
      </c>
      <c r="B1258" s="15" t="s">
        <v>1609</v>
      </c>
      <c r="C1258" s="15" t="s">
        <v>164</v>
      </c>
      <c r="D1258" s="15" t="s">
        <v>280</v>
      </c>
      <c r="E1258" s="16">
        <v>228000</v>
      </c>
      <c r="F1258" s="16">
        <v>223440</v>
      </c>
      <c r="G1258" s="15">
        <v>0</v>
      </c>
      <c r="H1258" s="15" t="s">
        <v>748</v>
      </c>
      <c r="I1258" s="23">
        <v>223440</v>
      </c>
    </row>
    <row r="1259" spans="1:9" s="17" customFormat="1" x14ac:dyDescent="0.25">
      <c r="A1259" s="14">
        <v>46203</v>
      </c>
      <c r="B1259" s="15" t="s">
        <v>1610</v>
      </c>
      <c r="C1259" s="15" t="s">
        <v>164</v>
      </c>
      <c r="D1259" s="15" t="s">
        <v>280</v>
      </c>
      <c r="E1259" s="16">
        <v>28420</v>
      </c>
      <c r="F1259" s="16">
        <v>28420</v>
      </c>
      <c r="G1259" s="15">
        <v>0</v>
      </c>
      <c r="H1259" s="15" t="s">
        <v>748</v>
      </c>
      <c r="I1259" s="23">
        <v>28420</v>
      </c>
    </row>
    <row r="1260" spans="1:9" s="17" customFormat="1" x14ac:dyDescent="0.25">
      <c r="A1260" s="14">
        <v>46203</v>
      </c>
      <c r="B1260" s="15" t="s">
        <v>1611</v>
      </c>
      <c r="C1260" s="15" t="s">
        <v>164</v>
      </c>
      <c r="D1260" s="15" t="s">
        <v>280</v>
      </c>
      <c r="E1260" s="16">
        <v>135240</v>
      </c>
      <c r="F1260" s="16">
        <v>135240</v>
      </c>
      <c r="G1260" s="15">
        <v>0</v>
      </c>
      <c r="H1260" s="15" t="s">
        <v>748</v>
      </c>
      <c r="I1260" s="23">
        <v>135240</v>
      </c>
    </row>
    <row r="1261" spans="1:9" s="17" customFormat="1" x14ac:dyDescent="0.25">
      <c r="A1261" s="14">
        <v>46203</v>
      </c>
      <c r="B1261" s="15" t="s">
        <v>1612</v>
      </c>
      <c r="C1261" s="15" t="s">
        <v>164</v>
      </c>
      <c r="D1261" s="15" t="s">
        <v>280</v>
      </c>
      <c r="E1261" s="16">
        <v>48020</v>
      </c>
      <c r="F1261" s="16">
        <v>48020</v>
      </c>
      <c r="G1261" s="15">
        <v>0</v>
      </c>
      <c r="H1261" s="15" t="s">
        <v>748</v>
      </c>
      <c r="I1261" s="23">
        <v>48020</v>
      </c>
    </row>
    <row r="1262" spans="1:9" s="17" customFormat="1" x14ac:dyDescent="0.25">
      <c r="A1262" s="14">
        <v>46203</v>
      </c>
      <c r="B1262" s="15" t="s">
        <v>1613</v>
      </c>
      <c r="C1262" s="15" t="s">
        <v>164</v>
      </c>
      <c r="D1262" s="15" t="s">
        <v>280</v>
      </c>
      <c r="E1262" s="16">
        <v>26460</v>
      </c>
      <c r="F1262" s="16">
        <v>26460</v>
      </c>
      <c r="G1262" s="15">
        <v>0</v>
      </c>
      <c r="H1262" s="15" t="s">
        <v>748</v>
      </c>
      <c r="I1262" s="23">
        <v>26460</v>
      </c>
    </row>
    <row r="1263" spans="1:9" s="17" customFormat="1" x14ac:dyDescent="0.25">
      <c r="A1263" s="14">
        <v>46203</v>
      </c>
      <c r="B1263" s="15" t="s">
        <v>1614</v>
      </c>
      <c r="C1263" s="15" t="s">
        <v>164</v>
      </c>
      <c r="D1263" s="15" t="s">
        <v>280</v>
      </c>
      <c r="E1263" s="16">
        <v>78400</v>
      </c>
      <c r="F1263" s="16">
        <v>78400</v>
      </c>
      <c r="G1263" s="15">
        <v>0</v>
      </c>
      <c r="H1263" s="15" t="s">
        <v>748</v>
      </c>
      <c r="I1263" s="23">
        <v>78400</v>
      </c>
    </row>
    <row r="1264" spans="1:9" s="17" customFormat="1" x14ac:dyDescent="0.25">
      <c r="A1264" s="14">
        <v>46203</v>
      </c>
      <c r="B1264" s="15" t="s">
        <v>1615</v>
      </c>
      <c r="C1264" s="15" t="s">
        <v>165</v>
      </c>
      <c r="D1264" s="15" t="s">
        <v>306</v>
      </c>
      <c r="E1264" s="16">
        <v>150800</v>
      </c>
      <c r="F1264" s="16">
        <v>150800</v>
      </c>
      <c r="G1264" s="15">
        <v>0</v>
      </c>
      <c r="H1264" s="15" t="s">
        <v>748</v>
      </c>
      <c r="I1264" s="23">
        <v>150800</v>
      </c>
    </row>
    <row r="1265" spans="1:9" s="17" customFormat="1" x14ac:dyDescent="0.25">
      <c r="A1265" s="14">
        <v>46203</v>
      </c>
      <c r="B1265" s="15" t="s">
        <v>1616</v>
      </c>
      <c r="C1265" s="15" t="s">
        <v>169</v>
      </c>
      <c r="D1265" s="15" t="s">
        <v>280</v>
      </c>
      <c r="E1265" s="16">
        <v>9834.48</v>
      </c>
      <c r="F1265" s="16">
        <v>9834.48</v>
      </c>
      <c r="G1265" s="15">
        <v>0</v>
      </c>
      <c r="H1265" s="15" t="s">
        <v>748</v>
      </c>
      <c r="I1265" s="23">
        <v>9834.48</v>
      </c>
    </row>
    <row r="1266" spans="1:9" s="17" customFormat="1" x14ac:dyDescent="0.25">
      <c r="A1266" s="14">
        <v>46203</v>
      </c>
      <c r="B1266" s="15" t="s">
        <v>1617</v>
      </c>
      <c r="C1266" s="15" t="s">
        <v>171</v>
      </c>
      <c r="D1266" s="15" t="s">
        <v>332</v>
      </c>
      <c r="E1266" s="16">
        <v>114790.39999999999</v>
      </c>
      <c r="F1266" s="16">
        <v>114790.39999999999</v>
      </c>
      <c r="G1266" s="15">
        <v>0</v>
      </c>
      <c r="H1266" s="15" t="s">
        <v>748</v>
      </c>
      <c r="I1266" s="23">
        <v>114790.39999999999</v>
      </c>
    </row>
    <row r="1267" spans="1:9" s="17" customFormat="1" x14ac:dyDescent="0.25">
      <c r="A1267" s="14">
        <v>46203</v>
      </c>
      <c r="B1267" s="15" t="s">
        <v>1618</v>
      </c>
      <c r="C1267" s="15" t="s">
        <v>171</v>
      </c>
      <c r="D1267" s="15" t="s">
        <v>332</v>
      </c>
      <c r="E1267" s="16">
        <v>121205.2</v>
      </c>
      <c r="F1267" s="16">
        <v>121205.2</v>
      </c>
      <c r="G1267" s="15">
        <v>0</v>
      </c>
      <c r="H1267" s="15" t="s">
        <v>748</v>
      </c>
      <c r="I1267" s="23">
        <v>121205.2</v>
      </c>
    </row>
    <row r="1268" spans="1:9" s="17" customFormat="1" x14ac:dyDescent="0.25">
      <c r="A1268" s="14">
        <v>46203</v>
      </c>
      <c r="B1268" s="15" t="s">
        <v>1619</v>
      </c>
      <c r="C1268" s="15" t="s">
        <v>171</v>
      </c>
      <c r="D1268" s="15" t="s">
        <v>332</v>
      </c>
      <c r="E1268" s="16">
        <v>124229.3</v>
      </c>
      <c r="F1268" s="16">
        <v>124229.3</v>
      </c>
      <c r="G1268" s="15">
        <v>0</v>
      </c>
      <c r="H1268" s="15" t="s">
        <v>748</v>
      </c>
      <c r="I1268" s="23">
        <v>124229.3</v>
      </c>
    </row>
    <row r="1269" spans="1:9" s="17" customFormat="1" x14ac:dyDescent="0.25">
      <c r="A1269" s="14">
        <v>46203</v>
      </c>
      <c r="B1269" s="15" t="s">
        <v>1620</v>
      </c>
      <c r="C1269" s="15" t="s">
        <v>171</v>
      </c>
      <c r="D1269" s="15" t="s">
        <v>332</v>
      </c>
      <c r="E1269" s="16">
        <v>130229.3</v>
      </c>
      <c r="F1269" s="16">
        <v>130229.3</v>
      </c>
      <c r="G1269" s="15">
        <v>0</v>
      </c>
      <c r="H1269" s="15" t="s">
        <v>748</v>
      </c>
      <c r="I1269" s="23">
        <v>130229.3</v>
      </c>
    </row>
    <row r="1270" spans="1:9" s="17" customFormat="1" x14ac:dyDescent="0.25">
      <c r="A1270" s="14">
        <v>46203</v>
      </c>
      <c r="B1270" s="15" t="s">
        <v>1621</v>
      </c>
      <c r="C1270" s="15" t="s">
        <v>171</v>
      </c>
      <c r="D1270" s="15" t="s">
        <v>332</v>
      </c>
      <c r="E1270" s="16">
        <v>103297.60000000001</v>
      </c>
      <c r="F1270" s="16">
        <v>103297.60000000001</v>
      </c>
      <c r="G1270" s="15">
        <v>0</v>
      </c>
      <c r="H1270" s="15" t="s">
        <v>748</v>
      </c>
      <c r="I1270" s="23">
        <v>103297.60000000001</v>
      </c>
    </row>
    <row r="1271" spans="1:9" s="17" customFormat="1" x14ac:dyDescent="0.25">
      <c r="A1271" s="14">
        <v>46203</v>
      </c>
      <c r="B1271" s="15" t="s">
        <v>1622</v>
      </c>
      <c r="C1271" s="15" t="s">
        <v>171</v>
      </c>
      <c r="D1271" s="15" t="s">
        <v>332</v>
      </c>
      <c r="E1271" s="16">
        <v>121136.9</v>
      </c>
      <c r="F1271" s="16">
        <v>121136.9</v>
      </c>
      <c r="G1271" s="15">
        <v>0</v>
      </c>
      <c r="H1271" s="15" t="s">
        <v>748</v>
      </c>
      <c r="I1271" s="23">
        <v>121136.9</v>
      </c>
    </row>
    <row r="1272" spans="1:9" s="17" customFormat="1" x14ac:dyDescent="0.25">
      <c r="A1272" s="14">
        <v>46203</v>
      </c>
      <c r="B1272" s="15" t="s">
        <v>1623</v>
      </c>
      <c r="C1272" s="15" t="s">
        <v>171</v>
      </c>
      <c r="D1272" s="15" t="s">
        <v>332</v>
      </c>
      <c r="E1272" s="16">
        <v>132998.29999999999</v>
      </c>
      <c r="F1272" s="16">
        <v>132998.29999999999</v>
      </c>
      <c r="G1272" s="15">
        <v>0</v>
      </c>
      <c r="H1272" s="15" t="s">
        <v>748</v>
      </c>
      <c r="I1272" s="23">
        <v>132998.29999999999</v>
      </c>
    </row>
    <row r="1273" spans="1:9" s="17" customFormat="1" x14ac:dyDescent="0.25">
      <c r="A1273" s="14">
        <v>46203</v>
      </c>
      <c r="B1273" s="15" t="s">
        <v>921</v>
      </c>
      <c r="C1273" s="15" t="s">
        <v>177</v>
      </c>
      <c r="D1273" s="15" t="s">
        <v>335</v>
      </c>
      <c r="E1273" s="16">
        <v>79542.759999999995</v>
      </c>
      <c r="F1273" s="16">
        <v>79542.759999999995</v>
      </c>
      <c r="G1273" s="15">
        <v>0</v>
      </c>
      <c r="H1273" s="15" t="s">
        <v>748</v>
      </c>
      <c r="I1273" s="23">
        <v>79542.759999999995</v>
      </c>
    </row>
    <row r="1274" spans="1:9" s="17" customFormat="1" x14ac:dyDescent="0.25">
      <c r="A1274" s="14">
        <v>46203</v>
      </c>
      <c r="B1274" s="15" t="s">
        <v>1624</v>
      </c>
      <c r="C1274" s="15" t="s">
        <v>177</v>
      </c>
      <c r="D1274" s="15" t="s">
        <v>232</v>
      </c>
      <c r="E1274" s="16">
        <v>80572.800000000003</v>
      </c>
      <c r="F1274" s="16">
        <v>80572.800000000003</v>
      </c>
      <c r="G1274" s="15">
        <v>0</v>
      </c>
      <c r="H1274" s="15" t="s">
        <v>748</v>
      </c>
      <c r="I1274" s="23">
        <v>80572.800000000003</v>
      </c>
    </row>
    <row r="1275" spans="1:9" s="17" customFormat="1" x14ac:dyDescent="0.25">
      <c r="A1275" s="14">
        <v>46203</v>
      </c>
      <c r="B1275" s="15" t="s">
        <v>1625</v>
      </c>
      <c r="C1275" s="15" t="s">
        <v>177</v>
      </c>
      <c r="D1275" s="15" t="s">
        <v>232</v>
      </c>
      <c r="E1275" s="16">
        <v>80046.34</v>
      </c>
      <c r="F1275" s="16">
        <v>80046.34</v>
      </c>
      <c r="G1275" s="15">
        <v>0</v>
      </c>
      <c r="H1275" s="15" t="s">
        <v>748</v>
      </c>
      <c r="I1275" s="23">
        <v>80046.34</v>
      </c>
    </row>
    <row r="1276" spans="1:9" s="17" customFormat="1" x14ac:dyDescent="0.25">
      <c r="A1276" s="14">
        <v>46203</v>
      </c>
      <c r="B1276" s="15" t="s">
        <v>1626</v>
      </c>
      <c r="C1276" s="15" t="s">
        <v>177</v>
      </c>
      <c r="D1276" s="15" t="s">
        <v>232</v>
      </c>
      <c r="E1276" s="16">
        <v>101105.14</v>
      </c>
      <c r="F1276" s="16">
        <v>101105.14</v>
      </c>
      <c r="G1276" s="15">
        <v>0</v>
      </c>
      <c r="H1276" s="15" t="s">
        <v>748</v>
      </c>
      <c r="I1276" s="23">
        <v>101105.14</v>
      </c>
    </row>
    <row r="1277" spans="1:9" s="17" customFormat="1" x14ac:dyDescent="0.25">
      <c r="A1277" s="14">
        <v>46203</v>
      </c>
      <c r="B1277" s="15" t="s">
        <v>1627</v>
      </c>
      <c r="C1277" s="15" t="s">
        <v>178</v>
      </c>
      <c r="D1277" s="15" t="s">
        <v>232</v>
      </c>
      <c r="E1277" s="16">
        <v>157167.24</v>
      </c>
      <c r="F1277" s="16">
        <v>157167.24</v>
      </c>
      <c r="G1277" s="15">
        <v>0</v>
      </c>
      <c r="H1277" s="15" t="s">
        <v>748</v>
      </c>
      <c r="I1277" s="23">
        <v>157167.24</v>
      </c>
    </row>
    <row r="1278" spans="1:9" s="17" customFormat="1" x14ac:dyDescent="0.25">
      <c r="A1278" s="14">
        <v>46203</v>
      </c>
      <c r="B1278" s="15" t="s">
        <v>1628</v>
      </c>
      <c r="C1278" s="15" t="s">
        <v>1044</v>
      </c>
      <c r="D1278" s="15" t="s">
        <v>317</v>
      </c>
      <c r="E1278" s="16">
        <v>10080</v>
      </c>
      <c r="F1278" s="16">
        <v>10080</v>
      </c>
      <c r="G1278" s="15">
        <v>0</v>
      </c>
      <c r="H1278" s="15" t="s">
        <v>748</v>
      </c>
      <c r="I1278" s="23">
        <v>10080</v>
      </c>
    </row>
    <row r="1279" spans="1:9" s="17" customFormat="1" x14ac:dyDescent="0.25">
      <c r="A1279" s="14">
        <v>46203</v>
      </c>
      <c r="B1279" s="15" t="s">
        <v>1629</v>
      </c>
      <c r="C1279" s="15" t="s">
        <v>1063</v>
      </c>
      <c r="D1279" s="15" t="s">
        <v>280</v>
      </c>
      <c r="E1279" s="16">
        <v>177912.68</v>
      </c>
      <c r="F1279" s="16">
        <v>177912.68</v>
      </c>
      <c r="G1279" s="15">
        <v>0</v>
      </c>
      <c r="H1279" s="15" t="s">
        <v>748</v>
      </c>
      <c r="I1279" s="23">
        <v>177912.68</v>
      </c>
    </row>
    <row r="1280" spans="1:9" s="17" customFormat="1" x14ac:dyDescent="0.25">
      <c r="A1280" s="14">
        <v>46203</v>
      </c>
      <c r="B1280" s="15" t="s">
        <v>1630</v>
      </c>
      <c r="C1280" s="15" t="s">
        <v>183</v>
      </c>
      <c r="D1280" s="15" t="s">
        <v>335</v>
      </c>
      <c r="E1280" s="16">
        <v>235102.99</v>
      </c>
      <c r="F1280" s="16">
        <v>235102.99</v>
      </c>
      <c r="G1280" s="15">
        <v>0</v>
      </c>
      <c r="H1280" s="15" t="s">
        <v>748</v>
      </c>
      <c r="I1280" s="23">
        <v>235102.99</v>
      </c>
    </row>
    <row r="1281" spans="1:9" s="17" customFormat="1" x14ac:dyDescent="0.25">
      <c r="A1281" s="14">
        <v>46203</v>
      </c>
      <c r="B1281" s="15" t="s">
        <v>1631</v>
      </c>
      <c r="C1281" s="15" t="s">
        <v>183</v>
      </c>
      <c r="D1281" s="15" t="s">
        <v>1666</v>
      </c>
      <c r="E1281" s="16">
        <v>178348.99</v>
      </c>
      <c r="F1281" s="16">
        <v>178348.99</v>
      </c>
      <c r="G1281" s="15">
        <v>0</v>
      </c>
      <c r="H1281" s="15" t="s">
        <v>748</v>
      </c>
      <c r="I1281" s="23">
        <v>178348.99</v>
      </c>
    </row>
    <row r="1282" spans="1:9" s="17" customFormat="1" x14ac:dyDescent="0.25">
      <c r="A1282" s="14">
        <v>46203</v>
      </c>
      <c r="B1282" s="15" t="s">
        <v>1632</v>
      </c>
      <c r="C1282" s="15" t="s">
        <v>185</v>
      </c>
      <c r="D1282" s="15" t="s">
        <v>306</v>
      </c>
      <c r="E1282" s="16">
        <v>5910.7</v>
      </c>
      <c r="F1282" s="16">
        <v>5910.7</v>
      </c>
      <c r="G1282" s="15">
        <v>0</v>
      </c>
      <c r="H1282" s="15" t="s">
        <v>748</v>
      </c>
      <c r="I1282" s="23">
        <v>5910.7</v>
      </c>
    </row>
    <row r="1283" spans="1:9" s="17" customFormat="1" x14ac:dyDescent="0.25">
      <c r="A1283" s="14">
        <v>46203</v>
      </c>
      <c r="B1283" s="15" t="s">
        <v>1633</v>
      </c>
      <c r="C1283" s="15" t="s">
        <v>185</v>
      </c>
      <c r="D1283" s="15" t="s">
        <v>306</v>
      </c>
      <c r="E1283" s="16">
        <v>23863.42</v>
      </c>
      <c r="F1283" s="16">
        <v>23863.42</v>
      </c>
      <c r="G1283" s="15">
        <v>0</v>
      </c>
      <c r="H1283" s="15" t="s">
        <v>748</v>
      </c>
      <c r="I1283" s="23">
        <v>23863.42</v>
      </c>
    </row>
    <row r="1284" spans="1:9" s="17" customFormat="1" x14ac:dyDescent="0.25">
      <c r="A1284" s="14">
        <v>46203</v>
      </c>
      <c r="B1284" s="15" t="s">
        <v>1634</v>
      </c>
      <c r="C1284" s="15" t="s">
        <v>185</v>
      </c>
      <c r="D1284" s="15" t="s">
        <v>306</v>
      </c>
      <c r="E1284" s="16">
        <v>2977.48</v>
      </c>
      <c r="F1284" s="16">
        <v>2977.48</v>
      </c>
      <c r="G1284" s="15">
        <v>0</v>
      </c>
      <c r="H1284" s="15" t="s">
        <v>748</v>
      </c>
      <c r="I1284" s="23">
        <v>2977.48</v>
      </c>
    </row>
    <row r="1285" spans="1:9" s="17" customFormat="1" x14ac:dyDescent="0.25">
      <c r="A1285" s="14">
        <v>46203</v>
      </c>
      <c r="B1285" s="15" t="s">
        <v>1635</v>
      </c>
      <c r="C1285" s="15" t="s">
        <v>185</v>
      </c>
      <c r="D1285" s="15" t="s">
        <v>335</v>
      </c>
      <c r="E1285" s="16">
        <v>6508.05</v>
      </c>
      <c r="F1285" s="16">
        <v>6508.05</v>
      </c>
      <c r="G1285" s="15">
        <v>0</v>
      </c>
      <c r="H1285" s="15" t="s">
        <v>748</v>
      </c>
      <c r="I1285" s="23">
        <v>6508.05</v>
      </c>
    </row>
    <row r="1286" spans="1:9" s="17" customFormat="1" x14ac:dyDescent="0.25">
      <c r="A1286" s="14">
        <v>46203</v>
      </c>
      <c r="B1286" s="15" t="s">
        <v>1636</v>
      </c>
      <c r="C1286" s="15" t="s">
        <v>185</v>
      </c>
      <c r="D1286" s="15" t="s">
        <v>335</v>
      </c>
      <c r="E1286" s="16">
        <v>82792.98</v>
      </c>
      <c r="F1286" s="16">
        <v>82792.98</v>
      </c>
      <c r="G1286" s="15">
        <v>0</v>
      </c>
      <c r="H1286" s="15" t="s">
        <v>748</v>
      </c>
      <c r="I1286" s="23">
        <v>82792.98</v>
      </c>
    </row>
    <row r="1287" spans="1:9" s="17" customFormat="1" x14ac:dyDescent="0.25">
      <c r="A1287" s="14">
        <v>46203</v>
      </c>
      <c r="B1287" s="15" t="s">
        <v>1637</v>
      </c>
      <c r="C1287" s="15" t="s">
        <v>186</v>
      </c>
      <c r="D1287" s="15" t="s">
        <v>306</v>
      </c>
      <c r="E1287" s="16">
        <v>412960</v>
      </c>
      <c r="F1287" s="16">
        <v>412960</v>
      </c>
      <c r="G1287" s="15">
        <v>0</v>
      </c>
      <c r="H1287" s="15" t="s">
        <v>748</v>
      </c>
      <c r="I1287" s="23">
        <v>412960</v>
      </c>
    </row>
    <row r="1288" spans="1:9" s="17" customFormat="1" x14ac:dyDescent="0.25">
      <c r="A1288" s="14">
        <v>46203</v>
      </c>
      <c r="B1288" s="15" t="s">
        <v>1638</v>
      </c>
      <c r="C1288" s="15" t="s">
        <v>188</v>
      </c>
      <c r="D1288" s="15" t="s">
        <v>321</v>
      </c>
      <c r="E1288" s="16">
        <v>169752</v>
      </c>
      <c r="F1288" s="16">
        <v>169752</v>
      </c>
      <c r="G1288" s="15">
        <v>0</v>
      </c>
      <c r="H1288" s="15" t="s">
        <v>748</v>
      </c>
      <c r="I1288" s="23">
        <v>169752</v>
      </c>
    </row>
    <row r="1289" spans="1:9" s="17" customFormat="1" x14ac:dyDescent="0.25">
      <c r="A1289" s="14">
        <v>46203</v>
      </c>
      <c r="B1289" s="15" t="s">
        <v>1639</v>
      </c>
      <c r="C1289" s="15" t="s">
        <v>189</v>
      </c>
      <c r="D1289" s="15" t="s">
        <v>347</v>
      </c>
      <c r="E1289" s="16">
        <v>199602.48</v>
      </c>
      <c r="F1289" s="16">
        <v>199602.48</v>
      </c>
      <c r="G1289" s="15">
        <v>0</v>
      </c>
      <c r="H1289" s="15" t="s">
        <v>748</v>
      </c>
      <c r="I1289" s="23">
        <v>199602.48</v>
      </c>
    </row>
    <row r="1290" spans="1:9" s="17" customFormat="1" x14ac:dyDescent="0.25">
      <c r="A1290" s="14">
        <v>46203</v>
      </c>
      <c r="B1290" s="15" t="s">
        <v>1640</v>
      </c>
      <c r="C1290" s="15" t="s">
        <v>189</v>
      </c>
      <c r="D1290" s="15" t="s">
        <v>347</v>
      </c>
      <c r="E1290" s="16">
        <v>131688.48000000001</v>
      </c>
      <c r="F1290" s="16">
        <v>131688.48000000001</v>
      </c>
      <c r="G1290" s="15">
        <v>0</v>
      </c>
      <c r="H1290" s="15" t="s">
        <v>748</v>
      </c>
      <c r="I1290" s="23">
        <v>131688.48000000001</v>
      </c>
    </row>
    <row r="1291" spans="1:9" s="17" customFormat="1" x14ac:dyDescent="0.25">
      <c r="A1291" s="14">
        <v>46203</v>
      </c>
      <c r="B1291" s="15" t="s">
        <v>1641</v>
      </c>
      <c r="C1291" s="15" t="s">
        <v>192</v>
      </c>
      <c r="D1291" s="15" t="s">
        <v>531</v>
      </c>
      <c r="E1291" s="16">
        <v>37000</v>
      </c>
      <c r="F1291" s="16">
        <v>37000</v>
      </c>
      <c r="G1291" s="15">
        <v>0</v>
      </c>
      <c r="H1291" s="15" t="s">
        <v>748</v>
      </c>
      <c r="I1291" s="23">
        <v>37000</v>
      </c>
    </row>
    <row r="1292" spans="1:9" s="17" customFormat="1" x14ac:dyDescent="0.25">
      <c r="A1292" s="14">
        <v>46203</v>
      </c>
      <c r="B1292" s="15" t="s">
        <v>1642</v>
      </c>
      <c r="C1292" s="15" t="s">
        <v>1034</v>
      </c>
      <c r="D1292" s="15" t="s">
        <v>312</v>
      </c>
      <c r="E1292" s="16">
        <v>2000</v>
      </c>
      <c r="F1292" s="16">
        <v>2000</v>
      </c>
      <c r="G1292" s="15">
        <v>0</v>
      </c>
      <c r="H1292" s="15" t="s">
        <v>748</v>
      </c>
      <c r="I1292" s="23">
        <v>2000</v>
      </c>
    </row>
    <row r="1293" spans="1:9" s="17" customFormat="1" x14ac:dyDescent="0.25">
      <c r="A1293" s="14">
        <v>46203</v>
      </c>
      <c r="B1293" s="15" t="s">
        <v>1643</v>
      </c>
      <c r="C1293" s="15" t="s">
        <v>194</v>
      </c>
      <c r="D1293" s="15" t="s">
        <v>663</v>
      </c>
      <c r="E1293" s="16">
        <v>143200</v>
      </c>
      <c r="F1293" s="16">
        <v>143200</v>
      </c>
      <c r="G1293" s="15">
        <v>0</v>
      </c>
      <c r="H1293" s="15" t="s">
        <v>748</v>
      </c>
      <c r="I1293" s="23">
        <v>143200</v>
      </c>
    </row>
    <row r="1294" spans="1:9" s="17" customFormat="1" x14ac:dyDescent="0.25">
      <c r="A1294" s="14">
        <v>46203</v>
      </c>
      <c r="B1294" s="15" t="s">
        <v>1644</v>
      </c>
      <c r="C1294" s="15" t="s">
        <v>194</v>
      </c>
      <c r="D1294" s="15" t="s">
        <v>663</v>
      </c>
      <c r="E1294" s="16">
        <v>211600</v>
      </c>
      <c r="F1294" s="16">
        <v>211600</v>
      </c>
      <c r="G1294" s="15">
        <v>0</v>
      </c>
      <c r="H1294" s="15" t="s">
        <v>748</v>
      </c>
      <c r="I1294" s="23">
        <v>211600</v>
      </c>
    </row>
    <row r="1295" spans="1:9" s="17" customFormat="1" x14ac:dyDescent="0.25">
      <c r="A1295" s="14">
        <v>46203</v>
      </c>
      <c r="B1295" s="15" t="s">
        <v>1645</v>
      </c>
      <c r="C1295" s="15" t="s">
        <v>194</v>
      </c>
      <c r="D1295" s="15" t="s">
        <v>663</v>
      </c>
      <c r="E1295" s="16">
        <v>211600</v>
      </c>
      <c r="F1295" s="16">
        <v>211600</v>
      </c>
      <c r="G1295" s="15">
        <v>0</v>
      </c>
      <c r="H1295" s="15" t="s">
        <v>748</v>
      </c>
      <c r="I1295" s="23">
        <v>211600</v>
      </c>
    </row>
    <row r="1296" spans="1:9" s="17" customFormat="1" x14ac:dyDescent="0.25">
      <c r="A1296" s="14">
        <v>46203</v>
      </c>
      <c r="B1296" s="15" t="s">
        <v>1646</v>
      </c>
      <c r="C1296" s="15" t="s">
        <v>194</v>
      </c>
      <c r="D1296" s="15" t="s">
        <v>531</v>
      </c>
      <c r="E1296" s="16">
        <v>56750</v>
      </c>
      <c r="F1296" s="16">
        <v>56750</v>
      </c>
      <c r="G1296" s="15">
        <v>0</v>
      </c>
      <c r="H1296" s="15" t="s">
        <v>748</v>
      </c>
      <c r="I1296" s="23">
        <v>56750</v>
      </c>
    </row>
    <row r="1297" spans="1:9" s="17" customFormat="1" x14ac:dyDescent="0.25">
      <c r="A1297" s="14">
        <v>46203</v>
      </c>
      <c r="B1297" s="15" t="s">
        <v>1647</v>
      </c>
      <c r="C1297" s="15" t="s">
        <v>194</v>
      </c>
      <c r="D1297" s="15" t="s">
        <v>531</v>
      </c>
      <c r="E1297" s="16">
        <v>55700</v>
      </c>
      <c r="F1297" s="16">
        <v>55700</v>
      </c>
      <c r="G1297" s="15">
        <v>0</v>
      </c>
      <c r="H1297" s="15" t="s">
        <v>748</v>
      </c>
      <c r="I1297" s="23">
        <v>55700</v>
      </c>
    </row>
    <row r="1298" spans="1:9" s="17" customFormat="1" x14ac:dyDescent="0.25">
      <c r="A1298" s="14">
        <v>46203</v>
      </c>
      <c r="B1298" s="15" t="s">
        <v>1648</v>
      </c>
      <c r="C1298" s="15" t="s">
        <v>1024</v>
      </c>
      <c r="D1298" s="15" t="s">
        <v>306</v>
      </c>
      <c r="E1298" s="16">
        <v>26550</v>
      </c>
      <c r="F1298" s="16">
        <v>26550</v>
      </c>
      <c r="G1298" s="15">
        <v>0</v>
      </c>
      <c r="H1298" s="15" t="s">
        <v>748</v>
      </c>
      <c r="I1298" s="23">
        <v>-26550</v>
      </c>
    </row>
    <row r="1299" spans="1:9" s="17" customFormat="1" x14ac:dyDescent="0.25">
      <c r="A1299" s="14">
        <v>46203</v>
      </c>
      <c r="B1299" s="15" t="s">
        <v>1649</v>
      </c>
      <c r="C1299" s="15" t="s">
        <v>199</v>
      </c>
      <c r="D1299" s="15" t="s">
        <v>317</v>
      </c>
      <c r="E1299" s="16">
        <v>372451.64</v>
      </c>
      <c r="F1299" s="16">
        <v>372451.64</v>
      </c>
      <c r="G1299" s="15">
        <v>0</v>
      </c>
      <c r="H1299" s="15" t="s">
        <v>748</v>
      </c>
      <c r="I1299" s="23">
        <v>372451.64</v>
      </c>
    </row>
    <row r="1300" spans="1:9" s="17" customFormat="1" x14ac:dyDescent="0.25">
      <c r="A1300" s="14">
        <v>46203</v>
      </c>
      <c r="B1300" s="15" t="s">
        <v>1650</v>
      </c>
      <c r="C1300" s="15" t="s">
        <v>200</v>
      </c>
      <c r="D1300" s="15" t="s">
        <v>531</v>
      </c>
      <c r="E1300" s="16">
        <v>57820</v>
      </c>
      <c r="F1300" s="16">
        <v>57820</v>
      </c>
      <c r="G1300" s="15">
        <v>0</v>
      </c>
      <c r="H1300" s="15" t="s">
        <v>748</v>
      </c>
      <c r="I1300" s="23">
        <v>57820</v>
      </c>
    </row>
    <row r="1301" spans="1:9" s="17" customFormat="1" x14ac:dyDescent="0.25">
      <c r="A1301" s="14">
        <v>46203</v>
      </c>
      <c r="B1301" s="15" t="s">
        <v>1651</v>
      </c>
      <c r="C1301" s="15" t="s">
        <v>204</v>
      </c>
      <c r="D1301" s="15" t="s">
        <v>321</v>
      </c>
      <c r="E1301" s="16">
        <v>53460</v>
      </c>
      <c r="F1301" s="16">
        <v>53460</v>
      </c>
      <c r="G1301" s="15">
        <v>0</v>
      </c>
      <c r="H1301" s="15" t="s">
        <v>748</v>
      </c>
      <c r="I1301" s="23">
        <v>53460</v>
      </c>
    </row>
    <row r="1302" spans="1:9" s="17" customFormat="1" x14ac:dyDescent="0.25">
      <c r="A1302" s="14">
        <v>46203</v>
      </c>
      <c r="B1302" s="15" t="s">
        <v>1652</v>
      </c>
      <c r="C1302" s="15" t="s">
        <v>209</v>
      </c>
      <c r="D1302" s="15" t="s">
        <v>332</v>
      </c>
      <c r="E1302" s="16">
        <v>267096.96000000002</v>
      </c>
      <c r="F1302" s="16">
        <v>267096.96000000002</v>
      </c>
      <c r="G1302" s="15">
        <v>0</v>
      </c>
      <c r="H1302" s="15" t="s">
        <v>748</v>
      </c>
      <c r="I1302" s="23">
        <v>267096.96000000002</v>
      </c>
    </row>
    <row r="1303" spans="1:9" s="17" customFormat="1" x14ac:dyDescent="0.25">
      <c r="A1303" s="14">
        <v>46203</v>
      </c>
      <c r="B1303" s="15" t="s">
        <v>1653</v>
      </c>
      <c r="C1303" s="15" t="s">
        <v>209</v>
      </c>
      <c r="D1303" s="15" t="s">
        <v>332</v>
      </c>
      <c r="E1303" s="16">
        <v>415560.72</v>
      </c>
      <c r="F1303" s="16">
        <v>415560.72</v>
      </c>
      <c r="G1303" s="15">
        <v>0</v>
      </c>
      <c r="H1303" s="15" t="s">
        <v>748</v>
      </c>
      <c r="I1303" s="23">
        <v>415560.72</v>
      </c>
    </row>
    <row r="1304" spans="1:9" s="17" customFormat="1" x14ac:dyDescent="0.25">
      <c r="A1304" s="14">
        <v>46203</v>
      </c>
      <c r="B1304" s="15" t="s">
        <v>1654</v>
      </c>
      <c r="C1304" s="15" t="s">
        <v>209</v>
      </c>
      <c r="D1304" s="15" t="s">
        <v>332</v>
      </c>
      <c r="E1304" s="16">
        <v>72772.600000000006</v>
      </c>
      <c r="F1304" s="16">
        <v>72772.600000000006</v>
      </c>
      <c r="G1304" s="15">
        <v>0</v>
      </c>
      <c r="H1304" s="15" t="s">
        <v>748</v>
      </c>
      <c r="I1304" s="23">
        <v>72772.600000000006</v>
      </c>
    </row>
    <row r="1305" spans="1:9" s="17" customFormat="1" x14ac:dyDescent="0.25">
      <c r="A1305" s="14">
        <v>46203</v>
      </c>
      <c r="B1305" s="15" t="s">
        <v>1655</v>
      </c>
      <c r="C1305" s="15" t="s">
        <v>209</v>
      </c>
      <c r="D1305" s="15" t="s">
        <v>332</v>
      </c>
      <c r="E1305" s="16">
        <v>129008.24</v>
      </c>
      <c r="F1305" s="16">
        <v>129008.24</v>
      </c>
      <c r="G1305" s="15">
        <v>0</v>
      </c>
      <c r="H1305" s="15" t="s">
        <v>748</v>
      </c>
      <c r="I1305" s="23">
        <v>129008.24</v>
      </c>
    </row>
    <row r="1306" spans="1:9" s="17" customFormat="1" x14ac:dyDescent="0.25">
      <c r="A1306" s="14">
        <v>46203</v>
      </c>
      <c r="B1306" s="15" t="s">
        <v>528</v>
      </c>
      <c r="C1306" s="15" t="s">
        <v>210</v>
      </c>
      <c r="D1306" s="15" t="s">
        <v>280</v>
      </c>
      <c r="E1306" s="16">
        <v>196989.8</v>
      </c>
      <c r="F1306" s="16">
        <v>210446.04</v>
      </c>
      <c r="G1306" s="15">
        <v>0</v>
      </c>
      <c r="H1306" s="15" t="s">
        <v>748</v>
      </c>
      <c r="I1306" s="23">
        <v>210446.04</v>
      </c>
    </row>
    <row r="1307" spans="1:9" s="17" customFormat="1" x14ac:dyDescent="0.25">
      <c r="A1307" s="14">
        <v>46203</v>
      </c>
      <c r="B1307" s="15" t="s">
        <v>1656</v>
      </c>
      <c r="C1307" s="15" t="s">
        <v>210</v>
      </c>
      <c r="D1307" s="15" t="s">
        <v>347</v>
      </c>
      <c r="E1307" s="16">
        <v>133980</v>
      </c>
      <c r="F1307" s="16">
        <v>133980</v>
      </c>
      <c r="G1307" s="15">
        <v>0</v>
      </c>
      <c r="H1307" s="15" t="s">
        <v>748</v>
      </c>
      <c r="I1307" s="23">
        <v>133980</v>
      </c>
    </row>
    <row r="1308" spans="1:9" s="17" customFormat="1" x14ac:dyDescent="0.25">
      <c r="A1308" s="14">
        <v>46203</v>
      </c>
      <c r="B1308" s="15" t="s">
        <v>1657</v>
      </c>
      <c r="C1308" s="15" t="s">
        <v>211</v>
      </c>
      <c r="D1308" s="15" t="s">
        <v>335</v>
      </c>
      <c r="E1308" s="16">
        <v>450130</v>
      </c>
      <c r="F1308" s="16">
        <v>450130</v>
      </c>
      <c r="G1308" s="15">
        <v>0</v>
      </c>
      <c r="H1308" s="15" t="s">
        <v>748</v>
      </c>
      <c r="I1308" s="23">
        <v>450130</v>
      </c>
    </row>
    <row r="1309" spans="1:9" s="17" customFormat="1" x14ac:dyDescent="0.25">
      <c r="A1309" s="14">
        <v>46203</v>
      </c>
      <c r="B1309" s="15" t="s">
        <v>1658</v>
      </c>
      <c r="C1309" s="15" t="s">
        <v>216</v>
      </c>
      <c r="D1309" s="15" t="s">
        <v>306</v>
      </c>
      <c r="E1309" s="16">
        <v>95550</v>
      </c>
      <c r="F1309" s="16">
        <v>95550</v>
      </c>
      <c r="G1309" s="15">
        <v>0</v>
      </c>
      <c r="H1309" s="15" t="s">
        <v>748</v>
      </c>
      <c r="I1309" s="23">
        <v>95550</v>
      </c>
    </row>
    <row r="1310" spans="1:9" s="17" customFormat="1" x14ac:dyDescent="0.25">
      <c r="A1310" s="14">
        <v>46203</v>
      </c>
      <c r="B1310" s="15" t="s">
        <v>1659</v>
      </c>
      <c r="C1310" s="15" t="s">
        <v>216</v>
      </c>
      <c r="D1310" s="15" t="s">
        <v>306</v>
      </c>
      <c r="E1310" s="16">
        <v>111475</v>
      </c>
      <c r="F1310" s="16">
        <v>111475</v>
      </c>
      <c r="G1310" s="15">
        <v>0</v>
      </c>
      <c r="H1310" s="15" t="s">
        <v>748</v>
      </c>
      <c r="I1310" s="23">
        <v>111475</v>
      </c>
    </row>
    <row r="1311" spans="1:9" s="17" customFormat="1" x14ac:dyDescent="0.25">
      <c r="A1311" s="14">
        <v>46203</v>
      </c>
      <c r="B1311" s="15" t="s">
        <v>1660</v>
      </c>
      <c r="C1311" s="15" t="s">
        <v>216</v>
      </c>
      <c r="D1311" s="15" t="s">
        <v>306</v>
      </c>
      <c r="E1311" s="16">
        <v>126175</v>
      </c>
      <c r="F1311" s="16">
        <v>126175</v>
      </c>
      <c r="G1311" s="15">
        <v>0</v>
      </c>
      <c r="H1311" s="15" t="s">
        <v>748</v>
      </c>
      <c r="I1311" s="23">
        <v>126175</v>
      </c>
    </row>
    <row r="1312" spans="1:9" s="17" customFormat="1" x14ac:dyDescent="0.25">
      <c r="A1312" s="14">
        <v>46203</v>
      </c>
      <c r="B1312" s="15" t="s">
        <v>1661</v>
      </c>
      <c r="C1312" s="15" t="s">
        <v>216</v>
      </c>
      <c r="D1312" s="15" t="s">
        <v>306</v>
      </c>
      <c r="E1312" s="16">
        <v>95550</v>
      </c>
      <c r="F1312" s="16">
        <v>95550</v>
      </c>
      <c r="G1312" s="15">
        <v>0</v>
      </c>
      <c r="H1312" s="15" t="s">
        <v>748</v>
      </c>
      <c r="I1312" s="23">
        <v>95550</v>
      </c>
    </row>
    <row r="1313" spans="1:9" s="17" customFormat="1" x14ac:dyDescent="0.25">
      <c r="A1313" s="14">
        <v>46203</v>
      </c>
      <c r="B1313" s="15" t="s">
        <v>1662</v>
      </c>
      <c r="C1313" s="15" t="s">
        <v>216</v>
      </c>
      <c r="D1313" s="15" t="s">
        <v>306</v>
      </c>
      <c r="E1313" s="16">
        <v>95550</v>
      </c>
      <c r="F1313" s="16">
        <v>95550</v>
      </c>
      <c r="G1313" s="15">
        <v>0</v>
      </c>
      <c r="H1313" s="15" t="s">
        <v>748</v>
      </c>
      <c r="I1313" s="23">
        <v>95550</v>
      </c>
    </row>
    <row r="1314" spans="1:9" s="17" customFormat="1" x14ac:dyDescent="0.25">
      <c r="A1314" s="14">
        <v>46203</v>
      </c>
      <c r="B1314" s="15" t="s">
        <v>1663</v>
      </c>
      <c r="C1314" s="15" t="s">
        <v>216</v>
      </c>
      <c r="D1314" s="15" t="s">
        <v>306</v>
      </c>
      <c r="E1314" s="16">
        <v>98490</v>
      </c>
      <c r="F1314" s="16">
        <v>98490</v>
      </c>
      <c r="G1314" s="15">
        <v>0</v>
      </c>
      <c r="H1314" s="15" t="s">
        <v>748</v>
      </c>
      <c r="I1314" s="23">
        <v>98490</v>
      </c>
    </row>
    <row r="1315" spans="1:9" s="17" customFormat="1" x14ac:dyDescent="0.25">
      <c r="A1315" s="14">
        <v>46203</v>
      </c>
      <c r="B1315" s="15" t="s">
        <v>1664</v>
      </c>
      <c r="C1315" s="15" t="s">
        <v>216</v>
      </c>
      <c r="D1315" s="15" t="s">
        <v>347</v>
      </c>
      <c r="E1315" s="16">
        <v>85750</v>
      </c>
      <c r="F1315" s="16">
        <v>85750</v>
      </c>
      <c r="G1315" s="15">
        <v>0</v>
      </c>
      <c r="H1315" s="15" t="s">
        <v>748</v>
      </c>
      <c r="I1315" s="23">
        <v>85750</v>
      </c>
    </row>
    <row r="1316" spans="1:9" s="17" customFormat="1" x14ac:dyDescent="0.25">
      <c r="A1316" s="14">
        <v>46203</v>
      </c>
      <c r="B1316" s="15" t="s">
        <v>1665</v>
      </c>
      <c r="C1316" s="15" t="s">
        <v>216</v>
      </c>
      <c r="D1316" s="15" t="s">
        <v>347</v>
      </c>
      <c r="E1316" s="16">
        <v>88200</v>
      </c>
      <c r="F1316" s="16">
        <v>88200</v>
      </c>
      <c r="G1316" s="15">
        <v>0</v>
      </c>
      <c r="H1316" s="15" t="s">
        <v>748</v>
      </c>
      <c r="I1316" s="23">
        <v>88200</v>
      </c>
    </row>
    <row r="1317" spans="1:9" s="17" customFormat="1" x14ac:dyDescent="0.25">
      <c r="A1317" s="14"/>
      <c r="B1317" s="15"/>
      <c r="C1317" s="15"/>
      <c r="D1317" s="15"/>
      <c r="E1317" s="16"/>
      <c r="F1317" s="16"/>
      <c r="G1317" s="15"/>
      <c r="H1317" s="15"/>
      <c r="I1317" s="16"/>
    </row>
    <row r="1318" spans="1:9" s="17" customFormat="1" x14ac:dyDescent="0.25">
      <c r="A1318" s="14" t="s">
        <v>1667</v>
      </c>
      <c r="B1318" s="14" t="s">
        <v>1667</v>
      </c>
      <c r="C1318" s="14" t="s">
        <v>1667</v>
      </c>
      <c r="D1318" s="14" t="s">
        <v>1667</v>
      </c>
      <c r="E1318" s="14" t="s">
        <v>1667</v>
      </c>
      <c r="F1318" s="14" t="s">
        <v>1667</v>
      </c>
      <c r="G1318" s="14" t="s">
        <v>1667</v>
      </c>
      <c r="H1318" s="14" t="s">
        <v>1667</v>
      </c>
      <c r="I1318" s="14" t="s">
        <v>1667</v>
      </c>
    </row>
  </sheetData>
  <autoFilter ref="A4:I131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0"/>
  <sheetViews>
    <sheetView workbookViewId="0">
      <pane xSplit="2" ySplit="4" topLeftCell="C5" activePane="bottomRight" state="frozen"/>
      <selection pane="topRight"/>
      <selection pane="bottomLeft"/>
      <selection pane="bottomRight" activeCell="A4" sqref="A4"/>
    </sheetView>
  </sheetViews>
  <sheetFormatPr defaultRowHeight="15" x14ac:dyDescent="0.25"/>
  <cols>
    <col min="1" max="1" width="6" customWidth="1"/>
    <col min="2" max="2" width="50" customWidth="1"/>
    <col min="3" max="3" width="16" customWidth="1"/>
    <col min="4" max="4" width="18" customWidth="1"/>
    <col min="5" max="5" width="22" customWidth="1"/>
    <col min="6" max="6" width="2" customWidth="1"/>
    <col min="7" max="7" width="16" customWidth="1"/>
    <col min="8" max="14" width="14" customWidth="1"/>
    <col min="15" max="16" width="16" customWidth="1"/>
    <col min="17" max="17" width="14" customWidth="1"/>
  </cols>
  <sheetData>
    <row r="1" spans="1:17" ht="21.95" customHeight="1" x14ac:dyDescent="0.25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20.100000000000001" customHeight="1" x14ac:dyDescent="0.25">
      <c r="A2" s="28" t="s">
        <v>1671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3"/>
      <c r="B3" s="4" t="s">
        <v>961</v>
      </c>
      <c r="C3" s="3"/>
      <c r="D3" s="3"/>
      <c r="E3" s="3"/>
      <c r="F3" s="3"/>
      <c r="G3" s="5">
        <f>SUBTOTAL(9,G5:G189)</f>
        <v>182750479.76999998</v>
      </c>
      <c r="H3" s="5">
        <f>SUBTOTAL(9,H5:H189)</f>
        <v>109325520.54000001</v>
      </c>
      <c r="I3" s="5">
        <f>SUBTOTAL(9,I5:I189)</f>
        <v>13959869.6</v>
      </c>
      <c r="J3" s="5">
        <f>SUBTOTAL(9,J5:J189)</f>
        <v>12910754.77</v>
      </c>
      <c r="K3" s="5">
        <f>SUBTOTAL(9,K5:K189)</f>
        <v>10238610.199999999</v>
      </c>
      <c r="L3" s="5">
        <f>SUBTOTAL(9,L5:L189)</f>
        <v>18449868.650000002</v>
      </c>
      <c r="M3" s="5">
        <f>SUBTOTAL(9,M5:M189)</f>
        <v>1354071.3</v>
      </c>
      <c r="N3" s="5">
        <f>SUBTOTAL(9,N5:N189)</f>
        <v>10572313.290000001</v>
      </c>
      <c r="O3" s="5">
        <f>SUBTOTAL(9,O5:O189)</f>
        <v>5938810.4699999988</v>
      </c>
      <c r="P3" s="5">
        <f>SUBTOTAL(9,P5:P189)</f>
        <v>182749818.81999999</v>
      </c>
      <c r="Q3" s="5">
        <f>SUBTOTAL(9,Q5:Q189)</f>
        <v>660.95000000000073</v>
      </c>
    </row>
    <row r="4" spans="1:17" ht="32.1" customHeight="1" x14ac:dyDescent="0.25">
      <c r="A4" s="6" t="s">
        <v>962</v>
      </c>
      <c r="B4" s="6" t="s">
        <v>963</v>
      </c>
      <c r="C4" s="6" t="s">
        <v>964</v>
      </c>
      <c r="D4" s="6" t="s">
        <v>965</v>
      </c>
      <c r="E4" s="6" t="s">
        <v>966</v>
      </c>
      <c r="F4" s="6"/>
      <c r="G4" s="6" t="s">
        <v>967</v>
      </c>
      <c r="H4" s="6" t="s">
        <v>748</v>
      </c>
      <c r="I4" s="6" t="s">
        <v>659</v>
      </c>
      <c r="J4" s="6" t="s">
        <v>585</v>
      </c>
      <c r="K4" s="6" t="s">
        <v>490</v>
      </c>
      <c r="L4" s="6" t="s">
        <v>467</v>
      </c>
      <c r="M4" s="6" t="s">
        <v>435</v>
      </c>
      <c r="N4" s="6" t="s">
        <v>323</v>
      </c>
      <c r="O4" s="6" t="s">
        <v>233</v>
      </c>
      <c r="P4" s="6" t="s">
        <v>968</v>
      </c>
      <c r="Q4" s="6" t="s">
        <v>969</v>
      </c>
    </row>
    <row r="5" spans="1:17" s="17" customFormat="1" x14ac:dyDescent="0.25">
      <c r="A5" s="7"/>
      <c r="B5" s="8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17" customFormat="1" x14ac:dyDescent="0.25">
      <c r="A6" s="7">
        <v>1</v>
      </c>
      <c r="B6" s="8" t="s">
        <v>139</v>
      </c>
      <c r="C6" s="8" t="s">
        <v>306</v>
      </c>
      <c r="D6" s="8" t="s">
        <v>988</v>
      </c>
      <c r="E6" s="8" t="s">
        <v>1002</v>
      </c>
      <c r="F6" s="8"/>
      <c r="G6" s="9">
        <f>IFERROR(SUMIFS(TB!C:C,TB!A:A,B6)-SUMIFS(TB!B:B,TB!A:A,B6),0)</f>
        <v>1000</v>
      </c>
      <c r="H6" s="9">
        <f>SUMIFS('Bill Wise'!I:I,'Bill Wise'!C:C,B6,'Bill Wise'!H:H,"0-30 Days")</f>
        <v>1000</v>
      </c>
      <c r="I6" s="9">
        <f>SUMIFS('Bill Wise'!I:I,'Bill Wise'!C:C,B6,'Bill Wise'!H:H,"31-60 Days")</f>
        <v>0</v>
      </c>
      <c r="J6" s="9">
        <f>SUMIFS('Bill Wise'!I:I,'Bill Wise'!C:C,B6,'Bill Wise'!H:H,"61-90 Days")</f>
        <v>0</v>
      </c>
      <c r="K6" s="9">
        <f>SUMIFS('Bill Wise'!I:I,'Bill Wise'!C:C,B6,'Bill Wise'!H:H,"91-120 Days")</f>
        <v>0</v>
      </c>
      <c r="L6" s="9">
        <f>SUMIFS('Bill Wise'!I:I,'Bill Wise'!C:C,B6,'Bill Wise'!H:H,"121-150 Days")</f>
        <v>0</v>
      </c>
      <c r="M6" s="9">
        <f>SUMIFS('Bill Wise'!I:I,'Bill Wise'!C:C,B6,'Bill Wise'!H:H,"151-180 Days")</f>
        <v>0</v>
      </c>
      <c r="N6" s="9">
        <f>SUMIFS('Bill Wise'!I:I,'Bill Wise'!C:C,B6,'Bill Wise'!H:H,"181-365 Days")</f>
        <v>0</v>
      </c>
      <c r="O6" s="9">
        <f>SUMIFS('Bill Wise'!I:I,'Bill Wise'!C:C,B6,'Bill Wise'!H:H,"Above 365 Days")</f>
        <v>0</v>
      </c>
      <c r="P6" s="9">
        <f t="shared" ref="P6:P35" si="0">SUM(H6:O6)</f>
        <v>1000</v>
      </c>
      <c r="Q6" s="9">
        <f t="shared" ref="Q6:Q35" si="1">G6-P6</f>
        <v>0</v>
      </c>
    </row>
    <row r="7" spans="1:17" s="17" customFormat="1" x14ac:dyDescent="0.25">
      <c r="A7" s="7">
        <v>2</v>
      </c>
      <c r="B7" s="8" t="s">
        <v>1034</v>
      </c>
      <c r="C7" s="8" t="s">
        <v>312</v>
      </c>
      <c r="D7" s="8" t="s">
        <v>971</v>
      </c>
      <c r="E7" s="8" t="s">
        <v>982</v>
      </c>
      <c r="F7" s="8"/>
      <c r="G7" s="9">
        <f>IFERROR(SUMIFS(TB!C:C,TB!A:A,B7)-SUMIFS(TB!B:B,TB!A:A,B7),0)</f>
        <v>2000</v>
      </c>
      <c r="H7" s="9">
        <f>SUMIFS('Bill Wise'!I:I,'Bill Wise'!C:C,B7,'Bill Wise'!H:H,"0-30 Days")</f>
        <v>2000</v>
      </c>
      <c r="I7" s="9">
        <f>SUMIFS('Bill Wise'!I:I,'Bill Wise'!C:C,B7,'Bill Wise'!H:H,"31-60 Days")</f>
        <v>0</v>
      </c>
      <c r="J7" s="9">
        <f>SUMIFS('Bill Wise'!I:I,'Bill Wise'!C:C,B7,'Bill Wise'!H:H,"61-90 Days")</f>
        <v>0</v>
      </c>
      <c r="K7" s="9">
        <f>SUMIFS('Bill Wise'!I:I,'Bill Wise'!C:C,B7,'Bill Wise'!H:H,"91-120 Days")</f>
        <v>0</v>
      </c>
      <c r="L7" s="9">
        <f>SUMIFS('Bill Wise'!I:I,'Bill Wise'!C:C,B7,'Bill Wise'!H:H,"121-150 Days")</f>
        <v>0</v>
      </c>
      <c r="M7" s="9">
        <f>SUMIFS('Bill Wise'!I:I,'Bill Wise'!C:C,B7,'Bill Wise'!H:H,"151-180 Days")</f>
        <v>0</v>
      </c>
      <c r="N7" s="9">
        <f>SUMIFS('Bill Wise'!I:I,'Bill Wise'!C:C,B7,'Bill Wise'!H:H,"181-365 Days")</f>
        <v>0</v>
      </c>
      <c r="O7" s="9">
        <f>SUMIFS('Bill Wise'!I:I,'Bill Wise'!C:C,B7,'Bill Wise'!H:H,"Above 365 Days")</f>
        <v>0</v>
      </c>
      <c r="P7" s="9">
        <f t="shared" si="0"/>
        <v>2000</v>
      </c>
      <c r="Q7" s="9">
        <f t="shared" si="1"/>
        <v>0</v>
      </c>
    </row>
    <row r="8" spans="1:17" s="17" customFormat="1" x14ac:dyDescent="0.25">
      <c r="A8" s="7">
        <v>3</v>
      </c>
      <c r="B8" s="8" t="s">
        <v>1035</v>
      </c>
      <c r="C8" s="8" t="s">
        <v>312</v>
      </c>
      <c r="D8" s="8" t="s">
        <v>971</v>
      </c>
      <c r="E8" s="8" t="s">
        <v>1678</v>
      </c>
      <c r="F8" s="8"/>
      <c r="G8" s="9">
        <f>IFERROR(SUMIFS(TB!C:C,TB!A:A,B8)-SUMIFS(TB!B:B,TB!A:A,B8),0)</f>
        <v>2472.1</v>
      </c>
      <c r="H8" s="9">
        <f>SUMIFS('Bill Wise'!I:I,'Bill Wise'!C:C,B8,'Bill Wise'!H:H,"0-30 Days")</f>
        <v>2472.1</v>
      </c>
      <c r="I8" s="9">
        <f>SUMIFS('Bill Wise'!I:I,'Bill Wise'!C:C,B8,'Bill Wise'!H:H,"31-60 Days")</f>
        <v>0</v>
      </c>
      <c r="J8" s="9">
        <f>SUMIFS('Bill Wise'!I:I,'Bill Wise'!C:C,B8,'Bill Wise'!H:H,"61-90 Days")</f>
        <v>0</v>
      </c>
      <c r="K8" s="9">
        <f>SUMIFS('Bill Wise'!I:I,'Bill Wise'!C:C,B8,'Bill Wise'!H:H,"91-120 Days")</f>
        <v>0</v>
      </c>
      <c r="L8" s="9">
        <f>SUMIFS('Bill Wise'!I:I,'Bill Wise'!C:C,B8,'Bill Wise'!H:H,"121-150 Days")</f>
        <v>0</v>
      </c>
      <c r="M8" s="9">
        <f>SUMIFS('Bill Wise'!I:I,'Bill Wise'!C:C,B8,'Bill Wise'!H:H,"151-180 Days")</f>
        <v>0</v>
      </c>
      <c r="N8" s="9">
        <f>SUMIFS('Bill Wise'!I:I,'Bill Wise'!C:C,B8,'Bill Wise'!H:H,"181-365 Days")</f>
        <v>0</v>
      </c>
      <c r="O8" s="9">
        <f>SUMIFS('Bill Wise'!I:I,'Bill Wise'!C:C,B8,'Bill Wise'!H:H,"Above 365 Days")</f>
        <v>0</v>
      </c>
      <c r="P8" s="9">
        <f t="shared" si="0"/>
        <v>2472.1</v>
      </c>
      <c r="Q8" s="9">
        <f t="shared" si="1"/>
        <v>0</v>
      </c>
    </row>
    <row r="9" spans="1:17" s="17" customFormat="1" x14ac:dyDescent="0.25">
      <c r="A9" s="7">
        <v>4</v>
      </c>
      <c r="B9" s="8" t="s">
        <v>21</v>
      </c>
      <c r="C9" s="8" t="s">
        <v>253</v>
      </c>
      <c r="D9" s="8" t="s">
        <v>971</v>
      </c>
      <c r="E9" s="8" t="s">
        <v>982</v>
      </c>
      <c r="F9" s="8"/>
      <c r="G9" s="9">
        <f>IFERROR(SUMIFS(TB!C:C,TB!A:A,B9)-SUMIFS(TB!B:B,TB!A:A,B9),0)</f>
        <v>3000</v>
      </c>
      <c r="H9" s="9">
        <f>SUMIFS('Bill Wise'!I:I,'Bill Wise'!C:C,B9,'Bill Wise'!H:H,"0-30 Days")</f>
        <v>3000</v>
      </c>
      <c r="I9" s="9">
        <f>SUMIFS('Bill Wise'!I:I,'Bill Wise'!C:C,B9,'Bill Wise'!H:H,"31-60 Days")</f>
        <v>0</v>
      </c>
      <c r="J9" s="9">
        <f>SUMIFS('Bill Wise'!I:I,'Bill Wise'!C:C,B9,'Bill Wise'!H:H,"61-90 Days")</f>
        <v>0</v>
      </c>
      <c r="K9" s="9">
        <f>SUMIFS('Bill Wise'!I:I,'Bill Wise'!C:C,B9,'Bill Wise'!H:H,"91-120 Days")</f>
        <v>0</v>
      </c>
      <c r="L9" s="9">
        <f>SUMIFS('Bill Wise'!I:I,'Bill Wise'!C:C,B9,'Bill Wise'!H:H,"121-150 Days")</f>
        <v>0</v>
      </c>
      <c r="M9" s="9">
        <f>SUMIFS('Bill Wise'!I:I,'Bill Wise'!C:C,B9,'Bill Wise'!H:H,"151-180 Days")</f>
        <v>0</v>
      </c>
      <c r="N9" s="9">
        <f>SUMIFS('Bill Wise'!I:I,'Bill Wise'!C:C,B9,'Bill Wise'!H:H,"181-365 Days")</f>
        <v>0</v>
      </c>
      <c r="O9" s="9">
        <f>SUMIFS('Bill Wise'!I:I,'Bill Wise'!C:C,B9,'Bill Wise'!H:H,"Above 365 Days")</f>
        <v>0</v>
      </c>
      <c r="P9" s="9">
        <f t="shared" si="0"/>
        <v>3000</v>
      </c>
      <c r="Q9" s="9">
        <f t="shared" si="1"/>
        <v>0</v>
      </c>
    </row>
    <row r="10" spans="1:17" s="17" customFormat="1" x14ac:dyDescent="0.25">
      <c r="A10" s="7">
        <v>5</v>
      </c>
      <c r="B10" s="8" t="s">
        <v>51</v>
      </c>
      <c r="C10" s="8" t="s">
        <v>280</v>
      </c>
      <c r="D10" s="8" t="s">
        <v>971</v>
      </c>
      <c r="E10" s="8" t="s">
        <v>978</v>
      </c>
      <c r="F10" s="8"/>
      <c r="G10" s="9">
        <f>IFERROR(SUMIFS(TB!C:C,TB!A:A,B10)-SUMIFS(TB!B:B,TB!A:A,B10),0)</f>
        <v>3000</v>
      </c>
      <c r="H10" s="9">
        <f>SUMIFS('Bill Wise'!I:I,'Bill Wise'!C:C,B10,'Bill Wise'!H:H,"0-30 Days")</f>
        <v>3000</v>
      </c>
      <c r="I10" s="9">
        <f>SUMIFS('Bill Wise'!I:I,'Bill Wise'!C:C,B10,'Bill Wise'!H:H,"31-60 Days")</f>
        <v>0</v>
      </c>
      <c r="J10" s="9">
        <f>SUMIFS('Bill Wise'!I:I,'Bill Wise'!C:C,B10,'Bill Wise'!H:H,"61-90 Days")</f>
        <v>0</v>
      </c>
      <c r="K10" s="9">
        <f>SUMIFS('Bill Wise'!I:I,'Bill Wise'!C:C,B10,'Bill Wise'!H:H,"91-120 Days")</f>
        <v>0</v>
      </c>
      <c r="L10" s="9">
        <f>SUMIFS('Bill Wise'!I:I,'Bill Wise'!C:C,B10,'Bill Wise'!H:H,"121-150 Days")</f>
        <v>0</v>
      </c>
      <c r="M10" s="9">
        <f>SUMIFS('Bill Wise'!I:I,'Bill Wise'!C:C,B10,'Bill Wise'!H:H,"151-180 Days")</f>
        <v>0</v>
      </c>
      <c r="N10" s="9">
        <f>SUMIFS('Bill Wise'!I:I,'Bill Wise'!C:C,B10,'Bill Wise'!H:H,"181-365 Days")</f>
        <v>0</v>
      </c>
      <c r="O10" s="9">
        <f>SUMIFS('Bill Wise'!I:I,'Bill Wise'!C:C,B10,'Bill Wise'!H:H,"Above 365 Days")</f>
        <v>0</v>
      </c>
      <c r="P10" s="9">
        <f t="shared" si="0"/>
        <v>3000</v>
      </c>
      <c r="Q10" s="9">
        <f t="shared" si="1"/>
        <v>0</v>
      </c>
    </row>
    <row r="11" spans="1:17" s="17" customFormat="1" x14ac:dyDescent="0.25">
      <c r="A11" s="7">
        <v>6</v>
      </c>
      <c r="B11" s="8" t="s">
        <v>1036</v>
      </c>
      <c r="C11" s="8" t="s">
        <v>317</v>
      </c>
      <c r="D11" s="8" t="s">
        <v>981</v>
      </c>
      <c r="E11" s="8" t="s">
        <v>1677</v>
      </c>
      <c r="F11" s="8"/>
      <c r="G11" s="9">
        <f>IFERROR(SUMIFS(TB!C:C,TB!A:A,B11)-SUMIFS(TB!B:B,TB!A:A,B11),0)</f>
        <v>3519</v>
      </c>
      <c r="H11" s="9">
        <f>SUMIFS('Bill Wise'!I:I,'Bill Wise'!C:C,B11,'Bill Wise'!H:H,"0-30 Days")</f>
        <v>3519</v>
      </c>
      <c r="I11" s="9">
        <f>SUMIFS('Bill Wise'!I:I,'Bill Wise'!C:C,B11,'Bill Wise'!H:H,"31-60 Days")</f>
        <v>0</v>
      </c>
      <c r="J11" s="9">
        <f>SUMIFS('Bill Wise'!I:I,'Bill Wise'!C:C,B11,'Bill Wise'!H:H,"61-90 Days")</f>
        <v>0</v>
      </c>
      <c r="K11" s="9">
        <f>SUMIFS('Bill Wise'!I:I,'Bill Wise'!C:C,B11,'Bill Wise'!H:H,"91-120 Days")</f>
        <v>0</v>
      </c>
      <c r="L11" s="9">
        <f>SUMIFS('Bill Wise'!I:I,'Bill Wise'!C:C,B11,'Bill Wise'!H:H,"121-150 Days")</f>
        <v>0</v>
      </c>
      <c r="M11" s="9">
        <f>SUMIFS('Bill Wise'!I:I,'Bill Wise'!C:C,B11,'Bill Wise'!H:H,"151-180 Days")</f>
        <v>0</v>
      </c>
      <c r="N11" s="9">
        <f>SUMIFS('Bill Wise'!I:I,'Bill Wise'!C:C,B11,'Bill Wise'!H:H,"181-365 Days")</f>
        <v>0</v>
      </c>
      <c r="O11" s="9">
        <f>SUMIFS('Bill Wise'!I:I,'Bill Wise'!C:C,B11,'Bill Wise'!H:H,"Above 365 Days")</f>
        <v>0</v>
      </c>
      <c r="P11" s="9">
        <f t="shared" si="0"/>
        <v>3519</v>
      </c>
      <c r="Q11" s="9">
        <f t="shared" si="1"/>
        <v>0</v>
      </c>
    </row>
    <row r="12" spans="1:17" s="17" customFormat="1" x14ac:dyDescent="0.25">
      <c r="A12" s="7">
        <v>7</v>
      </c>
      <c r="B12" s="8" t="s">
        <v>213</v>
      </c>
      <c r="C12" s="8" t="s">
        <v>280</v>
      </c>
      <c r="D12" s="8" t="s">
        <v>971</v>
      </c>
      <c r="E12" s="8" t="s">
        <v>978</v>
      </c>
      <c r="F12" s="8"/>
      <c r="G12" s="9">
        <f>IFERROR(SUMIFS(TB!C:C,TB!A:A,B12)-SUMIFS(TB!B:B,TB!A:A,B12),0)</f>
        <v>3606</v>
      </c>
      <c r="H12" s="9">
        <f>SUMIFS('Bill Wise'!I:I,'Bill Wise'!C:C,B12,'Bill Wise'!H:H,"0-30 Days")</f>
        <v>3606</v>
      </c>
      <c r="I12" s="9">
        <f>SUMIFS('Bill Wise'!I:I,'Bill Wise'!C:C,B12,'Bill Wise'!H:H,"31-60 Days")</f>
        <v>0</v>
      </c>
      <c r="J12" s="9">
        <f>SUMIFS('Bill Wise'!I:I,'Bill Wise'!C:C,B12,'Bill Wise'!H:H,"61-90 Days")</f>
        <v>0</v>
      </c>
      <c r="K12" s="9">
        <f>SUMIFS('Bill Wise'!I:I,'Bill Wise'!C:C,B12,'Bill Wise'!H:H,"91-120 Days")</f>
        <v>0</v>
      </c>
      <c r="L12" s="9">
        <f>SUMIFS('Bill Wise'!I:I,'Bill Wise'!C:C,B12,'Bill Wise'!H:H,"121-150 Days")</f>
        <v>0</v>
      </c>
      <c r="M12" s="9">
        <f>SUMIFS('Bill Wise'!I:I,'Bill Wise'!C:C,B12,'Bill Wise'!H:H,"151-180 Days")</f>
        <v>0</v>
      </c>
      <c r="N12" s="9">
        <f>SUMIFS('Bill Wise'!I:I,'Bill Wise'!C:C,B12,'Bill Wise'!H:H,"181-365 Days")</f>
        <v>0</v>
      </c>
      <c r="O12" s="9">
        <f>SUMIFS('Bill Wise'!I:I,'Bill Wise'!C:C,B12,'Bill Wise'!H:H,"Above 365 Days")</f>
        <v>0</v>
      </c>
      <c r="P12" s="9">
        <f t="shared" si="0"/>
        <v>3606</v>
      </c>
      <c r="Q12" s="9">
        <f t="shared" si="1"/>
        <v>0</v>
      </c>
    </row>
    <row r="13" spans="1:17" s="17" customFormat="1" x14ac:dyDescent="0.25">
      <c r="A13" s="7">
        <v>8</v>
      </c>
      <c r="B13" s="8" t="s">
        <v>1037</v>
      </c>
      <c r="C13" s="8" t="s">
        <v>306</v>
      </c>
      <c r="D13" s="8" t="s">
        <v>971</v>
      </c>
      <c r="E13" s="8" t="s">
        <v>976</v>
      </c>
      <c r="F13" s="8"/>
      <c r="G13" s="9">
        <f>IFERROR(SUMIFS(TB!C:C,TB!A:A,B13)-SUMIFS(TB!B:B,TB!A:A,B13),0)</f>
        <v>3800</v>
      </c>
      <c r="H13" s="9">
        <f>SUMIFS('Bill Wise'!I:I,'Bill Wise'!C:C,B13,'Bill Wise'!H:H,"0-30 Days")</f>
        <v>3800</v>
      </c>
      <c r="I13" s="9">
        <f>SUMIFS('Bill Wise'!I:I,'Bill Wise'!C:C,B13,'Bill Wise'!H:H,"31-60 Days")</f>
        <v>0</v>
      </c>
      <c r="J13" s="9">
        <f>SUMIFS('Bill Wise'!I:I,'Bill Wise'!C:C,B13,'Bill Wise'!H:H,"61-90 Days")</f>
        <v>0</v>
      </c>
      <c r="K13" s="9">
        <f>SUMIFS('Bill Wise'!I:I,'Bill Wise'!C:C,B13,'Bill Wise'!H:H,"91-120 Days")</f>
        <v>0</v>
      </c>
      <c r="L13" s="9">
        <f>SUMIFS('Bill Wise'!I:I,'Bill Wise'!C:C,B13,'Bill Wise'!H:H,"121-150 Days")</f>
        <v>0</v>
      </c>
      <c r="M13" s="9">
        <f>SUMIFS('Bill Wise'!I:I,'Bill Wise'!C:C,B13,'Bill Wise'!H:H,"151-180 Days")</f>
        <v>0</v>
      </c>
      <c r="N13" s="9">
        <f>SUMIFS('Bill Wise'!I:I,'Bill Wise'!C:C,B13,'Bill Wise'!H:H,"181-365 Days")</f>
        <v>0</v>
      </c>
      <c r="O13" s="9">
        <f>SUMIFS('Bill Wise'!I:I,'Bill Wise'!C:C,B13,'Bill Wise'!H:H,"Above 365 Days")</f>
        <v>0</v>
      </c>
      <c r="P13" s="9">
        <f t="shared" si="0"/>
        <v>3800</v>
      </c>
      <c r="Q13" s="9">
        <f t="shared" si="1"/>
        <v>0</v>
      </c>
    </row>
    <row r="14" spans="1:17" s="17" customFormat="1" x14ac:dyDescent="0.25">
      <c r="A14" s="7">
        <v>9</v>
      </c>
      <c r="B14" s="8" t="s">
        <v>47</v>
      </c>
      <c r="C14" s="8" t="s">
        <v>280</v>
      </c>
      <c r="D14" s="8" t="s">
        <v>971</v>
      </c>
      <c r="E14" s="8">
        <v>0</v>
      </c>
      <c r="F14" s="8"/>
      <c r="G14" s="9">
        <f>IFERROR(SUMIFS(TB!C:C,TB!A:A,B14)-SUMIFS(TB!B:B,TB!A:A,B14),0)</f>
        <v>3933</v>
      </c>
      <c r="H14" s="9">
        <f>SUMIFS('Bill Wise'!I:I,'Bill Wise'!C:C,B14,'Bill Wise'!H:H,"0-30 Days")</f>
        <v>3933</v>
      </c>
      <c r="I14" s="9">
        <f>SUMIFS('Bill Wise'!I:I,'Bill Wise'!C:C,B14,'Bill Wise'!H:H,"31-60 Days")</f>
        <v>0</v>
      </c>
      <c r="J14" s="9">
        <f>SUMIFS('Bill Wise'!I:I,'Bill Wise'!C:C,B14,'Bill Wise'!H:H,"61-90 Days")</f>
        <v>0</v>
      </c>
      <c r="K14" s="9">
        <f>SUMIFS('Bill Wise'!I:I,'Bill Wise'!C:C,B14,'Bill Wise'!H:H,"91-120 Days")</f>
        <v>0</v>
      </c>
      <c r="L14" s="9">
        <f>SUMIFS('Bill Wise'!I:I,'Bill Wise'!C:C,B14,'Bill Wise'!H:H,"121-150 Days")</f>
        <v>0</v>
      </c>
      <c r="M14" s="9">
        <f>SUMIFS('Bill Wise'!I:I,'Bill Wise'!C:C,B14,'Bill Wise'!H:H,"151-180 Days")</f>
        <v>0</v>
      </c>
      <c r="N14" s="9">
        <f>SUMIFS('Bill Wise'!I:I,'Bill Wise'!C:C,B14,'Bill Wise'!H:H,"181-365 Days")</f>
        <v>0</v>
      </c>
      <c r="O14" s="9">
        <f>SUMIFS('Bill Wise'!I:I,'Bill Wise'!C:C,B14,'Bill Wise'!H:H,"Above 365 Days")</f>
        <v>0</v>
      </c>
      <c r="P14" s="9">
        <f t="shared" si="0"/>
        <v>3933</v>
      </c>
      <c r="Q14" s="9">
        <f t="shared" si="1"/>
        <v>0</v>
      </c>
    </row>
    <row r="15" spans="1:17" s="17" customFormat="1" x14ac:dyDescent="0.25">
      <c r="A15" s="7">
        <v>10</v>
      </c>
      <c r="B15" s="8" t="s">
        <v>184</v>
      </c>
      <c r="C15" s="8" t="s">
        <v>306</v>
      </c>
      <c r="D15" s="8" t="s">
        <v>971</v>
      </c>
      <c r="E15" s="8">
        <v>0</v>
      </c>
      <c r="F15" s="8"/>
      <c r="G15" s="9">
        <f>IFERROR(SUMIFS(TB!C:C,TB!A:A,B15)-SUMIFS(TB!B:B,TB!A:A,B15),0)</f>
        <v>4130</v>
      </c>
      <c r="H15" s="9">
        <f>SUMIFS('Bill Wise'!I:I,'Bill Wise'!C:C,B15,'Bill Wise'!H:H,"0-30 Days")</f>
        <v>4130</v>
      </c>
      <c r="I15" s="9">
        <f>SUMIFS('Bill Wise'!I:I,'Bill Wise'!C:C,B15,'Bill Wise'!H:H,"31-60 Days")</f>
        <v>0</v>
      </c>
      <c r="J15" s="9">
        <f>SUMIFS('Bill Wise'!I:I,'Bill Wise'!C:C,B15,'Bill Wise'!H:H,"61-90 Days")</f>
        <v>0</v>
      </c>
      <c r="K15" s="9">
        <f>SUMIFS('Bill Wise'!I:I,'Bill Wise'!C:C,B15,'Bill Wise'!H:H,"91-120 Days")</f>
        <v>0</v>
      </c>
      <c r="L15" s="9">
        <f>SUMIFS('Bill Wise'!I:I,'Bill Wise'!C:C,B15,'Bill Wise'!H:H,"121-150 Days")</f>
        <v>0</v>
      </c>
      <c r="M15" s="9">
        <f>SUMIFS('Bill Wise'!I:I,'Bill Wise'!C:C,B15,'Bill Wise'!H:H,"151-180 Days")</f>
        <v>0</v>
      </c>
      <c r="N15" s="9">
        <f>SUMIFS('Bill Wise'!I:I,'Bill Wise'!C:C,B15,'Bill Wise'!H:H,"181-365 Days")</f>
        <v>0</v>
      </c>
      <c r="O15" s="9">
        <f>SUMIFS('Bill Wise'!I:I,'Bill Wise'!C:C,B15,'Bill Wise'!H:H,"Above 365 Days")</f>
        <v>0</v>
      </c>
      <c r="P15" s="9">
        <f t="shared" si="0"/>
        <v>4130</v>
      </c>
      <c r="Q15" s="9">
        <f t="shared" si="1"/>
        <v>0</v>
      </c>
    </row>
    <row r="16" spans="1:17" s="17" customFormat="1" x14ac:dyDescent="0.25">
      <c r="A16" s="7">
        <v>11</v>
      </c>
      <c r="B16" s="8" t="s">
        <v>38</v>
      </c>
      <c r="C16" s="8" t="s">
        <v>970</v>
      </c>
      <c r="D16" s="8" t="s">
        <v>971</v>
      </c>
      <c r="E16" s="8" t="s">
        <v>982</v>
      </c>
      <c r="F16" s="8"/>
      <c r="G16" s="9">
        <f>IFERROR(SUMIFS(TB!C:C,TB!A:A,B16)-SUMIFS(TB!B:B,TB!A:A,B16),0)</f>
        <v>4500</v>
      </c>
      <c r="H16" s="9">
        <f>SUMIFS('Bill Wise'!I:I,'Bill Wise'!C:C,B16,'Bill Wise'!H:H,"0-30 Days")</f>
        <v>4500</v>
      </c>
      <c r="I16" s="9">
        <f>SUMIFS('Bill Wise'!I:I,'Bill Wise'!C:C,B16,'Bill Wise'!H:H,"31-60 Days")</f>
        <v>0</v>
      </c>
      <c r="J16" s="9">
        <f>SUMIFS('Bill Wise'!I:I,'Bill Wise'!C:C,B16,'Bill Wise'!H:H,"61-90 Days")</f>
        <v>0</v>
      </c>
      <c r="K16" s="9">
        <f>SUMIFS('Bill Wise'!I:I,'Bill Wise'!C:C,B16,'Bill Wise'!H:H,"91-120 Days")</f>
        <v>0</v>
      </c>
      <c r="L16" s="9">
        <f>SUMIFS('Bill Wise'!I:I,'Bill Wise'!C:C,B16,'Bill Wise'!H:H,"121-150 Days")</f>
        <v>0</v>
      </c>
      <c r="M16" s="9">
        <f>SUMIFS('Bill Wise'!I:I,'Bill Wise'!C:C,B16,'Bill Wise'!H:H,"151-180 Days")</f>
        <v>0</v>
      </c>
      <c r="N16" s="9">
        <f>SUMIFS('Bill Wise'!I:I,'Bill Wise'!C:C,B16,'Bill Wise'!H:H,"181-365 Days")</f>
        <v>0</v>
      </c>
      <c r="O16" s="9">
        <f>SUMIFS('Bill Wise'!I:I,'Bill Wise'!C:C,B16,'Bill Wise'!H:H,"Above 365 Days")</f>
        <v>0</v>
      </c>
      <c r="P16" s="9">
        <f t="shared" si="0"/>
        <v>4500</v>
      </c>
      <c r="Q16" s="9">
        <f t="shared" si="1"/>
        <v>0</v>
      </c>
    </row>
    <row r="17" spans="1:17" s="17" customFormat="1" x14ac:dyDescent="0.25">
      <c r="A17" s="7">
        <v>12</v>
      </c>
      <c r="B17" s="8" t="s">
        <v>138</v>
      </c>
      <c r="C17" s="8" t="s">
        <v>280</v>
      </c>
      <c r="D17" s="8" t="s">
        <v>971</v>
      </c>
      <c r="E17" s="8" t="s">
        <v>972</v>
      </c>
      <c r="F17" s="8"/>
      <c r="G17" s="9">
        <f>IFERROR(SUMIFS(TB!C:C,TB!A:A,B17)-SUMIFS(TB!B:B,TB!A:A,B17),0)</f>
        <v>4851</v>
      </c>
      <c r="H17" s="9">
        <f>SUMIFS('Bill Wise'!I:I,'Bill Wise'!C:C,B17,'Bill Wise'!H:H,"0-30 Days")</f>
        <v>4851</v>
      </c>
      <c r="I17" s="9">
        <f>SUMIFS('Bill Wise'!I:I,'Bill Wise'!C:C,B17,'Bill Wise'!H:H,"31-60 Days")</f>
        <v>0</v>
      </c>
      <c r="J17" s="9">
        <f>SUMIFS('Bill Wise'!I:I,'Bill Wise'!C:C,B17,'Bill Wise'!H:H,"61-90 Days")</f>
        <v>0</v>
      </c>
      <c r="K17" s="9">
        <f>SUMIFS('Bill Wise'!I:I,'Bill Wise'!C:C,B17,'Bill Wise'!H:H,"91-120 Days")</f>
        <v>0</v>
      </c>
      <c r="L17" s="9">
        <f>SUMIFS('Bill Wise'!I:I,'Bill Wise'!C:C,B17,'Bill Wise'!H:H,"121-150 Days")</f>
        <v>0</v>
      </c>
      <c r="M17" s="9">
        <f>SUMIFS('Bill Wise'!I:I,'Bill Wise'!C:C,B17,'Bill Wise'!H:H,"151-180 Days")</f>
        <v>0</v>
      </c>
      <c r="N17" s="9">
        <f>SUMIFS('Bill Wise'!I:I,'Bill Wise'!C:C,B17,'Bill Wise'!H:H,"181-365 Days")</f>
        <v>0</v>
      </c>
      <c r="O17" s="9">
        <f>SUMIFS('Bill Wise'!I:I,'Bill Wise'!C:C,B17,'Bill Wise'!H:H,"Above 365 Days")</f>
        <v>0</v>
      </c>
      <c r="P17" s="9">
        <f t="shared" si="0"/>
        <v>4851</v>
      </c>
      <c r="Q17" s="9">
        <f t="shared" si="1"/>
        <v>0</v>
      </c>
    </row>
    <row r="18" spans="1:17" s="17" customFormat="1" x14ac:dyDescent="0.25">
      <c r="A18" s="7">
        <v>13</v>
      </c>
      <c r="B18" s="8" t="s">
        <v>1038</v>
      </c>
      <c r="C18" s="8" t="s">
        <v>306</v>
      </c>
      <c r="D18" s="8" t="s">
        <v>971</v>
      </c>
      <c r="E18" s="8" t="s">
        <v>998</v>
      </c>
      <c r="F18" s="8"/>
      <c r="G18" s="9">
        <f>IFERROR(SUMIFS(TB!C:C,TB!A:A,B18)-SUMIFS(TB!B:B,TB!A:A,B18),0)</f>
        <v>4970</v>
      </c>
      <c r="H18" s="9">
        <f>SUMIFS('Bill Wise'!I:I,'Bill Wise'!C:C,B18,'Bill Wise'!H:H,"0-30 Days")</f>
        <v>4970</v>
      </c>
      <c r="I18" s="9">
        <f>SUMIFS('Bill Wise'!I:I,'Bill Wise'!C:C,B18,'Bill Wise'!H:H,"31-60 Days")</f>
        <v>0</v>
      </c>
      <c r="J18" s="9">
        <f>SUMIFS('Bill Wise'!I:I,'Bill Wise'!C:C,B18,'Bill Wise'!H:H,"61-90 Days")</f>
        <v>0</v>
      </c>
      <c r="K18" s="9">
        <f>SUMIFS('Bill Wise'!I:I,'Bill Wise'!C:C,B18,'Bill Wise'!H:H,"91-120 Days")</f>
        <v>0</v>
      </c>
      <c r="L18" s="9">
        <f>SUMIFS('Bill Wise'!I:I,'Bill Wise'!C:C,B18,'Bill Wise'!H:H,"121-150 Days")</f>
        <v>0</v>
      </c>
      <c r="M18" s="9">
        <f>SUMIFS('Bill Wise'!I:I,'Bill Wise'!C:C,B18,'Bill Wise'!H:H,"151-180 Days")</f>
        <v>0</v>
      </c>
      <c r="N18" s="9">
        <f>SUMIFS('Bill Wise'!I:I,'Bill Wise'!C:C,B18,'Bill Wise'!H:H,"181-365 Days")</f>
        <v>0</v>
      </c>
      <c r="O18" s="9">
        <f>SUMIFS('Bill Wise'!I:I,'Bill Wise'!C:C,B18,'Bill Wise'!H:H,"Above 365 Days")</f>
        <v>0</v>
      </c>
      <c r="P18" s="9">
        <f t="shared" si="0"/>
        <v>4970</v>
      </c>
      <c r="Q18" s="9">
        <f t="shared" si="1"/>
        <v>0</v>
      </c>
    </row>
    <row r="19" spans="1:17" s="17" customFormat="1" x14ac:dyDescent="0.25">
      <c r="A19" s="7">
        <v>14</v>
      </c>
      <c r="B19" s="8" t="s">
        <v>85</v>
      </c>
      <c r="C19" s="8" t="s">
        <v>347</v>
      </c>
      <c r="D19" s="8" t="s">
        <v>971</v>
      </c>
      <c r="E19" s="8" t="s">
        <v>978</v>
      </c>
      <c r="F19" s="8"/>
      <c r="G19" s="9">
        <f>IFERROR(SUMIFS(TB!C:C,TB!A:A,B19)-SUMIFS(TB!B:B,TB!A:A,B19),0)</f>
        <v>5705</v>
      </c>
      <c r="H19" s="9">
        <f>SUMIFS('Bill Wise'!I:I,'Bill Wise'!C:C,B19,'Bill Wise'!H:H,"0-30 Days")</f>
        <v>5705</v>
      </c>
      <c r="I19" s="9">
        <f>SUMIFS('Bill Wise'!I:I,'Bill Wise'!C:C,B19,'Bill Wise'!H:H,"31-60 Days")</f>
        <v>0</v>
      </c>
      <c r="J19" s="9">
        <f>SUMIFS('Bill Wise'!I:I,'Bill Wise'!C:C,B19,'Bill Wise'!H:H,"61-90 Days")</f>
        <v>0</v>
      </c>
      <c r="K19" s="9">
        <f>SUMIFS('Bill Wise'!I:I,'Bill Wise'!C:C,B19,'Bill Wise'!H:H,"91-120 Days")</f>
        <v>0</v>
      </c>
      <c r="L19" s="9">
        <f>SUMIFS('Bill Wise'!I:I,'Bill Wise'!C:C,B19,'Bill Wise'!H:H,"121-150 Days")</f>
        <v>0</v>
      </c>
      <c r="M19" s="9">
        <f>SUMIFS('Bill Wise'!I:I,'Bill Wise'!C:C,B19,'Bill Wise'!H:H,"151-180 Days")</f>
        <v>0</v>
      </c>
      <c r="N19" s="9">
        <f>SUMIFS('Bill Wise'!I:I,'Bill Wise'!C:C,B19,'Bill Wise'!H:H,"181-365 Days")</f>
        <v>0</v>
      </c>
      <c r="O19" s="9">
        <f>SUMIFS('Bill Wise'!I:I,'Bill Wise'!C:C,B19,'Bill Wise'!H:H,"Above 365 Days")</f>
        <v>0</v>
      </c>
      <c r="P19" s="9">
        <f t="shared" si="0"/>
        <v>5705</v>
      </c>
      <c r="Q19" s="9">
        <f t="shared" si="1"/>
        <v>0</v>
      </c>
    </row>
    <row r="20" spans="1:17" s="17" customFormat="1" x14ac:dyDescent="0.25">
      <c r="A20" s="7">
        <v>15</v>
      </c>
      <c r="B20" s="8" t="s">
        <v>1039</v>
      </c>
      <c r="C20" s="8" t="s">
        <v>317</v>
      </c>
      <c r="D20" s="8" t="s">
        <v>981</v>
      </c>
      <c r="E20" s="8" t="s">
        <v>1677</v>
      </c>
      <c r="F20" s="8"/>
      <c r="G20" s="9">
        <f>IFERROR(SUMIFS(TB!C:C,TB!A:A,B20)-SUMIFS(TB!B:B,TB!A:A,B20),0)</f>
        <v>5757</v>
      </c>
      <c r="H20" s="9">
        <f>SUMIFS('Bill Wise'!I:I,'Bill Wise'!C:C,B20,'Bill Wise'!H:H,"0-30 Days")</f>
        <v>5757</v>
      </c>
      <c r="I20" s="9">
        <f>SUMIFS('Bill Wise'!I:I,'Bill Wise'!C:C,B20,'Bill Wise'!H:H,"31-60 Days")</f>
        <v>0</v>
      </c>
      <c r="J20" s="9">
        <f>SUMIFS('Bill Wise'!I:I,'Bill Wise'!C:C,B20,'Bill Wise'!H:H,"61-90 Days")</f>
        <v>0</v>
      </c>
      <c r="K20" s="9">
        <f>SUMIFS('Bill Wise'!I:I,'Bill Wise'!C:C,B20,'Bill Wise'!H:H,"91-120 Days")</f>
        <v>0</v>
      </c>
      <c r="L20" s="9">
        <f>SUMIFS('Bill Wise'!I:I,'Bill Wise'!C:C,B20,'Bill Wise'!H:H,"121-150 Days")</f>
        <v>0</v>
      </c>
      <c r="M20" s="9">
        <f>SUMIFS('Bill Wise'!I:I,'Bill Wise'!C:C,B20,'Bill Wise'!H:H,"151-180 Days")</f>
        <v>0</v>
      </c>
      <c r="N20" s="9">
        <f>SUMIFS('Bill Wise'!I:I,'Bill Wise'!C:C,B20,'Bill Wise'!H:H,"181-365 Days")</f>
        <v>0</v>
      </c>
      <c r="O20" s="9">
        <f>SUMIFS('Bill Wise'!I:I,'Bill Wise'!C:C,B20,'Bill Wise'!H:H,"Above 365 Days")</f>
        <v>0</v>
      </c>
      <c r="P20" s="9">
        <f t="shared" si="0"/>
        <v>5757</v>
      </c>
      <c r="Q20" s="9">
        <f t="shared" si="1"/>
        <v>0</v>
      </c>
    </row>
    <row r="21" spans="1:17" s="17" customFormat="1" x14ac:dyDescent="0.25">
      <c r="A21" s="7">
        <v>16</v>
      </c>
      <c r="B21" s="8" t="s">
        <v>90</v>
      </c>
      <c r="C21" s="8" t="s">
        <v>306</v>
      </c>
      <c r="D21" s="8" t="s">
        <v>971</v>
      </c>
      <c r="E21" s="8" t="s">
        <v>972</v>
      </c>
      <c r="F21" s="8"/>
      <c r="G21" s="9">
        <f>IFERROR(SUMIFS(TB!C:C,TB!A:A,B21)-SUMIFS(TB!B:B,TB!A:A,B21),0)</f>
        <v>5782</v>
      </c>
      <c r="H21" s="9">
        <f>SUMIFS('Bill Wise'!I:I,'Bill Wise'!C:C,B21,'Bill Wise'!H:H,"0-30 Days")</f>
        <v>5782</v>
      </c>
      <c r="I21" s="9">
        <f>SUMIFS('Bill Wise'!I:I,'Bill Wise'!C:C,B21,'Bill Wise'!H:H,"31-60 Days")</f>
        <v>0</v>
      </c>
      <c r="J21" s="9">
        <f>SUMIFS('Bill Wise'!I:I,'Bill Wise'!C:C,B21,'Bill Wise'!H:H,"61-90 Days")</f>
        <v>0</v>
      </c>
      <c r="K21" s="9">
        <f>SUMIFS('Bill Wise'!I:I,'Bill Wise'!C:C,B21,'Bill Wise'!H:H,"91-120 Days")</f>
        <v>0</v>
      </c>
      <c r="L21" s="9">
        <f>SUMIFS('Bill Wise'!I:I,'Bill Wise'!C:C,B21,'Bill Wise'!H:H,"121-150 Days")</f>
        <v>0</v>
      </c>
      <c r="M21" s="9">
        <f>SUMIFS('Bill Wise'!I:I,'Bill Wise'!C:C,B21,'Bill Wise'!H:H,"151-180 Days")</f>
        <v>0</v>
      </c>
      <c r="N21" s="9">
        <f>SUMIFS('Bill Wise'!I:I,'Bill Wise'!C:C,B21,'Bill Wise'!H:H,"181-365 Days")</f>
        <v>0</v>
      </c>
      <c r="O21" s="9">
        <f>SUMIFS('Bill Wise'!I:I,'Bill Wise'!C:C,B21,'Bill Wise'!H:H,"Above 365 Days")</f>
        <v>0</v>
      </c>
      <c r="P21" s="9">
        <f t="shared" si="0"/>
        <v>5782</v>
      </c>
      <c r="Q21" s="9">
        <f t="shared" si="1"/>
        <v>0</v>
      </c>
    </row>
    <row r="22" spans="1:17" s="17" customFormat="1" x14ac:dyDescent="0.25">
      <c r="A22" s="7">
        <v>17</v>
      </c>
      <c r="B22" s="8" t="s">
        <v>1040</v>
      </c>
      <c r="C22" s="8" t="s">
        <v>317</v>
      </c>
      <c r="D22" s="8" t="s">
        <v>971</v>
      </c>
      <c r="E22" s="8" t="s">
        <v>1001</v>
      </c>
      <c r="F22" s="8"/>
      <c r="G22" s="9">
        <f>IFERROR(SUMIFS(TB!C:C,TB!A:A,B22)-SUMIFS(TB!B:B,TB!A:A,B22),0)</f>
        <v>5900</v>
      </c>
      <c r="H22" s="9">
        <f>SUMIFS('Bill Wise'!I:I,'Bill Wise'!C:C,B22,'Bill Wise'!H:H,"0-30 Days")</f>
        <v>5900</v>
      </c>
      <c r="I22" s="9">
        <f>SUMIFS('Bill Wise'!I:I,'Bill Wise'!C:C,B22,'Bill Wise'!H:H,"31-60 Days")</f>
        <v>0</v>
      </c>
      <c r="J22" s="9">
        <f>SUMIFS('Bill Wise'!I:I,'Bill Wise'!C:C,B22,'Bill Wise'!H:H,"61-90 Days")</f>
        <v>0</v>
      </c>
      <c r="K22" s="9">
        <f>SUMIFS('Bill Wise'!I:I,'Bill Wise'!C:C,B22,'Bill Wise'!H:H,"91-120 Days")</f>
        <v>0</v>
      </c>
      <c r="L22" s="9">
        <f>SUMIFS('Bill Wise'!I:I,'Bill Wise'!C:C,B22,'Bill Wise'!H:H,"121-150 Days")</f>
        <v>0</v>
      </c>
      <c r="M22" s="9">
        <f>SUMIFS('Bill Wise'!I:I,'Bill Wise'!C:C,B22,'Bill Wise'!H:H,"151-180 Days")</f>
        <v>0</v>
      </c>
      <c r="N22" s="9">
        <f>SUMIFS('Bill Wise'!I:I,'Bill Wise'!C:C,B22,'Bill Wise'!H:H,"181-365 Days")</f>
        <v>0</v>
      </c>
      <c r="O22" s="9">
        <f>SUMIFS('Bill Wise'!I:I,'Bill Wise'!C:C,B22,'Bill Wise'!H:H,"Above 365 Days")</f>
        <v>0</v>
      </c>
      <c r="P22" s="9">
        <f t="shared" si="0"/>
        <v>5900</v>
      </c>
      <c r="Q22" s="9">
        <f t="shared" si="1"/>
        <v>0</v>
      </c>
    </row>
    <row r="23" spans="1:17" s="17" customFormat="1" x14ac:dyDescent="0.25">
      <c r="A23" s="7">
        <v>18</v>
      </c>
      <c r="B23" s="8" t="s">
        <v>79</v>
      </c>
      <c r="C23" s="8" t="s">
        <v>973</v>
      </c>
      <c r="D23" s="8" t="s">
        <v>971</v>
      </c>
      <c r="E23" s="8" t="s">
        <v>998</v>
      </c>
      <c r="F23" s="8"/>
      <c r="G23" s="9">
        <f>IFERROR(SUMIFS(TB!C:C,TB!A:A,B23)-SUMIFS(TB!B:B,TB!A:A,B23),0)</f>
        <v>6000</v>
      </c>
      <c r="H23" s="9">
        <f>SUMIFS('Bill Wise'!I:I,'Bill Wise'!C:C,B23,'Bill Wise'!H:H,"0-30 Days")</f>
        <v>6000</v>
      </c>
      <c r="I23" s="9">
        <f>SUMIFS('Bill Wise'!I:I,'Bill Wise'!C:C,B23,'Bill Wise'!H:H,"31-60 Days")</f>
        <v>0</v>
      </c>
      <c r="J23" s="9">
        <f>SUMIFS('Bill Wise'!I:I,'Bill Wise'!C:C,B23,'Bill Wise'!H:H,"61-90 Days")</f>
        <v>0</v>
      </c>
      <c r="K23" s="9">
        <f>SUMIFS('Bill Wise'!I:I,'Bill Wise'!C:C,B23,'Bill Wise'!H:H,"91-120 Days")</f>
        <v>0</v>
      </c>
      <c r="L23" s="9">
        <f>SUMIFS('Bill Wise'!I:I,'Bill Wise'!C:C,B23,'Bill Wise'!H:H,"121-150 Days")</f>
        <v>0</v>
      </c>
      <c r="M23" s="9">
        <f>SUMIFS('Bill Wise'!I:I,'Bill Wise'!C:C,B23,'Bill Wise'!H:H,"151-180 Days")</f>
        <v>0</v>
      </c>
      <c r="N23" s="9">
        <f>SUMIFS('Bill Wise'!I:I,'Bill Wise'!C:C,B23,'Bill Wise'!H:H,"181-365 Days")</f>
        <v>0</v>
      </c>
      <c r="O23" s="9">
        <f>SUMIFS('Bill Wise'!I:I,'Bill Wise'!C:C,B23,'Bill Wise'!H:H,"Above 365 Days")</f>
        <v>0</v>
      </c>
      <c r="P23" s="9">
        <f t="shared" si="0"/>
        <v>6000</v>
      </c>
      <c r="Q23" s="9">
        <f t="shared" si="1"/>
        <v>0</v>
      </c>
    </row>
    <row r="24" spans="1:17" s="17" customFormat="1" x14ac:dyDescent="0.25">
      <c r="A24" s="7">
        <v>19</v>
      </c>
      <c r="B24" s="8" t="s">
        <v>35</v>
      </c>
      <c r="C24" s="8" t="s">
        <v>306</v>
      </c>
      <c r="D24" s="8" t="s">
        <v>971</v>
      </c>
      <c r="E24" s="8" t="s">
        <v>987</v>
      </c>
      <c r="F24" s="8"/>
      <c r="G24" s="9">
        <f>IFERROR(SUMIFS(TB!C:C,TB!A:A,B24)-SUMIFS(TB!B:B,TB!A:A,B24),0)</f>
        <v>8000</v>
      </c>
      <c r="H24" s="9">
        <f>SUMIFS('Bill Wise'!I:I,'Bill Wise'!C:C,B24,'Bill Wise'!H:H,"0-30 Days")</f>
        <v>8000</v>
      </c>
      <c r="I24" s="9">
        <f>SUMIFS('Bill Wise'!I:I,'Bill Wise'!C:C,B24,'Bill Wise'!H:H,"31-60 Days")</f>
        <v>0</v>
      </c>
      <c r="J24" s="9">
        <f>SUMIFS('Bill Wise'!I:I,'Bill Wise'!C:C,B24,'Bill Wise'!H:H,"61-90 Days")</f>
        <v>0</v>
      </c>
      <c r="K24" s="9">
        <f>SUMIFS('Bill Wise'!I:I,'Bill Wise'!C:C,B24,'Bill Wise'!H:H,"91-120 Days")</f>
        <v>0</v>
      </c>
      <c r="L24" s="9">
        <f>SUMIFS('Bill Wise'!I:I,'Bill Wise'!C:C,B24,'Bill Wise'!H:H,"121-150 Days")</f>
        <v>0</v>
      </c>
      <c r="M24" s="9">
        <f>SUMIFS('Bill Wise'!I:I,'Bill Wise'!C:C,B24,'Bill Wise'!H:H,"151-180 Days")</f>
        <v>0</v>
      </c>
      <c r="N24" s="9">
        <f>SUMIFS('Bill Wise'!I:I,'Bill Wise'!C:C,B24,'Bill Wise'!H:H,"181-365 Days")</f>
        <v>0</v>
      </c>
      <c r="O24" s="9">
        <f>SUMIFS('Bill Wise'!I:I,'Bill Wise'!C:C,B24,'Bill Wise'!H:H,"Above 365 Days")</f>
        <v>0</v>
      </c>
      <c r="P24" s="9">
        <f t="shared" si="0"/>
        <v>8000</v>
      </c>
      <c r="Q24" s="9">
        <f t="shared" si="1"/>
        <v>0</v>
      </c>
    </row>
    <row r="25" spans="1:17" s="17" customFormat="1" x14ac:dyDescent="0.25">
      <c r="A25" s="7">
        <v>20</v>
      </c>
      <c r="B25" s="8" t="s">
        <v>1041</v>
      </c>
      <c r="C25" s="8" t="s">
        <v>280</v>
      </c>
      <c r="D25" s="8" t="s">
        <v>971</v>
      </c>
      <c r="E25" s="8" t="s">
        <v>990</v>
      </c>
      <c r="F25" s="8"/>
      <c r="G25" s="9">
        <f>IFERROR(SUMIFS(TB!C:C,TB!A:A,B25)-SUMIFS(TB!B:B,TB!A:A,B25),0)</f>
        <v>8232</v>
      </c>
      <c r="H25" s="9">
        <f>SUMIFS('Bill Wise'!I:I,'Bill Wise'!C:C,B25,'Bill Wise'!H:H,"0-30 Days")</f>
        <v>8232</v>
      </c>
      <c r="I25" s="9">
        <f>SUMIFS('Bill Wise'!I:I,'Bill Wise'!C:C,B25,'Bill Wise'!H:H,"31-60 Days")</f>
        <v>0</v>
      </c>
      <c r="J25" s="9">
        <f>SUMIFS('Bill Wise'!I:I,'Bill Wise'!C:C,B25,'Bill Wise'!H:H,"61-90 Days")</f>
        <v>0</v>
      </c>
      <c r="K25" s="9">
        <f>SUMIFS('Bill Wise'!I:I,'Bill Wise'!C:C,B25,'Bill Wise'!H:H,"91-120 Days")</f>
        <v>0</v>
      </c>
      <c r="L25" s="9">
        <f>SUMIFS('Bill Wise'!I:I,'Bill Wise'!C:C,B25,'Bill Wise'!H:H,"121-150 Days")</f>
        <v>0</v>
      </c>
      <c r="M25" s="9">
        <f>SUMIFS('Bill Wise'!I:I,'Bill Wise'!C:C,B25,'Bill Wise'!H:H,"151-180 Days")</f>
        <v>0</v>
      </c>
      <c r="N25" s="9">
        <f>SUMIFS('Bill Wise'!I:I,'Bill Wise'!C:C,B25,'Bill Wise'!H:H,"181-365 Days")</f>
        <v>0</v>
      </c>
      <c r="O25" s="9">
        <f>SUMIFS('Bill Wise'!I:I,'Bill Wise'!C:C,B25,'Bill Wise'!H:H,"Above 365 Days")</f>
        <v>0</v>
      </c>
      <c r="P25" s="9">
        <f t="shared" si="0"/>
        <v>8232</v>
      </c>
      <c r="Q25" s="9">
        <f t="shared" si="1"/>
        <v>0</v>
      </c>
    </row>
    <row r="26" spans="1:17" s="17" customFormat="1" x14ac:dyDescent="0.25">
      <c r="A26" s="7">
        <v>21</v>
      </c>
      <c r="B26" s="8" t="s">
        <v>127</v>
      </c>
      <c r="C26" s="8" t="s">
        <v>347</v>
      </c>
      <c r="D26" s="8" t="s">
        <v>971</v>
      </c>
      <c r="E26" s="8" t="s">
        <v>978</v>
      </c>
      <c r="F26" s="8"/>
      <c r="G26" s="9">
        <f>IFERROR(SUMIFS(TB!C:C,TB!A:A,B26)-SUMIFS(TB!B:B,TB!A:A,B26),0)</f>
        <v>9114</v>
      </c>
      <c r="H26" s="9">
        <f>SUMIFS('Bill Wise'!I:I,'Bill Wise'!C:C,B26,'Bill Wise'!H:H,"0-30 Days")</f>
        <v>9114</v>
      </c>
      <c r="I26" s="9">
        <f>SUMIFS('Bill Wise'!I:I,'Bill Wise'!C:C,B26,'Bill Wise'!H:H,"31-60 Days")</f>
        <v>0</v>
      </c>
      <c r="J26" s="9">
        <f>SUMIFS('Bill Wise'!I:I,'Bill Wise'!C:C,B26,'Bill Wise'!H:H,"61-90 Days")</f>
        <v>0</v>
      </c>
      <c r="K26" s="9">
        <f>SUMIFS('Bill Wise'!I:I,'Bill Wise'!C:C,B26,'Bill Wise'!H:H,"91-120 Days")</f>
        <v>0</v>
      </c>
      <c r="L26" s="9">
        <f>SUMIFS('Bill Wise'!I:I,'Bill Wise'!C:C,B26,'Bill Wise'!H:H,"121-150 Days")</f>
        <v>0</v>
      </c>
      <c r="M26" s="9">
        <f>SUMIFS('Bill Wise'!I:I,'Bill Wise'!C:C,B26,'Bill Wise'!H:H,"151-180 Days")</f>
        <v>0</v>
      </c>
      <c r="N26" s="9">
        <f>SUMIFS('Bill Wise'!I:I,'Bill Wise'!C:C,B26,'Bill Wise'!H:H,"181-365 Days")</f>
        <v>0</v>
      </c>
      <c r="O26" s="9">
        <f>SUMIFS('Bill Wise'!I:I,'Bill Wise'!C:C,B26,'Bill Wise'!H:H,"Above 365 Days")</f>
        <v>0</v>
      </c>
      <c r="P26" s="9">
        <f t="shared" si="0"/>
        <v>9114</v>
      </c>
      <c r="Q26" s="9">
        <f t="shared" si="1"/>
        <v>0</v>
      </c>
    </row>
    <row r="27" spans="1:17" s="17" customFormat="1" x14ac:dyDescent="0.25">
      <c r="A27" s="7">
        <v>22</v>
      </c>
      <c r="B27" s="8" t="s">
        <v>1042</v>
      </c>
      <c r="C27" s="8" t="s">
        <v>977</v>
      </c>
      <c r="D27" s="8" t="s">
        <v>971</v>
      </c>
      <c r="E27" s="8" t="s">
        <v>1679</v>
      </c>
      <c r="F27" s="8"/>
      <c r="G27" s="9">
        <f>IFERROR(SUMIFS(TB!C:C,TB!A:A,B27)-SUMIFS(TB!B:B,TB!A:A,B27),0)</f>
        <v>9150</v>
      </c>
      <c r="H27" s="9">
        <f>SUMIFS('Bill Wise'!I:I,'Bill Wise'!C:C,B27,'Bill Wise'!H:H,"0-30 Days")</f>
        <v>9150</v>
      </c>
      <c r="I27" s="9">
        <f>SUMIFS('Bill Wise'!I:I,'Bill Wise'!C:C,B27,'Bill Wise'!H:H,"31-60 Days")</f>
        <v>0</v>
      </c>
      <c r="J27" s="9">
        <f>SUMIFS('Bill Wise'!I:I,'Bill Wise'!C:C,B27,'Bill Wise'!H:H,"61-90 Days")</f>
        <v>0</v>
      </c>
      <c r="K27" s="9">
        <f>SUMIFS('Bill Wise'!I:I,'Bill Wise'!C:C,B27,'Bill Wise'!H:H,"91-120 Days")</f>
        <v>0</v>
      </c>
      <c r="L27" s="9">
        <f>SUMIFS('Bill Wise'!I:I,'Bill Wise'!C:C,B27,'Bill Wise'!H:H,"121-150 Days")</f>
        <v>0</v>
      </c>
      <c r="M27" s="9">
        <f>SUMIFS('Bill Wise'!I:I,'Bill Wise'!C:C,B27,'Bill Wise'!H:H,"151-180 Days")</f>
        <v>0</v>
      </c>
      <c r="N27" s="9">
        <f>SUMIFS('Bill Wise'!I:I,'Bill Wise'!C:C,B27,'Bill Wise'!H:H,"181-365 Days")</f>
        <v>0</v>
      </c>
      <c r="O27" s="9">
        <f>SUMIFS('Bill Wise'!I:I,'Bill Wise'!C:C,B27,'Bill Wise'!H:H,"Above 365 Days")</f>
        <v>0</v>
      </c>
      <c r="P27" s="9">
        <f t="shared" si="0"/>
        <v>9150</v>
      </c>
      <c r="Q27" s="9">
        <f t="shared" si="1"/>
        <v>0</v>
      </c>
    </row>
    <row r="28" spans="1:17" s="17" customFormat="1" x14ac:dyDescent="0.25">
      <c r="A28" s="7">
        <v>23</v>
      </c>
      <c r="B28" s="8" t="s">
        <v>103</v>
      </c>
      <c r="C28" s="8" t="s">
        <v>985</v>
      </c>
      <c r="D28" s="8" t="s">
        <v>971</v>
      </c>
      <c r="E28" s="8" t="s">
        <v>978</v>
      </c>
      <c r="F28" s="8"/>
      <c r="G28" s="9">
        <f>IFERROR(SUMIFS(TB!C:C,TB!A:A,B28)-SUMIFS(TB!B:B,TB!A:A,B28),0)</f>
        <v>9396</v>
      </c>
      <c r="H28" s="9">
        <f>SUMIFS('Bill Wise'!I:I,'Bill Wise'!C:C,B28,'Bill Wise'!H:H,"0-30 Days")</f>
        <v>9396</v>
      </c>
      <c r="I28" s="9">
        <f>SUMIFS('Bill Wise'!I:I,'Bill Wise'!C:C,B28,'Bill Wise'!H:H,"31-60 Days")</f>
        <v>0</v>
      </c>
      <c r="J28" s="9">
        <f>SUMIFS('Bill Wise'!I:I,'Bill Wise'!C:C,B28,'Bill Wise'!H:H,"61-90 Days")</f>
        <v>0</v>
      </c>
      <c r="K28" s="9">
        <f>SUMIFS('Bill Wise'!I:I,'Bill Wise'!C:C,B28,'Bill Wise'!H:H,"91-120 Days")</f>
        <v>0</v>
      </c>
      <c r="L28" s="9">
        <f>SUMIFS('Bill Wise'!I:I,'Bill Wise'!C:C,B28,'Bill Wise'!H:H,"121-150 Days")</f>
        <v>0</v>
      </c>
      <c r="M28" s="9">
        <f>SUMIFS('Bill Wise'!I:I,'Bill Wise'!C:C,B28,'Bill Wise'!H:H,"151-180 Days")</f>
        <v>0</v>
      </c>
      <c r="N28" s="9">
        <f>SUMIFS('Bill Wise'!I:I,'Bill Wise'!C:C,B28,'Bill Wise'!H:H,"181-365 Days")</f>
        <v>0</v>
      </c>
      <c r="O28" s="9">
        <f>SUMIFS('Bill Wise'!I:I,'Bill Wise'!C:C,B28,'Bill Wise'!H:H,"Above 365 Days")</f>
        <v>0</v>
      </c>
      <c r="P28" s="9">
        <f t="shared" si="0"/>
        <v>9396</v>
      </c>
      <c r="Q28" s="9">
        <f t="shared" si="1"/>
        <v>0</v>
      </c>
    </row>
    <row r="29" spans="1:17" s="17" customFormat="1" x14ac:dyDescent="0.25">
      <c r="A29" s="7">
        <v>24</v>
      </c>
      <c r="B29" s="8" t="s">
        <v>1043</v>
      </c>
      <c r="C29" s="8" t="s">
        <v>970</v>
      </c>
      <c r="D29" s="8" t="s">
        <v>971</v>
      </c>
      <c r="E29" s="8" t="s">
        <v>976</v>
      </c>
      <c r="F29" s="8"/>
      <c r="G29" s="9">
        <f>IFERROR(SUMIFS(TB!C:C,TB!A:A,B29)-SUMIFS(TB!B:B,TB!A:A,B29),0)</f>
        <v>9801.08</v>
      </c>
      <c r="H29" s="9">
        <f>SUMIFS('Bill Wise'!I:I,'Bill Wise'!C:C,B29,'Bill Wise'!H:H,"0-30 Days")</f>
        <v>9801.08</v>
      </c>
      <c r="I29" s="9">
        <f>SUMIFS('Bill Wise'!I:I,'Bill Wise'!C:C,B29,'Bill Wise'!H:H,"31-60 Days")</f>
        <v>0</v>
      </c>
      <c r="J29" s="9">
        <f>SUMIFS('Bill Wise'!I:I,'Bill Wise'!C:C,B29,'Bill Wise'!H:H,"61-90 Days")</f>
        <v>0</v>
      </c>
      <c r="K29" s="9">
        <f>SUMIFS('Bill Wise'!I:I,'Bill Wise'!C:C,B29,'Bill Wise'!H:H,"91-120 Days")</f>
        <v>0</v>
      </c>
      <c r="L29" s="9">
        <f>SUMIFS('Bill Wise'!I:I,'Bill Wise'!C:C,B29,'Bill Wise'!H:H,"121-150 Days")</f>
        <v>0</v>
      </c>
      <c r="M29" s="9">
        <f>SUMIFS('Bill Wise'!I:I,'Bill Wise'!C:C,B29,'Bill Wise'!H:H,"151-180 Days")</f>
        <v>0</v>
      </c>
      <c r="N29" s="9">
        <f>SUMIFS('Bill Wise'!I:I,'Bill Wise'!C:C,B29,'Bill Wise'!H:H,"181-365 Days")</f>
        <v>0</v>
      </c>
      <c r="O29" s="9">
        <f>SUMIFS('Bill Wise'!I:I,'Bill Wise'!C:C,B29,'Bill Wise'!H:H,"Above 365 Days")</f>
        <v>0</v>
      </c>
      <c r="P29" s="9">
        <f t="shared" si="0"/>
        <v>9801.08</v>
      </c>
      <c r="Q29" s="9">
        <f t="shared" si="1"/>
        <v>0</v>
      </c>
    </row>
    <row r="30" spans="1:17" s="17" customFormat="1" x14ac:dyDescent="0.25">
      <c r="A30" s="7">
        <v>25</v>
      </c>
      <c r="B30" s="8" t="s">
        <v>1044</v>
      </c>
      <c r="C30" s="8" t="s">
        <v>317</v>
      </c>
      <c r="D30" s="8" t="s">
        <v>971</v>
      </c>
      <c r="E30" s="8" t="s">
        <v>998</v>
      </c>
      <c r="F30" s="8"/>
      <c r="G30" s="9">
        <f>IFERROR(SUMIFS(TB!C:C,TB!A:A,B30)-SUMIFS(TB!B:B,TB!A:A,B30),0)</f>
        <v>10080</v>
      </c>
      <c r="H30" s="9">
        <f>SUMIFS('Bill Wise'!I:I,'Bill Wise'!C:C,B30,'Bill Wise'!H:H,"0-30 Days")</f>
        <v>10080</v>
      </c>
      <c r="I30" s="9">
        <f>SUMIFS('Bill Wise'!I:I,'Bill Wise'!C:C,B30,'Bill Wise'!H:H,"31-60 Days")</f>
        <v>0</v>
      </c>
      <c r="J30" s="9">
        <f>SUMIFS('Bill Wise'!I:I,'Bill Wise'!C:C,B30,'Bill Wise'!H:H,"61-90 Days")</f>
        <v>0</v>
      </c>
      <c r="K30" s="9">
        <f>SUMIFS('Bill Wise'!I:I,'Bill Wise'!C:C,B30,'Bill Wise'!H:H,"91-120 Days")</f>
        <v>0</v>
      </c>
      <c r="L30" s="9">
        <f>SUMIFS('Bill Wise'!I:I,'Bill Wise'!C:C,B30,'Bill Wise'!H:H,"121-150 Days")</f>
        <v>0</v>
      </c>
      <c r="M30" s="9">
        <f>SUMIFS('Bill Wise'!I:I,'Bill Wise'!C:C,B30,'Bill Wise'!H:H,"151-180 Days")</f>
        <v>0</v>
      </c>
      <c r="N30" s="9">
        <f>SUMIFS('Bill Wise'!I:I,'Bill Wise'!C:C,B30,'Bill Wise'!H:H,"181-365 Days")</f>
        <v>0</v>
      </c>
      <c r="O30" s="9">
        <f>SUMIFS('Bill Wise'!I:I,'Bill Wise'!C:C,B30,'Bill Wise'!H:H,"Above 365 Days")</f>
        <v>0</v>
      </c>
      <c r="P30" s="9">
        <f t="shared" si="0"/>
        <v>10080</v>
      </c>
      <c r="Q30" s="9">
        <f t="shared" si="1"/>
        <v>0</v>
      </c>
    </row>
    <row r="31" spans="1:17" s="17" customFormat="1" x14ac:dyDescent="0.25">
      <c r="A31" s="7">
        <v>26</v>
      </c>
      <c r="B31" s="8" t="s">
        <v>1045</v>
      </c>
      <c r="C31" s="8" t="s">
        <v>317</v>
      </c>
      <c r="D31" s="8" t="s">
        <v>981</v>
      </c>
      <c r="E31" s="8" t="s">
        <v>1677</v>
      </c>
      <c r="F31" s="8"/>
      <c r="G31" s="9">
        <f>IFERROR(SUMIFS(TB!C:C,TB!A:A,B31)-SUMIFS(TB!B:B,TB!A:A,B31),0)</f>
        <v>10567</v>
      </c>
      <c r="H31" s="9">
        <f>SUMIFS('Bill Wise'!I:I,'Bill Wise'!C:C,B31,'Bill Wise'!H:H,"0-30 Days")</f>
        <v>10567</v>
      </c>
      <c r="I31" s="9">
        <f>SUMIFS('Bill Wise'!I:I,'Bill Wise'!C:C,B31,'Bill Wise'!H:H,"31-60 Days")</f>
        <v>0</v>
      </c>
      <c r="J31" s="9">
        <f>SUMIFS('Bill Wise'!I:I,'Bill Wise'!C:C,B31,'Bill Wise'!H:H,"61-90 Days")</f>
        <v>0</v>
      </c>
      <c r="K31" s="9">
        <f>SUMIFS('Bill Wise'!I:I,'Bill Wise'!C:C,B31,'Bill Wise'!H:H,"91-120 Days")</f>
        <v>0</v>
      </c>
      <c r="L31" s="9">
        <f>SUMIFS('Bill Wise'!I:I,'Bill Wise'!C:C,B31,'Bill Wise'!H:H,"121-150 Days")</f>
        <v>0</v>
      </c>
      <c r="M31" s="9">
        <f>SUMIFS('Bill Wise'!I:I,'Bill Wise'!C:C,B31,'Bill Wise'!H:H,"151-180 Days")</f>
        <v>0</v>
      </c>
      <c r="N31" s="9">
        <f>SUMIFS('Bill Wise'!I:I,'Bill Wise'!C:C,B31,'Bill Wise'!H:H,"181-365 Days")</f>
        <v>0</v>
      </c>
      <c r="O31" s="9">
        <f>SUMIFS('Bill Wise'!I:I,'Bill Wise'!C:C,B31,'Bill Wise'!H:H,"Above 365 Days")</f>
        <v>0</v>
      </c>
      <c r="P31" s="9">
        <f t="shared" si="0"/>
        <v>10567</v>
      </c>
      <c r="Q31" s="9">
        <f t="shared" si="1"/>
        <v>0</v>
      </c>
    </row>
    <row r="32" spans="1:17" s="17" customFormat="1" x14ac:dyDescent="0.25">
      <c r="A32" s="7">
        <v>27</v>
      </c>
      <c r="B32" s="8" t="s">
        <v>75</v>
      </c>
      <c r="C32" s="8" t="s">
        <v>317</v>
      </c>
      <c r="D32" s="8" t="s">
        <v>971</v>
      </c>
      <c r="E32" s="8" t="s">
        <v>1680</v>
      </c>
      <c r="F32" s="8"/>
      <c r="G32" s="9">
        <f>IFERROR(SUMIFS(TB!C:C,TB!A:A,B32)-SUMIFS(TB!B:B,TB!A:A,B32),0)</f>
        <v>10947</v>
      </c>
      <c r="H32" s="9">
        <f>SUMIFS('Bill Wise'!I:I,'Bill Wise'!C:C,B32,'Bill Wise'!H:H,"0-30 Days")</f>
        <v>10947</v>
      </c>
      <c r="I32" s="9">
        <f>SUMIFS('Bill Wise'!I:I,'Bill Wise'!C:C,B32,'Bill Wise'!H:H,"31-60 Days")</f>
        <v>0</v>
      </c>
      <c r="J32" s="9">
        <f>SUMIFS('Bill Wise'!I:I,'Bill Wise'!C:C,B32,'Bill Wise'!H:H,"61-90 Days")</f>
        <v>0</v>
      </c>
      <c r="K32" s="9">
        <f>SUMIFS('Bill Wise'!I:I,'Bill Wise'!C:C,B32,'Bill Wise'!H:H,"91-120 Days")</f>
        <v>0</v>
      </c>
      <c r="L32" s="9">
        <f>SUMIFS('Bill Wise'!I:I,'Bill Wise'!C:C,B32,'Bill Wise'!H:H,"121-150 Days")</f>
        <v>0</v>
      </c>
      <c r="M32" s="9">
        <f>SUMIFS('Bill Wise'!I:I,'Bill Wise'!C:C,B32,'Bill Wise'!H:H,"151-180 Days")</f>
        <v>0</v>
      </c>
      <c r="N32" s="9">
        <f>SUMIFS('Bill Wise'!I:I,'Bill Wise'!C:C,B32,'Bill Wise'!H:H,"181-365 Days")</f>
        <v>0</v>
      </c>
      <c r="O32" s="9">
        <f>SUMIFS('Bill Wise'!I:I,'Bill Wise'!C:C,B32,'Bill Wise'!H:H,"Above 365 Days")</f>
        <v>0</v>
      </c>
      <c r="P32" s="9">
        <f t="shared" si="0"/>
        <v>10947</v>
      </c>
      <c r="Q32" s="9">
        <f t="shared" si="1"/>
        <v>0</v>
      </c>
    </row>
    <row r="33" spans="1:17" s="17" customFormat="1" x14ac:dyDescent="0.25">
      <c r="A33" s="7">
        <v>28</v>
      </c>
      <c r="B33" s="8" t="s">
        <v>1046</v>
      </c>
      <c r="C33" s="8" t="s">
        <v>317</v>
      </c>
      <c r="D33" s="8" t="s">
        <v>971</v>
      </c>
      <c r="E33" s="8" t="s">
        <v>1001</v>
      </c>
      <c r="F33" s="8"/>
      <c r="G33" s="9">
        <f>IFERROR(SUMIFS(TB!C:C,TB!A:A,B33)-SUMIFS(TB!B:B,TB!A:A,B33),0)</f>
        <v>11400</v>
      </c>
      <c r="H33" s="9">
        <f>SUMIFS('Bill Wise'!I:I,'Bill Wise'!C:C,B33,'Bill Wise'!H:H,"0-30 Days")</f>
        <v>11400</v>
      </c>
      <c r="I33" s="9">
        <f>SUMIFS('Bill Wise'!I:I,'Bill Wise'!C:C,B33,'Bill Wise'!H:H,"31-60 Days")</f>
        <v>0</v>
      </c>
      <c r="J33" s="9">
        <f>SUMIFS('Bill Wise'!I:I,'Bill Wise'!C:C,B33,'Bill Wise'!H:H,"61-90 Days")</f>
        <v>0</v>
      </c>
      <c r="K33" s="9">
        <f>SUMIFS('Bill Wise'!I:I,'Bill Wise'!C:C,B33,'Bill Wise'!H:H,"91-120 Days")</f>
        <v>0</v>
      </c>
      <c r="L33" s="9">
        <f>SUMIFS('Bill Wise'!I:I,'Bill Wise'!C:C,B33,'Bill Wise'!H:H,"121-150 Days")</f>
        <v>0</v>
      </c>
      <c r="M33" s="9">
        <f>SUMIFS('Bill Wise'!I:I,'Bill Wise'!C:C,B33,'Bill Wise'!H:H,"151-180 Days")</f>
        <v>0</v>
      </c>
      <c r="N33" s="9">
        <f>SUMIFS('Bill Wise'!I:I,'Bill Wise'!C:C,B33,'Bill Wise'!H:H,"181-365 Days")</f>
        <v>0</v>
      </c>
      <c r="O33" s="9">
        <f>SUMIFS('Bill Wise'!I:I,'Bill Wise'!C:C,B33,'Bill Wise'!H:H,"Above 365 Days")</f>
        <v>0</v>
      </c>
      <c r="P33" s="9">
        <f t="shared" si="0"/>
        <v>11400</v>
      </c>
      <c r="Q33" s="9">
        <f t="shared" si="1"/>
        <v>0</v>
      </c>
    </row>
    <row r="34" spans="1:17" s="17" customFormat="1" x14ac:dyDescent="0.25">
      <c r="A34" s="7">
        <v>29</v>
      </c>
      <c r="B34" s="8" t="s">
        <v>1047</v>
      </c>
      <c r="C34" s="8" t="s">
        <v>306</v>
      </c>
      <c r="D34" s="8" t="s">
        <v>971</v>
      </c>
      <c r="E34" s="8" t="s">
        <v>972</v>
      </c>
      <c r="F34" s="8"/>
      <c r="G34" s="9">
        <f>IFERROR(SUMIFS(TB!C:C,TB!A:A,B34)-SUMIFS(TB!B:B,TB!A:A,B34),0)</f>
        <v>11700</v>
      </c>
      <c r="H34" s="9">
        <f>SUMIFS('Bill Wise'!I:I,'Bill Wise'!C:C,B34,'Bill Wise'!H:H,"0-30 Days")</f>
        <v>11700</v>
      </c>
      <c r="I34" s="9">
        <f>SUMIFS('Bill Wise'!I:I,'Bill Wise'!C:C,B34,'Bill Wise'!H:H,"31-60 Days")</f>
        <v>0</v>
      </c>
      <c r="J34" s="9">
        <f>SUMIFS('Bill Wise'!I:I,'Bill Wise'!C:C,B34,'Bill Wise'!H:H,"61-90 Days")</f>
        <v>0</v>
      </c>
      <c r="K34" s="9">
        <f>SUMIFS('Bill Wise'!I:I,'Bill Wise'!C:C,B34,'Bill Wise'!H:H,"91-120 Days")</f>
        <v>0</v>
      </c>
      <c r="L34" s="9">
        <f>SUMIFS('Bill Wise'!I:I,'Bill Wise'!C:C,B34,'Bill Wise'!H:H,"121-150 Days")</f>
        <v>0</v>
      </c>
      <c r="M34" s="9">
        <f>SUMIFS('Bill Wise'!I:I,'Bill Wise'!C:C,B34,'Bill Wise'!H:H,"151-180 Days")</f>
        <v>0</v>
      </c>
      <c r="N34" s="9">
        <f>SUMIFS('Bill Wise'!I:I,'Bill Wise'!C:C,B34,'Bill Wise'!H:H,"181-365 Days")</f>
        <v>0</v>
      </c>
      <c r="O34" s="9">
        <f>SUMIFS('Bill Wise'!I:I,'Bill Wise'!C:C,B34,'Bill Wise'!H:H,"Above 365 Days")</f>
        <v>0</v>
      </c>
      <c r="P34" s="9">
        <f t="shared" si="0"/>
        <v>11700</v>
      </c>
      <c r="Q34" s="9">
        <f t="shared" si="1"/>
        <v>0</v>
      </c>
    </row>
    <row r="35" spans="1:17" s="17" customFormat="1" x14ac:dyDescent="0.25">
      <c r="A35" s="7">
        <v>30</v>
      </c>
      <c r="B35" s="8" t="s">
        <v>181</v>
      </c>
      <c r="C35" s="8" t="s">
        <v>977</v>
      </c>
      <c r="D35" s="8" t="s">
        <v>988</v>
      </c>
      <c r="E35" s="8" t="s">
        <v>1681</v>
      </c>
      <c r="F35" s="8"/>
      <c r="G35" s="9">
        <f>IFERROR(SUMIFS(TB!C:C,TB!A:A,B35)-SUMIFS(TB!B:B,TB!A:A,B35),0)</f>
        <v>12804.52</v>
      </c>
      <c r="H35" s="9">
        <f>SUMIFS('Bill Wise'!I:I,'Bill Wise'!C:C,B35,'Bill Wise'!H:H,"0-30 Days")</f>
        <v>12804.52</v>
      </c>
      <c r="I35" s="9">
        <f>SUMIFS('Bill Wise'!I:I,'Bill Wise'!C:C,B35,'Bill Wise'!H:H,"31-60 Days")</f>
        <v>0</v>
      </c>
      <c r="J35" s="9">
        <f>SUMIFS('Bill Wise'!I:I,'Bill Wise'!C:C,B35,'Bill Wise'!H:H,"61-90 Days")</f>
        <v>0</v>
      </c>
      <c r="K35" s="9">
        <f>SUMIFS('Bill Wise'!I:I,'Bill Wise'!C:C,B35,'Bill Wise'!H:H,"91-120 Days")</f>
        <v>0</v>
      </c>
      <c r="L35" s="9">
        <f>SUMIFS('Bill Wise'!I:I,'Bill Wise'!C:C,B35,'Bill Wise'!H:H,"121-150 Days")</f>
        <v>0</v>
      </c>
      <c r="M35" s="9">
        <f>SUMIFS('Bill Wise'!I:I,'Bill Wise'!C:C,B35,'Bill Wise'!H:H,"151-180 Days")</f>
        <v>0</v>
      </c>
      <c r="N35" s="9">
        <f>SUMIFS('Bill Wise'!I:I,'Bill Wise'!C:C,B35,'Bill Wise'!H:H,"181-365 Days")</f>
        <v>0</v>
      </c>
      <c r="O35" s="9">
        <f>SUMIFS('Bill Wise'!I:I,'Bill Wise'!C:C,B35,'Bill Wise'!H:H,"Above 365 Days")</f>
        <v>0</v>
      </c>
      <c r="P35" s="9">
        <f t="shared" si="0"/>
        <v>12804.52</v>
      </c>
      <c r="Q35" s="9">
        <f t="shared" si="1"/>
        <v>0</v>
      </c>
    </row>
    <row r="36" spans="1:17" s="17" customFormat="1" x14ac:dyDescent="0.25">
      <c r="A36" s="7">
        <v>31</v>
      </c>
      <c r="B36" s="8" t="s">
        <v>97</v>
      </c>
      <c r="C36" s="8" t="s">
        <v>985</v>
      </c>
      <c r="D36" s="8" t="s">
        <v>971</v>
      </c>
      <c r="E36" s="8" t="s">
        <v>972</v>
      </c>
      <c r="F36" s="8"/>
      <c r="G36" s="9">
        <f>IFERROR(SUMIFS(TB!C:C,TB!A:A,B36)-SUMIFS(TB!B:B,TB!A:A,B36),0)</f>
        <v>13946</v>
      </c>
      <c r="H36" s="9">
        <f>SUMIFS('Bill Wise'!I:I,'Bill Wise'!C:C,B36,'Bill Wise'!H:H,"0-30 Days")</f>
        <v>13946</v>
      </c>
      <c r="I36" s="9">
        <f>SUMIFS('Bill Wise'!I:I,'Bill Wise'!C:C,B36,'Bill Wise'!H:H,"31-60 Days")</f>
        <v>0</v>
      </c>
      <c r="J36" s="9">
        <f>SUMIFS('Bill Wise'!I:I,'Bill Wise'!C:C,B36,'Bill Wise'!H:H,"61-90 Days")</f>
        <v>0</v>
      </c>
      <c r="K36" s="9">
        <f>SUMIFS('Bill Wise'!I:I,'Bill Wise'!C:C,B36,'Bill Wise'!H:H,"91-120 Days")</f>
        <v>0</v>
      </c>
      <c r="L36" s="9">
        <f>SUMIFS('Bill Wise'!I:I,'Bill Wise'!C:C,B36,'Bill Wise'!H:H,"121-150 Days")</f>
        <v>0</v>
      </c>
      <c r="M36" s="9">
        <f>SUMIFS('Bill Wise'!I:I,'Bill Wise'!C:C,B36,'Bill Wise'!H:H,"151-180 Days")</f>
        <v>0</v>
      </c>
      <c r="N36" s="9">
        <f>SUMIFS('Bill Wise'!I:I,'Bill Wise'!C:C,B36,'Bill Wise'!H:H,"181-365 Days")</f>
        <v>0</v>
      </c>
      <c r="O36" s="9">
        <f>SUMIFS('Bill Wise'!I:I,'Bill Wise'!C:C,B36,'Bill Wise'!H:H,"Above 365 Days")</f>
        <v>0</v>
      </c>
      <c r="P36" s="9">
        <f t="shared" ref="P36:P66" si="2">SUM(H36:O36)</f>
        <v>13946</v>
      </c>
      <c r="Q36" s="9">
        <f t="shared" ref="Q36:Q66" si="3">G36-P36</f>
        <v>0</v>
      </c>
    </row>
    <row r="37" spans="1:17" s="17" customFormat="1" x14ac:dyDescent="0.25">
      <c r="A37" s="7">
        <v>32</v>
      </c>
      <c r="B37" s="8" t="s">
        <v>57</v>
      </c>
      <c r="C37" s="8" t="s">
        <v>280</v>
      </c>
      <c r="D37" s="8" t="s">
        <v>971</v>
      </c>
      <c r="E37" s="8" t="s">
        <v>972</v>
      </c>
      <c r="F37" s="8"/>
      <c r="G37" s="9">
        <f>IFERROR(SUMIFS(TB!C:C,TB!A:A,B37)-SUMIFS(TB!B:B,TB!A:A,B37),0)</f>
        <v>16379.2</v>
      </c>
      <c r="H37" s="9">
        <f>SUMIFS('Bill Wise'!I:I,'Bill Wise'!C:C,B37,'Bill Wise'!H:H,"0-30 Days")</f>
        <v>16379.2</v>
      </c>
      <c r="I37" s="9">
        <f>SUMIFS('Bill Wise'!I:I,'Bill Wise'!C:C,B37,'Bill Wise'!H:H,"31-60 Days")</f>
        <v>0</v>
      </c>
      <c r="J37" s="9">
        <f>SUMIFS('Bill Wise'!I:I,'Bill Wise'!C:C,B37,'Bill Wise'!H:H,"61-90 Days")</f>
        <v>0</v>
      </c>
      <c r="K37" s="9">
        <f>SUMIFS('Bill Wise'!I:I,'Bill Wise'!C:C,B37,'Bill Wise'!H:H,"91-120 Days")</f>
        <v>0</v>
      </c>
      <c r="L37" s="9">
        <f>SUMIFS('Bill Wise'!I:I,'Bill Wise'!C:C,B37,'Bill Wise'!H:H,"121-150 Days")</f>
        <v>0</v>
      </c>
      <c r="M37" s="9">
        <f>SUMIFS('Bill Wise'!I:I,'Bill Wise'!C:C,B37,'Bill Wise'!H:H,"151-180 Days")</f>
        <v>0</v>
      </c>
      <c r="N37" s="9">
        <f>SUMIFS('Bill Wise'!I:I,'Bill Wise'!C:C,B37,'Bill Wise'!H:H,"181-365 Days")</f>
        <v>0</v>
      </c>
      <c r="O37" s="9">
        <f>SUMIFS('Bill Wise'!I:I,'Bill Wise'!C:C,B37,'Bill Wise'!H:H,"Above 365 Days")</f>
        <v>0</v>
      </c>
      <c r="P37" s="9">
        <f t="shared" si="2"/>
        <v>16379.2</v>
      </c>
      <c r="Q37" s="9">
        <f t="shared" si="3"/>
        <v>0</v>
      </c>
    </row>
    <row r="38" spans="1:17" s="17" customFormat="1" x14ac:dyDescent="0.25">
      <c r="A38" s="7">
        <v>33</v>
      </c>
      <c r="B38" s="8" t="s">
        <v>50</v>
      </c>
      <c r="C38" s="8" t="s">
        <v>317</v>
      </c>
      <c r="D38" s="8" t="s">
        <v>981</v>
      </c>
      <c r="E38" s="8" t="s">
        <v>981</v>
      </c>
      <c r="F38" s="8"/>
      <c r="G38" s="9">
        <f>IFERROR(SUMIFS(TB!C:C,TB!A:A,B38)-SUMIFS(TB!B:B,TB!A:A,B38),0)</f>
        <v>17552</v>
      </c>
      <c r="H38" s="9">
        <f>SUMIFS('Bill Wise'!I:I,'Bill Wise'!C:C,B38,'Bill Wise'!H:H,"0-30 Days")</f>
        <v>17552</v>
      </c>
      <c r="I38" s="9">
        <f>SUMIFS('Bill Wise'!I:I,'Bill Wise'!C:C,B38,'Bill Wise'!H:H,"31-60 Days")</f>
        <v>0</v>
      </c>
      <c r="J38" s="9">
        <f>SUMIFS('Bill Wise'!I:I,'Bill Wise'!C:C,B38,'Bill Wise'!H:H,"61-90 Days")</f>
        <v>0</v>
      </c>
      <c r="K38" s="9">
        <f>SUMIFS('Bill Wise'!I:I,'Bill Wise'!C:C,B38,'Bill Wise'!H:H,"91-120 Days")</f>
        <v>0</v>
      </c>
      <c r="L38" s="9">
        <f>SUMIFS('Bill Wise'!I:I,'Bill Wise'!C:C,B38,'Bill Wise'!H:H,"121-150 Days")</f>
        <v>0</v>
      </c>
      <c r="M38" s="9">
        <f>SUMIFS('Bill Wise'!I:I,'Bill Wise'!C:C,B38,'Bill Wise'!H:H,"151-180 Days")</f>
        <v>0</v>
      </c>
      <c r="N38" s="9">
        <f>SUMIFS('Bill Wise'!I:I,'Bill Wise'!C:C,B38,'Bill Wise'!H:H,"181-365 Days")</f>
        <v>0</v>
      </c>
      <c r="O38" s="9">
        <f>SUMIFS('Bill Wise'!I:I,'Bill Wise'!C:C,B38,'Bill Wise'!H:H,"Above 365 Days")</f>
        <v>0</v>
      </c>
      <c r="P38" s="9">
        <f t="shared" si="2"/>
        <v>17552</v>
      </c>
      <c r="Q38" s="9">
        <f t="shared" si="3"/>
        <v>0</v>
      </c>
    </row>
    <row r="39" spans="1:17" s="17" customFormat="1" x14ac:dyDescent="0.25">
      <c r="A39" s="7">
        <v>34</v>
      </c>
      <c r="B39" s="8" t="s">
        <v>92</v>
      </c>
      <c r="C39" s="8" t="s">
        <v>973</v>
      </c>
      <c r="D39" s="8" t="s">
        <v>995</v>
      </c>
      <c r="E39" s="8" t="s">
        <v>982</v>
      </c>
      <c r="F39" s="8"/>
      <c r="G39" s="9">
        <f>IFERROR(SUMIFS(TB!C:C,TB!A:A,B39)-SUMIFS(TB!B:B,TB!A:A,B39),0)</f>
        <v>18000</v>
      </c>
      <c r="H39" s="9">
        <f>SUMIFS('Bill Wise'!I:I,'Bill Wise'!C:C,B39,'Bill Wise'!H:H,"0-30 Days")</f>
        <v>18000</v>
      </c>
      <c r="I39" s="9">
        <f>SUMIFS('Bill Wise'!I:I,'Bill Wise'!C:C,B39,'Bill Wise'!H:H,"31-60 Days")</f>
        <v>0</v>
      </c>
      <c r="J39" s="9">
        <f>SUMIFS('Bill Wise'!I:I,'Bill Wise'!C:C,B39,'Bill Wise'!H:H,"61-90 Days")</f>
        <v>0</v>
      </c>
      <c r="K39" s="9">
        <f>SUMIFS('Bill Wise'!I:I,'Bill Wise'!C:C,B39,'Bill Wise'!H:H,"91-120 Days")</f>
        <v>0</v>
      </c>
      <c r="L39" s="9">
        <f>SUMIFS('Bill Wise'!I:I,'Bill Wise'!C:C,B39,'Bill Wise'!H:H,"121-150 Days")</f>
        <v>0</v>
      </c>
      <c r="M39" s="9">
        <f>SUMIFS('Bill Wise'!I:I,'Bill Wise'!C:C,B39,'Bill Wise'!H:H,"151-180 Days")</f>
        <v>0</v>
      </c>
      <c r="N39" s="9">
        <f>SUMIFS('Bill Wise'!I:I,'Bill Wise'!C:C,B39,'Bill Wise'!H:H,"181-365 Days")</f>
        <v>0</v>
      </c>
      <c r="O39" s="9">
        <f>SUMIFS('Bill Wise'!I:I,'Bill Wise'!C:C,B39,'Bill Wise'!H:H,"Above 365 Days")</f>
        <v>0</v>
      </c>
      <c r="P39" s="9">
        <f t="shared" si="2"/>
        <v>18000</v>
      </c>
      <c r="Q39" s="9">
        <f t="shared" si="3"/>
        <v>0</v>
      </c>
    </row>
    <row r="40" spans="1:17" s="17" customFormat="1" x14ac:dyDescent="0.25">
      <c r="A40" s="7">
        <v>35</v>
      </c>
      <c r="B40" s="8" t="s">
        <v>134</v>
      </c>
      <c r="C40" s="8" t="s">
        <v>973</v>
      </c>
      <c r="D40" s="8" t="s">
        <v>995</v>
      </c>
      <c r="E40" s="8" t="s">
        <v>982</v>
      </c>
      <c r="F40" s="8"/>
      <c r="G40" s="9">
        <f>IFERROR(SUMIFS(TB!C:C,TB!A:A,B40)-SUMIFS(TB!B:B,TB!A:A,B40),0)</f>
        <v>18000</v>
      </c>
      <c r="H40" s="9">
        <f>SUMIFS('Bill Wise'!I:I,'Bill Wise'!C:C,B40,'Bill Wise'!H:H,"0-30 Days")</f>
        <v>18000</v>
      </c>
      <c r="I40" s="9">
        <f>SUMIFS('Bill Wise'!I:I,'Bill Wise'!C:C,B40,'Bill Wise'!H:H,"31-60 Days")</f>
        <v>0</v>
      </c>
      <c r="J40" s="9">
        <f>SUMIFS('Bill Wise'!I:I,'Bill Wise'!C:C,B40,'Bill Wise'!H:H,"61-90 Days")</f>
        <v>0</v>
      </c>
      <c r="K40" s="9">
        <f>SUMIFS('Bill Wise'!I:I,'Bill Wise'!C:C,B40,'Bill Wise'!H:H,"91-120 Days")</f>
        <v>0</v>
      </c>
      <c r="L40" s="9">
        <f>SUMIFS('Bill Wise'!I:I,'Bill Wise'!C:C,B40,'Bill Wise'!H:H,"121-150 Days")</f>
        <v>0</v>
      </c>
      <c r="M40" s="9">
        <f>SUMIFS('Bill Wise'!I:I,'Bill Wise'!C:C,B40,'Bill Wise'!H:H,"151-180 Days")</f>
        <v>0</v>
      </c>
      <c r="N40" s="9">
        <f>SUMIFS('Bill Wise'!I:I,'Bill Wise'!C:C,B40,'Bill Wise'!H:H,"181-365 Days")</f>
        <v>0</v>
      </c>
      <c r="O40" s="9">
        <f>SUMIFS('Bill Wise'!I:I,'Bill Wise'!C:C,B40,'Bill Wise'!H:H,"Above 365 Days")</f>
        <v>0</v>
      </c>
      <c r="P40" s="9">
        <f t="shared" si="2"/>
        <v>18000</v>
      </c>
      <c r="Q40" s="9">
        <f t="shared" si="3"/>
        <v>0</v>
      </c>
    </row>
    <row r="41" spans="1:17" s="17" customFormat="1" x14ac:dyDescent="0.25">
      <c r="A41" s="7">
        <v>36</v>
      </c>
      <c r="B41" s="8" t="s">
        <v>1048</v>
      </c>
      <c r="C41" s="8" t="s">
        <v>306</v>
      </c>
      <c r="D41" s="8" t="s">
        <v>981</v>
      </c>
      <c r="E41" s="8" t="s">
        <v>1677</v>
      </c>
      <c r="F41" s="8"/>
      <c r="G41" s="9">
        <f>IFERROR(SUMIFS(TB!C:C,TB!A:A,B41)-SUMIFS(TB!B:B,TB!A:A,B41),0)</f>
        <v>18812</v>
      </c>
      <c r="H41" s="9">
        <f>SUMIFS('Bill Wise'!I:I,'Bill Wise'!C:C,B41,'Bill Wise'!H:H,"0-30 Days")</f>
        <v>18812</v>
      </c>
      <c r="I41" s="9">
        <f>SUMIFS('Bill Wise'!I:I,'Bill Wise'!C:C,B41,'Bill Wise'!H:H,"31-60 Days")</f>
        <v>0</v>
      </c>
      <c r="J41" s="9">
        <f>SUMIFS('Bill Wise'!I:I,'Bill Wise'!C:C,B41,'Bill Wise'!H:H,"61-90 Days")</f>
        <v>0</v>
      </c>
      <c r="K41" s="9">
        <f>SUMIFS('Bill Wise'!I:I,'Bill Wise'!C:C,B41,'Bill Wise'!H:H,"91-120 Days")</f>
        <v>0</v>
      </c>
      <c r="L41" s="9">
        <f>SUMIFS('Bill Wise'!I:I,'Bill Wise'!C:C,B41,'Bill Wise'!H:H,"121-150 Days")</f>
        <v>0</v>
      </c>
      <c r="M41" s="9">
        <f>SUMIFS('Bill Wise'!I:I,'Bill Wise'!C:C,B41,'Bill Wise'!H:H,"151-180 Days")</f>
        <v>0</v>
      </c>
      <c r="N41" s="9">
        <f>SUMIFS('Bill Wise'!I:I,'Bill Wise'!C:C,B41,'Bill Wise'!H:H,"181-365 Days")</f>
        <v>0</v>
      </c>
      <c r="O41" s="9">
        <f>SUMIFS('Bill Wise'!I:I,'Bill Wise'!C:C,B41,'Bill Wise'!H:H,"Above 365 Days")</f>
        <v>0</v>
      </c>
      <c r="P41" s="9">
        <f t="shared" si="2"/>
        <v>18812</v>
      </c>
      <c r="Q41" s="9">
        <f t="shared" si="3"/>
        <v>0</v>
      </c>
    </row>
    <row r="42" spans="1:17" s="17" customFormat="1" x14ac:dyDescent="0.25">
      <c r="A42" s="7">
        <v>37</v>
      </c>
      <c r="B42" s="8" t="s">
        <v>48</v>
      </c>
      <c r="C42" s="8" t="s">
        <v>317</v>
      </c>
      <c r="D42" s="8" t="s">
        <v>971</v>
      </c>
      <c r="E42" s="8" t="s">
        <v>978</v>
      </c>
      <c r="F42" s="8"/>
      <c r="G42" s="9">
        <f>IFERROR(SUMIFS(TB!C:C,TB!A:A,B42)-SUMIFS(TB!B:B,TB!A:A,B42),0)</f>
        <v>19952</v>
      </c>
      <c r="H42" s="9">
        <f>SUMIFS('Bill Wise'!I:I,'Bill Wise'!C:C,B42,'Bill Wise'!H:H,"0-30 Days")</f>
        <v>19952</v>
      </c>
      <c r="I42" s="9">
        <f>SUMIFS('Bill Wise'!I:I,'Bill Wise'!C:C,B42,'Bill Wise'!H:H,"31-60 Days")</f>
        <v>-660.95</v>
      </c>
      <c r="J42" s="9">
        <f>SUMIFS('Bill Wise'!I:I,'Bill Wise'!C:C,B42,'Bill Wise'!H:H,"61-90 Days")</f>
        <v>0</v>
      </c>
      <c r="K42" s="9">
        <f>SUMIFS('Bill Wise'!I:I,'Bill Wise'!C:C,B42,'Bill Wise'!H:H,"91-120 Days")</f>
        <v>0</v>
      </c>
      <c r="L42" s="9">
        <f>SUMIFS('Bill Wise'!I:I,'Bill Wise'!C:C,B42,'Bill Wise'!H:H,"121-150 Days")</f>
        <v>0</v>
      </c>
      <c r="M42" s="9">
        <f>SUMIFS('Bill Wise'!I:I,'Bill Wise'!C:C,B42,'Bill Wise'!H:H,"151-180 Days")</f>
        <v>0</v>
      </c>
      <c r="N42" s="9">
        <f>SUMIFS('Bill Wise'!I:I,'Bill Wise'!C:C,B42,'Bill Wise'!H:H,"181-365 Days")</f>
        <v>0</v>
      </c>
      <c r="O42" s="9">
        <f>SUMIFS('Bill Wise'!I:I,'Bill Wise'!C:C,B42,'Bill Wise'!H:H,"Above 365 Days")</f>
        <v>0</v>
      </c>
      <c r="P42" s="9">
        <f t="shared" si="2"/>
        <v>19291.05</v>
      </c>
      <c r="Q42" s="9">
        <f t="shared" si="3"/>
        <v>660.95000000000073</v>
      </c>
    </row>
    <row r="43" spans="1:17" s="17" customFormat="1" x14ac:dyDescent="0.25">
      <c r="A43" s="7">
        <v>38</v>
      </c>
      <c r="B43" s="8" t="s">
        <v>65</v>
      </c>
      <c r="C43" s="8" t="s">
        <v>306</v>
      </c>
      <c r="D43" s="8" t="s">
        <v>971</v>
      </c>
      <c r="E43" s="8" t="s">
        <v>987</v>
      </c>
      <c r="F43" s="8"/>
      <c r="G43" s="9">
        <f>IFERROR(SUMIFS(TB!C:C,TB!A:A,B43)-SUMIFS(TB!B:B,TB!A:A,B43),0)</f>
        <v>20000</v>
      </c>
      <c r="H43" s="9">
        <f>SUMIFS('Bill Wise'!I:I,'Bill Wise'!C:C,B43,'Bill Wise'!H:H,"0-30 Days")</f>
        <v>20000</v>
      </c>
      <c r="I43" s="9">
        <f>SUMIFS('Bill Wise'!I:I,'Bill Wise'!C:C,B43,'Bill Wise'!H:H,"31-60 Days")</f>
        <v>0</v>
      </c>
      <c r="J43" s="9">
        <f>SUMIFS('Bill Wise'!I:I,'Bill Wise'!C:C,B43,'Bill Wise'!H:H,"61-90 Days")</f>
        <v>0</v>
      </c>
      <c r="K43" s="9">
        <f>SUMIFS('Bill Wise'!I:I,'Bill Wise'!C:C,B43,'Bill Wise'!H:H,"91-120 Days")</f>
        <v>0</v>
      </c>
      <c r="L43" s="9">
        <f>SUMIFS('Bill Wise'!I:I,'Bill Wise'!C:C,B43,'Bill Wise'!H:H,"121-150 Days")</f>
        <v>0</v>
      </c>
      <c r="M43" s="9">
        <f>SUMIFS('Bill Wise'!I:I,'Bill Wise'!C:C,B43,'Bill Wise'!H:H,"151-180 Days")</f>
        <v>0</v>
      </c>
      <c r="N43" s="9">
        <f>SUMIFS('Bill Wise'!I:I,'Bill Wise'!C:C,B43,'Bill Wise'!H:H,"181-365 Days")</f>
        <v>0</v>
      </c>
      <c r="O43" s="9">
        <f>SUMIFS('Bill Wise'!I:I,'Bill Wise'!C:C,B43,'Bill Wise'!H:H,"Above 365 Days")</f>
        <v>0</v>
      </c>
      <c r="P43" s="9">
        <f t="shared" si="2"/>
        <v>20000</v>
      </c>
      <c r="Q43" s="9">
        <f t="shared" si="3"/>
        <v>0</v>
      </c>
    </row>
    <row r="44" spans="1:17" s="17" customFormat="1" x14ac:dyDescent="0.25">
      <c r="A44" s="7">
        <v>39</v>
      </c>
      <c r="B44" s="8" t="s">
        <v>125</v>
      </c>
      <c r="C44" s="8" t="s">
        <v>280</v>
      </c>
      <c r="D44" s="8" t="s">
        <v>971</v>
      </c>
      <c r="E44" s="8">
        <v>0</v>
      </c>
      <c r="F44" s="8"/>
      <c r="G44" s="9">
        <f>IFERROR(SUMIFS(TB!C:C,TB!A:A,B44)-SUMIFS(TB!B:B,TB!A:A,B44),0)</f>
        <v>20535</v>
      </c>
      <c r="H44" s="9">
        <f>SUMIFS('Bill Wise'!I:I,'Bill Wise'!C:C,B44,'Bill Wise'!H:H,"0-30 Days")</f>
        <v>0</v>
      </c>
      <c r="I44" s="9">
        <f>SUMIFS('Bill Wise'!I:I,'Bill Wise'!C:C,B44,'Bill Wise'!H:H,"31-60 Days")</f>
        <v>20535</v>
      </c>
      <c r="J44" s="9">
        <f>SUMIFS('Bill Wise'!I:I,'Bill Wise'!C:C,B44,'Bill Wise'!H:H,"61-90 Days")</f>
        <v>0</v>
      </c>
      <c r="K44" s="9">
        <f>SUMIFS('Bill Wise'!I:I,'Bill Wise'!C:C,B44,'Bill Wise'!H:H,"91-120 Days")</f>
        <v>0</v>
      </c>
      <c r="L44" s="9">
        <f>SUMIFS('Bill Wise'!I:I,'Bill Wise'!C:C,B44,'Bill Wise'!H:H,"121-150 Days")</f>
        <v>0</v>
      </c>
      <c r="M44" s="9">
        <f>SUMIFS('Bill Wise'!I:I,'Bill Wise'!C:C,B44,'Bill Wise'!H:H,"151-180 Days")</f>
        <v>0</v>
      </c>
      <c r="N44" s="9">
        <f>SUMIFS('Bill Wise'!I:I,'Bill Wise'!C:C,B44,'Bill Wise'!H:H,"181-365 Days")</f>
        <v>0</v>
      </c>
      <c r="O44" s="9">
        <f>SUMIFS('Bill Wise'!I:I,'Bill Wise'!C:C,B44,'Bill Wise'!H:H,"Above 365 Days")</f>
        <v>0</v>
      </c>
      <c r="P44" s="9">
        <f t="shared" si="2"/>
        <v>20535</v>
      </c>
      <c r="Q44" s="9">
        <f t="shared" si="3"/>
        <v>0</v>
      </c>
    </row>
    <row r="45" spans="1:17" s="17" customFormat="1" x14ac:dyDescent="0.25">
      <c r="A45" s="7">
        <v>40</v>
      </c>
      <c r="B45" s="8" t="s">
        <v>118</v>
      </c>
      <c r="C45" s="8" t="s">
        <v>306</v>
      </c>
      <c r="D45" s="8" t="s">
        <v>981</v>
      </c>
      <c r="E45" s="8" t="s">
        <v>981</v>
      </c>
      <c r="F45" s="8"/>
      <c r="G45" s="9">
        <f>IFERROR(SUMIFS(TB!C:C,TB!A:A,B45)-SUMIFS(TB!B:B,TB!A:A,B45),0)</f>
        <v>21729</v>
      </c>
      <c r="H45" s="9">
        <f>SUMIFS('Bill Wise'!I:I,'Bill Wise'!C:C,B45,'Bill Wise'!H:H,"0-30 Days")</f>
        <v>21729</v>
      </c>
      <c r="I45" s="9">
        <f>SUMIFS('Bill Wise'!I:I,'Bill Wise'!C:C,B45,'Bill Wise'!H:H,"31-60 Days")</f>
        <v>0</v>
      </c>
      <c r="J45" s="9">
        <f>SUMIFS('Bill Wise'!I:I,'Bill Wise'!C:C,B45,'Bill Wise'!H:H,"61-90 Days")</f>
        <v>0</v>
      </c>
      <c r="K45" s="9">
        <f>SUMIFS('Bill Wise'!I:I,'Bill Wise'!C:C,B45,'Bill Wise'!H:H,"91-120 Days")</f>
        <v>0</v>
      </c>
      <c r="L45" s="9">
        <f>SUMIFS('Bill Wise'!I:I,'Bill Wise'!C:C,B45,'Bill Wise'!H:H,"121-150 Days")</f>
        <v>0</v>
      </c>
      <c r="M45" s="9">
        <f>SUMIFS('Bill Wise'!I:I,'Bill Wise'!C:C,B45,'Bill Wise'!H:H,"151-180 Days")</f>
        <v>0</v>
      </c>
      <c r="N45" s="9">
        <f>SUMIFS('Bill Wise'!I:I,'Bill Wise'!C:C,B45,'Bill Wise'!H:H,"181-365 Days")</f>
        <v>0</v>
      </c>
      <c r="O45" s="9">
        <f>SUMIFS('Bill Wise'!I:I,'Bill Wise'!C:C,B45,'Bill Wise'!H:H,"Above 365 Days")</f>
        <v>0</v>
      </c>
      <c r="P45" s="9">
        <f t="shared" si="2"/>
        <v>21729</v>
      </c>
      <c r="Q45" s="9">
        <f t="shared" si="3"/>
        <v>0</v>
      </c>
    </row>
    <row r="46" spans="1:17" s="17" customFormat="1" x14ac:dyDescent="0.25">
      <c r="A46" s="7">
        <v>41</v>
      </c>
      <c r="B46" s="8" t="s">
        <v>1049</v>
      </c>
      <c r="C46" s="8" t="s">
        <v>306</v>
      </c>
      <c r="D46" s="8" t="s">
        <v>971</v>
      </c>
      <c r="E46" s="8" t="s">
        <v>972</v>
      </c>
      <c r="F46" s="8"/>
      <c r="G46" s="9">
        <f>IFERROR(SUMIFS(TB!C:C,TB!A:A,B46)-SUMIFS(TB!B:B,TB!A:A,B46),0)</f>
        <v>22148</v>
      </c>
      <c r="H46" s="9">
        <f>SUMIFS('Bill Wise'!I:I,'Bill Wise'!C:C,B46,'Bill Wise'!H:H,"0-30 Days")</f>
        <v>22148</v>
      </c>
      <c r="I46" s="9">
        <f>SUMIFS('Bill Wise'!I:I,'Bill Wise'!C:C,B46,'Bill Wise'!H:H,"31-60 Days")</f>
        <v>0</v>
      </c>
      <c r="J46" s="9">
        <f>SUMIFS('Bill Wise'!I:I,'Bill Wise'!C:C,B46,'Bill Wise'!H:H,"61-90 Days")</f>
        <v>0</v>
      </c>
      <c r="K46" s="9">
        <f>SUMIFS('Bill Wise'!I:I,'Bill Wise'!C:C,B46,'Bill Wise'!H:H,"91-120 Days")</f>
        <v>0</v>
      </c>
      <c r="L46" s="9">
        <f>SUMIFS('Bill Wise'!I:I,'Bill Wise'!C:C,B46,'Bill Wise'!H:H,"121-150 Days")</f>
        <v>0</v>
      </c>
      <c r="M46" s="9">
        <f>SUMIFS('Bill Wise'!I:I,'Bill Wise'!C:C,B46,'Bill Wise'!H:H,"151-180 Days")</f>
        <v>0</v>
      </c>
      <c r="N46" s="9">
        <f>SUMIFS('Bill Wise'!I:I,'Bill Wise'!C:C,B46,'Bill Wise'!H:H,"181-365 Days")</f>
        <v>0</v>
      </c>
      <c r="O46" s="9">
        <f>SUMIFS('Bill Wise'!I:I,'Bill Wise'!C:C,B46,'Bill Wise'!H:H,"Above 365 Days")</f>
        <v>0</v>
      </c>
      <c r="P46" s="9">
        <f t="shared" si="2"/>
        <v>22148</v>
      </c>
      <c r="Q46" s="9">
        <f t="shared" si="3"/>
        <v>0</v>
      </c>
    </row>
    <row r="47" spans="1:17" s="17" customFormat="1" x14ac:dyDescent="0.25">
      <c r="A47" s="7">
        <v>42</v>
      </c>
      <c r="B47" s="8" t="s">
        <v>158</v>
      </c>
      <c r="C47" s="8" t="s">
        <v>306</v>
      </c>
      <c r="D47" s="8" t="s">
        <v>981</v>
      </c>
      <c r="E47" s="8" t="s">
        <v>1677</v>
      </c>
      <c r="F47" s="8"/>
      <c r="G47" s="9">
        <f>IFERROR(SUMIFS(TB!C:C,TB!A:A,B47)-SUMIFS(TB!B:B,TB!A:A,B47),0)</f>
        <v>22423</v>
      </c>
      <c r="H47" s="9">
        <f>SUMIFS('Bill Wise'!I:I,'Bill Wise'!C:C,B47,'Bill Wise'!H:H,"0-30 Days")</f>
        <v>47423</v>
      </c>
      <c r="I47" s="9">
        <f>SUMIFS('Bill Wise'!I:I,'Bill Wise'!C:C,B47,'Bill Wise'!H:H,"31-60 Days")</f>
        <v>0</v>
      </c>
      <c r="J47" s="9">
        <f>SUMIFS('Bill Wise'!I:I,'Bill Wise'!C:C,B47,'Bill Wise'!H:H,"61-90 Days")</f>
        <v>-25000</v>
      </c>
      <c r="K47" s="9">
        <f>SUMIFS('Bill Wise'!I:I,'Bill Wise'!C:C,B47,'Bill Wise'!H:H,"91-120 Days")</f>
        <v>0</v>
      </c>
      <c r="L47" s="9">
        <f>SUMIFS('Bill Wise'!I:I,'Bill Wise'!C:C,B47,'Bill Wise'!H:H,"121-150 Days")</f>
        <v>0</v>
      </c>
      <c r="M47" s="9">
        <f>SUMIFS('Bill Wise'!I:I,'Bill Wise'!C:C,B47,'Bill Wise'!H:H,"151-180 Days")</f>
        <v>0</v>
      </c>
      <c r="N47" s="9">
        <f>SUMIFS('Bill Wise'!I:I,'Bill Wise'!C:C,B47,'Bill Wise'!H:H,"181-365 Days")</f>
        <v>0</v>
      </c>
      <c r="O47" s="9">
        <f>SUMIFS('Bill Wise'!I:I,'Bill Wise'!C:C,B47,'Bill Wise'!H:H,"Above 365 Days")</f>
        <v>0</v>
      </c>
      <c r="P47" s="9">
        <f t="shared" si="2"/>
        <v>22423</v>
      </c>
      <c r="Q47" s="9">
        <f t="shared" si="3"/>
        <v>0</v>
      </c>
    </row>
    <row r="48" spans="1:17" s="17" customFormat="1" x14ac:dyDescent="0.25">
      <c r="A48" s="7">
        <v>43</v>
      </c>
      <c r="B48" s="8" t="s">
        <v>169</v>
      </c>
      <c r="C48" s="8" t="s">
        <v>280</v>
      </c>
      <c r="D48" s="8" t="s">
        <v>971</v>
      </c>
      <c r="E48" s="8" t="s">
        <v>976</v>
      </c>
      <c r="F48" s="8"/>
      <c r="G48" s="9">
        <f>IFERROR(SUMIFS(TB!C:C,TB!A:A,B48)-SUMIFS(TB!B:B,TB!A:A,B48),0)</f>
        <v>23174.83</v>
      </c>
      <c r="H48" s="9">
        <f>SUMIFS('Bill Wise'!I:I,'Bill Wise'!C:C,B48,'Bill Wise'!H:H,"0-30 Days")</f>
        <v>23174.57</v>
      </c>
      <c r="I48" s="9">
        <f>SUMIFS('Bill Wise'!I:I,'Bill Wise'!C:C,B48,'Bill Wise'!H:H,"31-60 Days")</f>
        <v>0</v>
      </c>
      <c r="J48" s="9">
        <f>SUMIFS('Bill Wise'!I:I,'Bill Wise'!C:C,B48,'Bill Wise'!H:H,"61-90 Days")</f>
        <v>0.26</v>
      </c>
      <c r="K48" s="9">
        <f>SUMIFS('Bill Wise'!I:I,'Bill Wise'!C:C,B48,'Bill Wise'!H:H,"91-120 Days")</f>
        <v>0</v>
      </c>
      <c r="L48" s="9">
        <f>SUMIFS('Bill Wise'!I:I,'Bill Wise'!C:C,B48,'Bill Wise'!H:H,"121-150 Days")</f>
        <v>0</v>
      </c>
      <c r="M48" s="9">
        <f>SUMIFS('Bill Wise'!I:I,'Bill Wise'!C:C,B48,'Bill Wise'!H:H,"151-180 Days")</f>
        <v>0</v>
      </c>
      <c r="N48" s="9">
        <f>SUMIFS('Bill Wise'!I:I,'Bill Wise'!C:C,B48,'Bill Wise'!H:H,"181-365 Days")</f>
        <v>0</v>
      </c>
      <c r="O48" s="9">
        <f>SUMIFS('Bill Wise'!I:I,'Bill Wise'!C:C,B48,'Bill Wise'!H:H,"Above 365 Days")</f>
        <v>0</v>
      </c>
      <c r="P48" s="9">
        <f t="shared" si="2"/>
        <v>23174.829999999998</v>
      </c>
      <c r="Q48" s="9">
        <f t="shared" si="3"/>
        <v>0</v>
      </c>
    </row>
    <row r="49" spans="1:17" s="17" customFormat="1" x14ac:dyDescent="0.25">
      <c r="A49" s="7">
        <v>44</v>
      </c>
      <c r="B49" s="8" t="s">
        <v>17</v>
      </c>
      <c r="C49" s="8" t="s">
        <v>317</v>
      </c>
      <c r="D49" s="8" t="s">
        <v>971</v>
      </c>
      <c r="E49" s="8" t="s">
        <v>978</v>
      </c>
      <c r="F49" s="8"/>
      <c r="G49" s="9">
        <f>IFERROR(SUMIFS(TB!C:C,TB!A:A,B49)-SUMIFS(TB!B:B,TB!A:A,B49),0)</f>
        <v>24564.26</v>
      </c>
      <c r="H49" s="9">
        <f>SUMIFS('Bill Wise'!I:I,'Bill Wise'!C:C,B49,'Bill Wise'!H:H,"0-30 Days")</f>
        <v>24564.06</v>
      </c>
      <c r="I49" s="9">
        <f>SUMIFS('Bill Wise'!I:I,'Bill Wise'!C:C,B49,'Bill Wise'!H:H,"31-60 Days")</f>
        <v>0</v>
      </c>
      <c r="J49" s="9">
        <f>SUMIFS('Bill Wise'!I:I,'Bill Wise'!C:C,B49,'Bill Wise'!H:H,"61-90 Days")</f>
        <v>0</v>
      </c>
      <c r="K49" s="9">
        <f>SUMIFS('Bill Wise'!I:I,'Bill Wise'!C:C,B49,'Bill Wise'!H:H,"91-120 Days")</f>
        <v>0</v>
      </c>
      <c r="L49" s="9">
        <f>SUMIFS('Bill Wise'!I:I,'Bill Wise'!C:C,B49,'Bill Wise'!H:H,"121-150 Days")</f>
        <v>0.2</v>
      </c>
      <c r="M49" s="9">
        <f>SUMIFS('Bill Wise'!I:I,'Bill Wise'!C:C,B49,'Bill Wise'!H:H,"151-180 Days")</f>
        <v>0</v>
      </c>
      <c r="N49" s="9">
        <f>SUMIFS('Bill Wise'!I:I,'Bill Wise'!C:C,B49,'Bill Wise'!H:H,"181-365 Days")</f>
        <v>0</v>
      </c>
      <c r="O49" s="9">
        <f>SUMIFS('Bill Wise'!I:I,'Bill Wise'!C:C,B49,'Bill Wise'!H:H,"Above 365 Days")</f>
        <v>0</v>
      </c>
      <c r="P49" s="9">
        <f t="shared" si="2"/>
        <v>24564.260000000002</v>
      </c>
      <c r="Q49" s="9">
        <f t="shared" si="3"/>
        <v>0</v>
      </c>
    </row>
    <row r="50" spans="1:17" s="17" customFormat="1" x14ac:dyDescent="0.25">
      <c r="A50" s="7">
        <v>45</v>
      </c>
      <c r="B50" s="8" t="s">
        <v>130</v>
      </c>
      <c r="C50" s="8" t="s">
        <v>306</v>
      </c>
      <c r="D50" s="8" t="s">
        <v>971</v>
      </c>
      <c r="E50" s="8" t="s">
        <v>972</v>
      </c>
      <c r="F50" s="8"/>
      <c r="G50" s="9">
        <f>IFERROR(SUMIFS(TB!C:C,TB!A:A,B50)-SUMIFS(TB!B:B,TB!A:A,B50),0)</f>
        <v>24592</v>
      </c>
      <c r="H50" s="9">
        <f>SUMIFS('Bill Wise'!I:I,'Bill Wise'!C:C,B50,'Bill Wise'!H:H,"0-30 Days")</f>
        <v>24592</v>
      </c>
      <c r="I50" s="9">
        <f>SUMIFS('Bill Wise'!I:I,'Bill Wise'!C:C,B50,'Bill Wise'!H:H,"31-60 Days")</f>
        <v>0</v>
      </c>
      <c r="J50" s="9">
        <f>SUMIFS('Bill Wise'!I:I,'Bill Wise'!C:C,B50,'Bill Wise'!H:H,"61-90 Days")</f>
        <v>0</v>
      </c>
      <c r="K50" s="9">
        <f>SUMIFS('Bill Wise'!I:I,'Bill Wise'!C:C,B50,'Bill Wise'!H:H,"91-120 Days")</f>
        <v>0</v>
      </c>
      <c r="L50" s="9">
        <f>SUMIFS('Bill Wise'!I:I,'Bill Wise'!C:C,B50,'Bill Wise'!H:H,"121-150 Days")</f>
        <v>0</v>
      </c>
      <c r="M50" s="9">
        <f>SUMIFS('Bill Wise'!I:I,'Bill Wise'!C:C,B50,'Bill Wise'!H:H,"151-180 Days")</f>
        <v>0</v>
      </c>
      <c r="N50" s="9">
        <f>SUMIFS('Bill Wise'!I:I,'Bill Wise'!C:C,B50,'Bill Wise'!H:H,"181-365 Days")</f>
        <v>0</v>
      </c>
      <c r="O50" s="9">
        <f>SUMIFS('Bill Wise'!I:I,'Bill Wise'!C:C,B50,'Bill Wise'!H:H,"Above 365 Days")</f>
        <v>0</v>
      </c>
      <c r="P50" s="9">
        <f t="shared" si="2"/>
        <v>24592</v>
      </c>
      <c r="Q50" s="9">
        <f t="shared" si="3"/>
        <v>0</v>
      </c>
    </row>
    <row r="51" spans="1:17" s="17" customFormat="1" x14ac:dyDescent="0.25">
      <c r="A51" s="7">
        <v>46</v>
      </c>
      <c r="B51" s="8" t="s">
        <v>154</v>
      </c>
      <c r="C51" s="8" t="s">
        <v>973</v>
      </c>
      <c r="D51" s="8" t="s">
        <v>971</v>
      </c>
      <c r="E51" s="8">
        <v>0</v>
      </c>
      <c r="F51" s="8"/>
      <c r="G51" s="9">
        <f>IFERROR(SUMIFS(TB!C:C,TB!A:A,B51)-SUMIFS(TB!B:B,TB!A:A,B51),0)</f>
        <v>24759</v>
      </c>
      <c r="H51" s="9">
        <f>SUMIFS('Bill Wise'!I:I,'Bill Wise'!C:C,B51,'Bill Wise'!H:H,"0-30 Days")</f>
        <v>24759</v>
      </c>
      <c r="I51" s="9">
        <f>SUMIFS('Bill Wise'!I:I,'Bill Wise'!C:C,B51,'Bill Wise'!H:H,"31-60 Days")</f>
        <v>0</v>
      </c>
      <c r="J51" s="9">
        <f>SUMIFS('Bill Wise'!I:I,'Bill Wise'!C:C,B51,'Bill Wise'!H:H,"61-90 Days")</f>
        <v>0</v>
      </c>
      <c r="K51" s="9">
        <f>SUMIFS('Bill Wise'!I:I,'Bill Wise'!C:C,B51,'Bill Wise'!H:H,"91-120 Days")</f>
        <v>0</v>
      </c>
      <c r="L51" s="9">
        <f>SUMIFS('Bill Wise'!I:I,'Bill Wise'!C:C,B51,'Bill Wise'!H:H,"121-150 Days")</f>
        <v>0</v>
      </c>
      <c r="M51" s="9">
        <f>SUMIFS('Bill Wise'!I:I,'Bill Wise'!C:C,B51,'Bill Wise'!H:H,"151-180 Days")</f>
        <v>0</v>
      </c>
      <c r="N51" s="9">
        <f>SUMIFS('Bill Wise'!I:I,'Bill Wise'!C:C,B51,'Bill Wise'!H:H,"181-365 Days")</f>
        <v>0</v>
      </c>
      <c r="O51" s="9">
        <f>SUMIFS('Bill Wise'!I:I,'Bill Wise'!C:C,B51,'Bill Wise'!H:H,"Above 365 Days")</f>
        <v>0</v>
      </c>
      <c r="P51" s="9">
        <f t="shared" si="2"/>
        <v>24759</v>
      </c>
      <c r="Q51" s="9">
        <f t="shared" si="3"/>
        <v>0</v>
      </c>
    </row>
    <row r="52" spans="1:17" s="17" customFormat="1" x14ac:dyDescent="0.25">
      <c r="A52" s="7">
        <v>47</v>
      </c>
      <c r="B52" s="8" t="s">
        <v>119</v>
      </c>
      <c r="C52" s="8" t="s">
        <v>319</v>
      </c>
      <c r="D52" s="8" t="s">
        <v>971</v>
      </c>
      <c r="E52" s="8" t="s">
        <v>982</v>
      </c>
      <c r="F52" s="8"/>
      <c r="G52" s="9">
        <f>IFERROR(SUMIFS(TB!C:C,TB!A:A,B52)-SUMIFS(TB!B:B,TB!A:A,B52),0)</f>
        <v>27225</v>
      </c>
      <c r="H52" s="9">
        <f>SUMIFS('Bill Wise'!I:I,'Bill Wise'!C:C,B52,'Bill Wise'!H:H,"0-30 Days")</f>
        <v>27225</v>
      </c>
      <c r="I52" s="9">
        <f>SUMIFS('Bill Wise'!I:I,'Bill Wise'!C:C,B52,'Bill Wise'!H:H,"31-60 Days")</f>
        <v>0</v>
      </c>
      <c r="J52" s="9">
        <f>SUMIFS('Bill Wise'!I:I,'Bill Wise'!C:C,B52,'Bill Wise'!H:H,"61-90 Days")</f>
        <v>0</v>
      </c>
      <c r="K52" s="9">
        <f>SUMIFS('Bill Wise'!I:I,'Bill Wise'!C:C,B52,'Bill Wise'!H:H,"91-120 Days")</f>
        <v>0</v>
      </c>
      <c r="L52" s="9">
        <f>SUMIFS('Bill Wise'!I:I,'Bill Wise'!C:C,B52,'Bill Wise'!H:H,"121-150 Days")</f>
        <v>0</v>
      </c>
      <c r="M52" s="9">
        <f>SUMIFS('Bill Wise'!I:I,'Bill Wise'!C:C,B52,'Bill Wise'!H:H,"151-180 Days")</f>
        <v>0</v>
      </c>
      <c r="N52" s="9">
        <f>SUMIFS('Bill Wise'!I:I,'Bill Wise'!C:C,B52,'Bill Wise'!H:H,"181-365 Days")</f>
        <v>0</v>
      </c>
      <c r="O52" s="9">
        <f>SUMIFS('Bill Wise'!I:I,'Bill Wise'!C:C,B52,'Bill Wise'!H:H,"Above 365 Days")</f>
        <v>0</v>
      </c>
      <c r="P52" s="9">
        <f t="shared" si="2"/>
        <v>27225</v>
      </c>
      <c r="Q52" s="9">
        <f t="shared" si="3"/>
        <v>0</v>
      </c>
    </row>
    <row r="53" spans="1:17" s="17" customFormat="1" x14ac:dyDescent="0.25">
      <c r="A53" s="7">
        <v>48</v>
      </c>
      <c r="B53" s="8" t="s">
        <v>1050</v>
      </c>
      <c r="C53" s="8" t="s">
        <v>306</v>
      </c>
      <c r="D53" s="8" t="s">
        <v>971</v>
      </c>
      <c r="E53" s="8" t="s">
        <v>976</v>
      </c>
      <c r="F53" s="8"/>
      <c r="G53" s="9">
        <f>IFERROR(SUMIFS(TB!C:C,TB!A:A,B53)-SUMIFS(TB!B:B,TB!A:A,B53),0)</f>
        <v>30444</v>
      </c>
      <c r="H53" s="9">
        <f>SUMIFS('Bill Wise'!I:I,'Bill Wise'!C:C,B53,'Bill Wise'!H:H,"0-30 Days")</f>
        <v>30444</v>
      </c>
      <c r="I53" s="9">
        <f>SUMIFS('Bill Wise'!I:I,'Bill Wise'!C:C,B53,'Bill Wise'!H:H,"31-60 Days")</f>
        <v>0</v>
      </c>
      <c r="J53" s="9">
        <f>SUMIFS('Bill Wise'!I:I,'Bill Wise'!C:C,B53,'Bill Wise'!H:H,"61-90 Days")</f>
        <v>0</v>
      </c>
      <c r="K53" s="9">
        <f>SUMIFS('Bill Wise'!I:I,'Bill Wise'!C:C,B53,'Bill Wise'!H:H,"91-120 Days")</f>
        <v>0</v>
      </c>
      <c r="L53" s="9">
        <f>SUMIFS('Bill Wise'!I:I,'Bill Wise'!C:C,B53,'Bill Wise'!H:H,"121-150 Days")</f>
        <v>0</v>
      </c>
      <c r="M53" s="9">
        <f>SUMIFS('Bill Wise'!I:I,'Bill Wise'!C:C,B53,'Bill Wise'!H:H,"151-180 Days")</f>
        <v>0</v>
      </c>
      <c r="N53" s="9">
        <f>SUMIFS('Bill Wise'!I:I,'Bill Wise'!C:C,B53,'Bill Wise'!H:H,"181-365 Days")</f>
        <v>0</v>
      </c>
      <c r="O53" s="9">
        <f>SUMIFS('Bill Wise'!I:I,'Bill Wise'!C:C,B53,'Bill Wise'!H:H,"Above 365 Days")</f>
        <v>0</v>
      </c>
      <c r="P53" s="9">
        <f t="shared" si="2"/>
        <v>30444</v>
      </c>
      <c r="Q53" s="9">
        <f t="shared" si="3"/>
        <v>0</v>
      </c>
    </row>
    <row r="54" spans="1:17" s="17" customFormat="1" x14ac:dyDescent="0.25">
      <c r="A54" s="7">
        <v>49</v>
      </c>
      <c r="B54" s="8" t="s">
        <v>1051</v>
      </c>
      <c r="C54" s="8" t="s">
        <v>663</v>
      </c>
      <c r="D54" s="8" t="s">
        <v>979</v>
      </c>
      <c r="E54" s="8" t="s">
        <v>1007</v>
      </c>
      <c r="F54" s="8"/>
      <c r="G54" s="9">
        <f>IFERROR(SUMIFS(TB!C:C,TB!A:A,B54)-SUMIFS(TB!B:B,TB!A:A,B54),0)</f>
        <v>32191.759999999998</v>
      </c>
      <c r="H54" s="9">
        <f>SUMIFS('Bill Wise'!I:I,'Bill Wise'!C:C,B54,'Bill Wise'!H:H,"0-30 Days")</f>
        <v>32191.759999999998</v>
      </c>
      <c r="I54" s="9">
        <f>SUMIFS('Bill Wise'!I:I,'Bill Wise'!C:C,B54,'Bill Wise'!H:H,"31-60 Days")</f>
        <v>0</v>
      </c>
      <c r="J54" s="9">
        <f>SUMIFS('Bill Wise'!I:I,'Bill Wise'!C:C,B54,'Bill Wise'!H:H,"61-90 Days")</f>
        <v>0</v>
      </c>
      <c r="K54" s="9">
        <f>SUMIFS('Bill Wise'!I:I,'Bill Wise'!C:C,B54,'Bill Wise'!H:H,"91-120 Days")</f>
        <v>0</v>
      </c>
      <c r="L54" s="9">
        <f>SUMIFS('Bill Wise'!I:I,'Bill Wise'!C:C,B54,'Bill Wise'!H:H,"121-150 Days")</f>
        <v>0</v>
      </c>
      <c r="M54" s="9">
        <f>SUMIFS('Bill Wise'!I:I,'Bill Wise'!C:C,B54,'Bill Wise'!H:H,"151-180 Days")</f>
        <v>0</v>
      </c>
      <c r="N54" s="9">
        <f>SUMIFS('Bill Wise'!I:I,'Bill Wise'!C:C,B54,'Bill Wise'!H:H,"181-365 Days")</f>
        <v>0</v>
      </c>
      <c r="O54" s="9">
        <f>SUMIFS('Bill Wise'!I:I,'Bill Wise'!C:C,B54,'Bill Wise'!H:H,"Above 365 Days")</f>
        <v>0</v>
      </c>
      <c r="P54" s="9">
        <f t="shared" si="2"/>
        <v>32191.759999999998</v>
      </c>
      <c r="Q54" s="9">
        <f t="shared" si="3"/>
        <v>0</v>
      </c>
    </row>
    <row r="55" spans="1:17" s="17" customFormat="1" x14ac:dyDescent="0.25">
      <c r="A55" s="7">
        <v>50</v>
      </c>
      <c r="B55" s="8" t="s">
        <v>163</v>
      </c>
      <c r="C55" s="8" t="s">
        <v>280</v>
      </c>
      <c r="D55" s="8" t="s">
        <v>971</v>
      </c>
      <c r="E55" s="8" t="s">
        <v>993</v>
      </c>
      <c r="F55" s="8"/>
      <c r="G55" s="9">
        <f>IFERROR(SUMIFS(TB!C:C,TB!A:A,B55)-SUMIFS(TB!B:B,TB!A:A,B55),0)</f>
        <v>33320</v>
      </c>
      <c r="H55" s="9">
        <f>SUMIFS('Bill Wise'!I:I,'Bill Wise'!C:C,B55,'Bill Wise'!H:H,"0-30 Days")</f>
        <v>33320</v>
      </c>
      <c r="I55" s="9">
        <f>SUMIFS('Bill Wise'!I:I,'Bill Wise'!C:C,B55,'Bill Wise'!H:H,"31-60 Days")</f>
        <v>0</v>
      </c>
      <c r="J55" s="9">
        <f>SUMIFS('Bill Wise'!I:I,'Bill Wise'!C:C,B55,'Bill Wise'!H:H,"61-90 Days")</f>
        <v>0</v>
      </c>
      <c r="K55" s="9">
        <f>SUMIFS('Bill Wise'!I:I,'Bill Wise'!C:C,B55,'Bill Wise'!H:H,"91-120 Days")</f>
        <v>0</v>
      </c>
      <c r="L55" s="9">
        <f>SUMIFS('Bill Wise'!I:I,'Bill Wise'!C:C,B55,'Bill Wise'!H:H,"121-150 Days")</f>
        <v>0</v>
      </c>
      <c r="M55" s="9">
        <f>SUMIFS('Bill Wise'!I:I,'Bill Wise'!C:C,B55,'Bill Wise'!H:H,"151-180 Days")</f>
        <v>0</v>
      </c>
      <c r="N55" s="9">
        <f>SUMIFS('Bill Wise'!I:I,'Bill Wise'!C:C,B55,'Bill Wise'!H:H,"181-365 Days")</f>
        <v>0</v>
      </c>
      <c r="O55" s="9">
        <f>SUMIFS('Bill Wise'!I:I,'Bill Wise'!C:C,B55,'Bill Wise'!H:H,"Above 365 Days")</f>
        <v>0</v>
      </c>
      <c r="P55" s="9">
        <f t="shared" si="2"/>
        <v>33320</v>
      </c>
      <c r="Q55" s="9">
        <f t="shared" si="3"/>
        <v>0</v>
      </c>
    </row>
    <row r="56" spans="1:17" s="17" customFormat="1" x14ac:dyDescent="0.25">
      <c r="A56" s="7">
        <v>51</v>
      </c>
      <c r="B56" s="8" t="s">
        <v>1052</v>
      </c>
      <c r="C56" s="8" t="s">
        <v>317</v>
      </c>
      <c r="D56" s="8" t="s">
        <v>981</v>
      </c>
      <c r="E56" s="8" t="s">
        <v>1677</v>
      </c>
      <c r="F56" s="8"/>
      <c r="G56" s="9">
        <f>IFERROR(SUMIFS(TB!C:C,TB!A:A,B56)-SUMIFS(TB!B:B,TB!A:A,B56),0)</f>
        <v>33829</v>
      </c>
      <c r="H56" s="9">
        <f>SUMIFS('Bill Wise'!I:I,'Bill Wise'!C:C,B56,'Bill Wise'!H:H,"0-30 Days")</f>
        <v>33829</v>
      </c>
      <c r="I56" s="9">
        <f>SUMIFS('Bill Wise'!I:I,'Bill Wise'!C:C,B56,'Bill Wise'!H:H,"31-60 Days")</f>
        <v>0</v>
      </c>
      <c r="J56" s="9">
        <f>SUMIFS('Bill Wise'!I:I,'Bill Wise'!C:C,B56,'Bill Wise'!H:H,"61-90 Days")</f>
        <v>0</v>
      </c>
      <c r="K56" s="9">
        <f>SUMIFS('Bill Wise'!I:I,'Bill Wise'!C:C,B56,'Bill Wise'!H:H,"91-120 Days")</f>
        <v>0</v>
      </c>
      <c r="L56" s="9">
        <f>SUMIFS('Bill Wise'!I:I,'Bill Wise'!C:C,B56,'Bill Wise'!H:H,"121-150 Days")</f>
        <v>0</v>
      </c>
      <c r="M56" s="9">
        <f>SUMIFS('Bill Wise'!I:I,'Bill Wise'!C:C,B56,'Bill Wise'!H:H,"151-180 Days")</f>
        <v>0</v>
      </c>
      <c r="N56" s="9">
        <f>SUMIFS('Bill Wise'!I:I,'Bill Wise'!C:C,B56,'Bill Wise'!H:H,"181-365 Days")</f>
        <v>0</v>
      </c>
      <c r="O56" s="9">
        <f>SUMIFS('Bill Wise'!I:I,'Bill Wise'!C:C,B56,'Bill Wise'!H:H,"Above 365 Days")</f>
        <v>0</v>
      </c>
      <c r="P56" s="9">
        <f t="shared" si="2"/>
        <v>33829</v>
      </c>
      <c r="Q56" s="9">
        <f t="shared" si="3"/>
        <v>0</v>
      </c>
    </row>
    <row r="57" spans="1:17" s="17" customFormat="1" x14ac:dyDescent="0.25">
      <c r="A57" s="7">
        <v>52</v>
      </c>
      <c r="B57" s="8" t="s">
        <v>83</v>
      </c>
      <c r="C57" s="8" t="s">
        <v>347</v>
      </c>
      <c r="D57" s="8" t="s">
        <v>971</v>
      </c>
      <c r="E57" s="8" t="s">
        <v>982</v>
      </c>
      <c r="F57" s="8"/>
      <c r="G57" s="9">
        <f>IFERROR(SUMIFS(TB!C:C,TB!A:A,B57)-SUMIFS(TB!B:B,TB!A:A,B57),0)</f>
        <v>34630.199999999997</v>
      </c>
      <c r="H57" s="9">
        <f>SUMIFS('Bill Wise'!I:I,'Bill Wise'!C:C,B57,'Bill Wise'!H:H,"0-30 Days")</f>
        <v>34630.199999999997</v>
      </c>
      <c r="I57" s="9">
        <f>SUMIFS('Bill Wise'!I:I,'Bill Wise'!C:C,B57,'Bill Wise'!H:H,"31-60 Days")</f>
        <v>0</v>
      </c>
      <c r="J57" s="9">
        <f>SUMIFS('Bill Wise'!I:I,'Bill Wise'!C:C,B57,'Bill Wise'!H:H,"61-90 Days")</f>
        <v>0</v>
      </c>
      <c r="K57" s="9">
        <f>SUMIFS('Bill Wise'!I:I,'Bill Wise'!C:C,B57,'Bill Wise'!H:H,"91-120 Days")</f>
        <v>0</v>
      </c>
      <c r="L57" s="9">
        <f>SUMIFS('Bill Wise'!I:I,'Bill Wise'!C:C,B57,'Bill Wise'!H:H,"121-150 Days")</f>
        <v>0</v>
      </c>
      <c r="M57" s="9">
        <f>SUMIFS('Bill Wise'!I:I,'Bill Wise'!C:C,B57,'Bill Wise'!H:H,"151-180 Days")</f>
        <v>0</v>
      </c>
      <c r="N57" s="9">
        <f>SUMIFS('Bill Wise'!I:I,'Bill Wise'!C:C,B57,'Bill Wise'!H:H,"181-365 Days")</f>
        <v>0</v>
      </c>
      <c r="O57" s="9">
        <f>SUMIFS('Bill Wise'!I:I,'Bill Wise'!C:C,B57,'Bill Wise'!H:H,"Above 365 Days")</f>
        <v>0</v>
      </c>
      <c r="P57" s="9">
        <f t="shared" si="2"/>
        <v>34630.199999999997</v>
      </c>
      <c r="Q57" s="9">
        <f t="shared" si="3"/>
        <v>0</v>
      </c>
    </row>
    <row r="58" spans="1:17" s="17" customFormat="1" x14ac:dyDescent="0.25">
      <c r="A58" s="7">
        <v>53</v>
      </c>
      <c r="B58" s="8" t="s">
        <v>1053</v>
      </c>
      <c r="C58" s="8" t="s">
        <v>317</v>
      </c>
      <c r="D58" s="8" t="s">
        <v>971</v>
      </c>
      <c r="E58" s="8" t="s">
        <v>998</v>
      </c>
      <c r="F58" s="8"/>
      <c r="G58" s="9">
        <f>IFERROR(SUMIFS(TB!C:C,TB!A:A,B58)-SUMIFS(TB!B:B,TB!A:A,B58),0)</f>
        <v>35340.76</v>
      </c>
      <c r="H58" s="9">
        <f>SUMIFS('Bill Wise'!I:I,'Bill Wise'!C:C,B58,'Bill Wise'!H:H,"0-30 Days")</f>
        <v>35340.76</v>
      </c>
      <c r="I58" s="9">
        <f>SUMIFS('Bill Wise'!I:I,'Bill Wise'!C:C,B58,'Bill Wise'!H:H,"31-60 Days")</f>
        <v>0</v>
      </c>
      <c r="J58" s="9">
        <f>SUMIFS('Bill Wise'!I:I,'Bill Wise'!C:C,B58,'Bill Wise'!H:H,"61-90 Days")</f>
        <v>0</v>
      </c>
      <c r="K58" s="9">
        <f>SUMIFS('Bill Wise'!I:I,'Bill Wise'!C:C,B58,'Bill Wise'!H:H,"91-120 Days")</f>
        <v>0</v>
      </c>
      <c r="L58" s="9">
        <f>SUMIFS('Bill Wise'!I:I,'Bill Wise'!C:C,B58,'Bill Wise'!H:H,"121-150 Days")</f>
        <v>0</v>
      </c>
      <c r="M58" s="9">
        <f>SUMIFS('Bill Wise'!I:I,'Bill Wise'!C:C,B58,'Bill Wise'!H:H,"151-180 Days")</f>
        <v>0</v>
      </c>
      <c r="N58" s="9">
        <f>SUMIFS('Bill Wise'!I:I,'Bill Wise'!C:C,B58,'Bill Wise'!H:H,"181-365 Days")</f>
        <v>0</v>
      </c>
      <c r="O58" s="9">
        <f>SUMIFS('Bill Wise'!I:I,'Bill Wise'!C:C,B58,'Bill Wise'!H:H,"Above 365 Days")</f>
        <v>0</v>
      </c>
      <c r="P58" s="9">
        <f t="shared" si="2"/>
        <v>35340.76</v>
      </c>
      <c r="Q58" s="9">
        <f t="shared" si="3"/>
        <v>0</v>
      </c>
    </row>
    <row r="59" spans="1:17" s="17" customFormat="1" x14ac:dyDescent="0.25">
      <c r="A59" s="7">
        <v>54</v>
      </c>
      <c r="B59" s="8" t="s">
        <v>14</v>
      </c>
      <c r="C59" s="8" t="s">
        <v>970</v>
      </c>
      <c r="D59" s="8" t="s">
        <v>971</v>
      </c>
      <c r="E59" s="8" t="s">
        <v>976</v>
      </c>
      <c r="F59" s="8"/>
      <c r="G59" s="9">
        <f>IFERROR(SUMIFS(TB!C:C,TB!A:A,B59)-SUMIFS(TB!B:B,TB!A:A,B59),0)</f>
        <v>35913.4</v>
      </c>
      <c r="H59" s="9">
        <f>SUMIFS('Bill Wise'!I:I,'Bill Wise'!C:C,B59,'Bill Wise'!H:H,"0-30 Days")</f>
        <v>35913.4</v>
      </c>
      <c r="I59" s="9">
        <f>SUMIFS('Bill Wise'!I:I,'Bill Wise'!C:C,B59,'Bill Wise'!H:H,"31-60 Days")</f>
        <v>0</v>
      </c>
      <c r="J59" s="9">
        <f>SUMIFS('Bill Wise'!I:I,'Bill Wise'!C:C,B59,'Bill Wise'!H:H,"61-90 Days")</f>
        <v>0</v>
      </c>
      <c r="K59" s="9">
        <f>SUMIFS('Bill Wise'!I:I,'Bill Wise'!C:C,B59,'Bill Wise'!H:H,"91-120 Days")</f>
        <v>0</v>
      </c>
      <c r="L59" s="9">
        <f>SUMIFS('Bill Wise'!I:I,'Bill Wise'!C:C,B59,'Bill Wise'!H:H,"121-150 Days")</f>
        <v>0</v>
      </c>
      <c r="M59" s="9">
        <f>SUMIFS('Bill Wise'!I:I,'Bill Wise'!C:C,B59,'Bill Wise'!H:H,"151-180 Days")</f>
        <v>0</v>
      </c>
      <c r="N59" s="9">
        <f>SUMIFS('Bill Wise'!I:I,'Bill Wise'!C:C,B59,'Bill Wise'!H:H,"181-365 Days")</f>
        <v>0</v>
      </c>
      <c r="O59" s="9">
        <f>SUMIFS('Bill Wise'!I:I,'Bill Wise'!C:C,B59,'Bill Wise'!H:H,"Above 365 Days")</f>
        <v>0</v>
      </c>
      <c r="P59" s="9">
        <f t="shared" si="2"/>
        <v>35913.4</v>
      </c>
      <c r="Q59" s="9">
        <f t="shared" si="3"/>
        <v>0</v>
      </c>
    </row>
    <row r="60" spans="1:17" s="17" customFormat="1" x14ac:dyDescent="0.25">
      <c r="A60" s="7">
        <v>55</v>
      </c>
      <c r="B60" s="8" t="s">
        <v>39</v>
      </c>
      <c r="C60" s="8" t="s">
        <v>985</v>
      </c>
      <c r="D60" s="8" t="s">
        <v>971</v>
      </c>
      <c r="E60" s="8" t="s">
        <v>975</v>
      </c>
      <c r="F60" s="8"/>
      <c r="G60" s="9">
        <f>IFERROR(SUMIFS(TB!C:C,TB!A:A,B60)-SUMIFS(TB!B:B,TB!A:A,B60),0)</f>
        <v>36262.879999999997</v>
      </c>
      <c r="H60" s="9">
        <f>SUMIFS('Bill Wise'!I:I,'Bill Wise'!C:C,B60,'Bill Wise'!H:H,"0-30 Days")</f>
        <v>36262.879999999997</v>
      </c>
      <c r="I60" s="9">
        <f>SUMIFS('Bill Wise'!I:I,'Bill Wise'!C:C,B60,'Bill Wise'!H:H,"31-60 Days")</f>
        <v>0</v>
      </c>
      <c r="J60" s="9">
        <f>SUMIFS('Bill Wise'!I:I,'Bill Wise'!C:C,B60,'Bill Wise'!H:H,"61-90 Days")</f>
        <v>0</v>
      </c>
      <c r="K60" s="9">
        <f>SUMIFS('Bill Wise'!I:I,'Bill Wise'!C:C,B60,'Bill Wise'!H:H,"91-120 Days")</f>
        <v>0</v>
      </c>
      <c r="L60" s="9">
        <f>SUMIFS('Bill Wise'!I:I,'Bill Wise'!C:C,B60,'Bill Wise'!H:H,"121-150 Days")</f>
        <v>0</v>
      </c>
      <c r="M60" s="9">
        <f>SUMIFS('Bill Wise'!I:I,'Bill Wise'!C:C,B60,'Bill Wise'!H:H,"151-180 Days")</f>
        <v>0</v>
      </c>
      <c r="N60" s="9">
        <f>SUMIFS('Bill Wise'!I:I,'Bill Wise'!C:C,B60,'Bill Wise'!H:H,"181-365 Days")</f>
        <v>0</v>
      </c>
      <c r="O60" s="9">
        <f>SUMIFS('Bill Wise'!I:I,'Bill Wise'!C:C,B60,'Bill Wise'!H:H,"Above 365 Days")</f>
        <v>0</v>
      </c>
      <c r="P60" s="9">
        <f t="shared" si="2"/>
        <v>36262.879999999997</v>
      </c>
      <c r="Q60" s="9">
        <f t="shared" si="3"/>
        <v>0</v>
      </c>
    </row>
    <row r="61" spans="1:17" s="17" customFormat="1" x14ac:dyDescent="0.25">
      <c r="A61" s="7">
        <v>56</v>
      </c>
      <c r="B61" s="8" t="s">
        <v>93</v>
      </c>
      <c r="C61" s="8" t="s">
        <v>973</v>
      </c>
      <c r="D61" s="8" t="s">
        <v>995</v>
      </c>
      <c r="E61" s="8" t="s">
        <v>982</v>
      </c>
      <c r="F61" s="8"/>
      <c r="G61" s="9">
        <f>IFERROR(SUMIFS(TB!C:C,TB!A:A,B61)-SUMIFS(TB!B:B,TB!A:A,B61),0)</f>
        <v>37000</v>
      </c>
      <c r="H61" s="9">
        <f>SUMIFS('Bill Wise'!I:I,'Bill Wise'!C:C,B61,'Bill Wise'!H:H,"0-30 Days")</f>
        <v>37000</v>
      </c>
      <c r="I61" s="9">
        <f>SUMIFS('Bill Wise'!I:I,'Bill Wise'!C:C,B61,'Bill Wise'!H:H,"31-60 Days")</f>
        <v>0</v>
      </c>
      <c r="J61" s="9">
        <f>SUMIFS('Bill Wise'!I:I,'Bill Wise'!C:C,B61,'Bill Wise'!H:H,"61-90 Days")</f>
        <v>0</v>
      </c>
      <c r="K61" s="9">
        <f>SUMIFS('Bill Wise'!I:I,'Bill Wise'!C:C,B61,'Bill Wise'!H:H,"91-120 Days")</f>
        <v>0</v>
      </c>
      <c r="L61" s="9">
        <f>SUMIFS('Bill Wise'!I:I,'Bill Wise'!C:C,B61,'Bill Wise'!H:H,"121-150 Days")</f>
        <v>0</v>
      </c>
      <c r="M61" s="9">
        <f>SUMIFS('Bill Wise'!I:I,'Bill Wise'!C:C,B61,'Bill Wise'!H:H,"151-180 Days")</f>
        <v>0</v>
      </c>
      <c r="N61" s="9">
        <f>SUMIFS('Bill Wise'!I:I,'Bill Wise'!C:C,B61,'Bill Wise'!H:H,"181-365 Days")</f>
        <v>0</v>
      </c>
      <c r="O61" s="9">
        <f>SUMIFS('Bill Wise'!I:I,'Bill Wise'!C:C,B61,'Bill Wise'!H:H,"Above 365 Days")</f>
        <v>0</v>
      </c>
      <c r="P61" s="9">
        <f t="shared" si="2"/>
        <v>37000</v>
      </c>
      <c r="Q61" s="9">
        <f t="shared" si="3"/>
        <v>0</v>
      </c>
    </row>
    <row r="62" spans="1:17" s="17" customFormat="1" x14ac:dyDescent="0.25">
      <c r="A62" s="7">
        <v>57</v>
      </c>
      <c r="B62" s="8" t="s">
        <v>192</v>
      </c>
      <c r="C62" s="8" t="s">
        <v>973</v>
      </c>
      <c r="D62" s="8" t="s">
        <v>995</v>
      </c>
      <c r="E62" s="8" t="s">
        <v>982</v>
      </c>
      <c r="F62" s="8"/>
      <c r="G62" s="9">
        <f>IFERROR(SUMIFS(TB!C:C,TB!A:A,B62)-SUMIFS(TB!B:B,TB!A:A,B62),0)</f>
        <v>37000</v>
      </c>
      <c r="H62" s="9">
        <f>SUMIFS('Bill Wise'!I:I,'Bill Wise'!C:C,B62,'Bill Wise'!H:H,"0-30 Days")</f>
        <v>37000</v>
      </c>
      <c r="I62" s="9">
        <f>SUMIFS('Bill Wise'!I:I,'Bill Wise'!C:C,B62,'Bill Wise'!H:H,"31-60 Days")</f>
        <v>0</v>
      </c>
      <c r="J62" s="9">
        <f>SUMIFS('Bill Wise'!I:I,'Bill Wise'!C:C,B62,'Bill Wise'!H:H,"61-90 Days")</f>
        <v>0</v>
      </c>
      <c r="K62" s="9">
        <f>SUMIFS('Bill Wise'!I:I,'Bill Wise'!C:C,B62,'Bill Wise'!H:H,"91-120 Days")</f>
        <v>0</v>
      </c>
      <c r="L62" s="9">
        <f>SUMIFS('Bill Wise'!I:I,'Bill Wise'!C:C,B62,'Bill Wise'!H:H,"121-150 Days")</f>
        <v>0</v>
      </c>
      <c r="M62" s="9">
        <f>SUMIFS('Bill Wise'!I:I,'Bill Wise'!C:C,B62,'Bill Wise'!H:H,"151-180 Days")</f>
        <v>0</v>
      </c>
      <c r="N62" s="9">
        <f>SUMIFS('Bill Wise'!I:I,'Bill Wise'!C:C,B62,'Bill Wise'!H:H,"181-365 Days")</f>
        <v>0</v>
      </c>
      <c r="O62" s="9">
        <f>SUMIFS('Bill Wise'!I:I,'Bill Wise'!C:C,B62,'Bill Wise'!H:H,"Above 365 Days")</f>
        <v>0</v>
      </c>
      <c r="P62" s="9">
        <f t="shared" si="2"/>
        <v>37000</v>
      </c>
      <c r="Q62" s="9">
        <f t="shared" si="3"/>
        <v>0</v>
      </c>
    </row>
    <row r="63" spans="1:17" s="17" customFormat="1" x14ac:dyDescent="0.25">
      <c r="A63" s="7">
        <v>58</v>
      </c>
      <c r="B63" s="8" t="s">
        <v>28</v>
      </c>
      <c r="C63" s="8" t="s">
        <v>319</v>
      </c>
      <c r="D63" s="8" t="s">
        <v>971</v>
      </c>
      <c r="E63" s="8" t="s">
        <v>984</v>
      </c>
      <c r="F63" s="8"/>
      <c r="G63" s="9">
        <f>IFERROR(SUMIFS(TB!C:C,TB!A:A,B63)-SUMIFS(TB!B:B,TB!A:A,B63),0)</f>
        <v>42305.599999999999</v>
      </c>
      <c r="H63" s="9">
        <f>SUMIFS('Bill Wise'!I:I,'Bill Wise'!C:C,B63,'Bill Wise'!H:H,"0-30 Days")</f>
        <v>42305.599999999999</v>
      </c>
      <c r="I63" s="9">
        <f>SUMIFS('Bill Wise'!I:I,'Bill Wise'!C:C,B63,'Bill Wise'!H:H,"31-60 Days")</f>
        <v>0</v>
      </c>
      <c r="J63" s="9">
        <f>SUMIFS('Bill Wise'!I:I,'Bill Wise'!C:C,B63,'Bill Wise'!H:H,"61-90 Days")</f>
        <v>0</v>
      </c>
      <c r="K63" s="9">
        <f>SUMIFS('Bill Wise'!I:I,'Bill Wise'!C:C,B63,'Bill Wise'!H:H,"91-120 Days")</f>
        <v>0</v>
      </c>
      <c r="L63" s="9">
        <f>SUMIFS('Bill Wise'!I:I,'Bill Wise'!C:C,B63,'Bill Wise'!H:H,"121-150 Days")</f>
        <v>0</v>
      </c>
      <c r="M63" s="9">
        <f>SUMIFS('Bill Wise'!I:I,'Bill Wise'!C:C,B63,'Bill Wise'!H:H,"151-180 Days")</f>
        <v>0</v>
      </c>
      <c r="N63" s="9">
        <f>SUMIFS('Bill Wise'!I:I,'Bill Wise'!C:C,B63,'Bill Wise'!H:H,"181-365 Days")</f>
        <v>0</v>
      </c>
      <c r="O63" s="9">
        <f>SUMIFS('Bill Wise'!I:I,'Bill Wise'!C:C,B63,'Bill Wise'!H:H,"Above 365 Days")</f>
        <v>0</v>
      </c>
      <c r="P63" s="9">
        <f t="shared" si="2"/>
        <v>42305.599999999999</v>
      </c>
      <c r="Q63" s="9">
        <f t="shared" si="3"/>
        <v>0</v>
      </c>
    </row>
    <row r="64" spans="1:17" s="17" customFormat="1" x14ac:dyDescent="0.25">
      <c r="A64" s="7">
        <v>59</v>
      </c>
      <c r="B64" s="8" t="s">
        <v>54</v>
      </c>
      <c r="C64" s="8" t="s">
        <v>306</v>
      </c>
      <c r="D64" s="8" t="s">
        <v>995</v>
      </c>
      <c r="E64" s="8" t="s">
        <v>995</v>
      </c>
      <c r="F64" s="8"/>
      <c r="G64" s="9">
        <f>IFERROR(SUMIFS(TB!C:C,TB!A:A,B64)-SUMIFS(TB!B:B,TB!A:A,B64),0)</f>
        <v>43200</v>
      </c>
      <c r="H64" s="9">
        <f>SUMIFS('Bill Wise'!I:I,'Bill Wise'!C:C,B64,'Bill Wise'!H:H,"0-30 Days")</f>
        <v>0</v>
      </c>
      <c r="I64" s="9">
        <f>SUMIFS('Bill Wise'!I:I,'Bill Wise'!C:C,B64,'Bill Wise'!H:H,"31-60 Days")</f>
        <v>43200</v>
      </c>
      <c r="J64" s="9">
        <f>SUMIFS('Bill Wise'!I:I,'Bill Wise'!C:C,B64,'Bill Wise'!H:H,"61-90 Days")</f>
        <v>0</v>
      </c>
      <c r="K64" s="9">
        <f>SUMIFS('Bill Wise'!I:I,'Bill Wise'!C:C,B64,'Bill Wise'!H:H,"91-120 Days")</f>
        <v>0</v>
      </c>
      <c r="L64" s="9">
        <f>SUMIFS('Bill Wise'!I:I,'Bill Wise'!C:C,B64,'Bill Wise'!H:H,"121-150 Days")</f>
        <v>0</v>
      </c>
      <c r="M64" s="9">
        <f>SUMIFS('Bill Wise'!I:I,'Bill Wise'!C:C,B64,'Bill Wise'!H:H,"151-180 Days")</f>
        <v>0</v>
      </c>
      <c r="N64" s="9">
        <f>SUMIFS('Bill Wise'!I:I,'Bill Wise'!C:C,B64,'Bill Wise'!H:H,"181-365 Days")</f>
        <v>0</v>
      </c>
      <c r="O64" s="9">
        <f>SUMIFS('Bill Wise'!I:I,'Bill Wise'!C:C,B64,'Bill Wise'!H:H,"Above 365 Days")</f>
        <v>0</v>
      </c>
      <c r="P64" s="9">
        <f t="shared" si="2"/>
        <v>43200</v>
      </c>
      <c r="Q64" s="9">
        <f t="shared" si="3"/>
        <v>0</v>
      </c>
    </row>
    <row r="65" spans="1:17" s="17" customFormat="1" x14ac:dyDescent="0.25">
      <c r="A65" s="7">
        <v>60</v>
      </c>
      <c r="B65" s="8" t="s">
        <v>100</v>
      </c>
      <c r="C65" s="8" t="s">
        <v>347</v>
      </c>
      <c r="D65" s="8" t="s">
        <v>971</v>
      </c>
      <c r="E65" s="8" t="s">
        <v>999</v>
      </c>
      <c r="F65" s="8"/>
      <c r="G65" s="9">
        <f>IFERROR(SUMIFS(TB!C:C,TB!A:A,B65)-SUMIFS(TB!B:B,TB!A:A,B65),0)</f>
        <v>48599.4</v>
      </c>
      <c r="H65" s="9">
        <f>SUMIFS('Bill Wise'!I:I,'Bill Wise'!C:C,B65,'Bill Wise'!H:H,"0-30 Days")</f>
        <v>48599.4</v>
      </c>
      <c r="I65" s="9">
        <f>SUMIFS('Bill Wise'!I:I,'Bill Wise'!C:C,B65,'Bill Wise'!H:H,"31-60 Days")</f>
        <v>0</v>
      </c>
      <c r="J65" s="9">
        <f>SUMIFS('Bill Wise'!I:I,'Bill Wise'!C:C,B65,'Bill Wise'!H:H,"61-90 Days")</f>
        <v>0</v>
      </c>
      <c r="K65" s="9">
        <f>SUMIFS('Bill Wise'!I:I,'Bill Wise'!C:C,B65,'Bill Wise'!H:H,"91-120 Days")</f>
        <v>0</v>
      </c>
      <c r="L65" s="9">
        <f>SUMIFS('Bill Wise'!I:I,'Bill Wise'!C:C,B65,'Bill Wise'!H:H,"121-150 Days")</f>
        <v>0</v>
      </c>
      <c r="M65" s="9">
        <f>SUMIFS('Bill Wise'!I:I,'Bill Wise'!C:C,B65,'Bill Wise'!H:H,"151-180 Days")</f>
        <v>0</v>
      </c>
      <c r="N65" s="9">
        <f>SUMIFS('Bill Wise'!I:I,'Bill Wise'!C:C,B65,'Bill Wise'!H:H,"181-365 Days")</f>
        <v>0</v>
      </c>
      <c r="O65" s="9">
        <f>SUMIFS('Bill Wise'!I:I,'Bill Wise'!C:C,B65,'Bill Wise'!H:H,"Above 365 Days")</f>
        <v>0</v>
      </c>
      <c r="P65" s="9">
        <f t="shared" si="2"/>
        <v>48599.4</v>
      </c>
      <c r="Q65" s="9">
        <f t="shared" si="3"/>
        <v>0</v>
      </c>
    </row>
    <row r="66" spans="1:17" s="17" customFormat="1" x14ac:dyDescent="0.25">
      <c r="A66" s="7">
        <v>61</v>
      </c>
      <c r="B66" s="8" t="s">
        <v>60</v>
      </c>
      <c r="C66" s="8" t="s">
        <v>970</v>
      </c>
      <c r="D66" s="8" t="s">
        <v>971</v>
      </c>
      <c r="E66" s="8" t="s">
        <v>972</v>
      </c>
      <c r="F66" s="8"/>
      <c r="G66" s="9">
        <f>IFERROR(SUMIFS(TB!C:C,TB!A:A,B66)-SUMIFS(TB!B:B,TB!A:A,B66),0)</f>
        <v>61970.68</v>
      </c>
      <c r="H66" s="9">
        <f>SUMIFS('Bill Wise'!I:I,'Bill Wise'!C:C,B66,'Bill Wise'!H:H,"0-30 Days")</f>
        <v>61970.68</v>
      </c>
      <c r="I66" s="9">
        <f>SUMIFS('Bill Wise'!I:I,'Bill Wise'!C:C,B66,'Bill Wise'!H:H,"31-60 Days")</f>
        <v>0</v>
      </c>
      <c r="J66" s="9">
        <f>SUMIFS('Bill Wise'!I:I,'Bill Wise'!C:C,B66,'Bill Wise'!H:H,"61-90 Days")</f>
        <v>0</v>
      </c>
      <c r="K66" s="9">
        <f>SUMIFS('Bill Wise'!I:I,'Bill Wise'!C:C,B66,'Bill Wise'!H:H,"91-120 Days")</f>
        <v>0</v>
      </c>
      <c r="L66" s="9">
        <f>SUMIFS('Bill Wise'!I:I,'Bill Wise'!C:C,B66,'Bill Wise'!H:H,"121-150 Days")</f>
        <v>0</v>
      </c>
      <c r="M66" s="9">
        <f>SUMIFS('Bill Wise'!I:I,'Bill Wise'!C:C,B66,'Bill Wise'!H:H,"151-180 Days")</f>
        <v>0</v>
      </c>
      <c r="N66" s="9">
        <f>SUMIFS('Bill Wise'!I:I,'Bill Wise'!C:C,B66,'Bill Wise'!H:H,"181-365 Days")</f>
        <v>0</v>
      </c>
      <c r="O66" s="9">
        <f>SUMIFS('Bill Wise'!I:I,'Bill Wise'!C:C,B66,'Bill Wise'!H:H,"Above 365 Days")</f>
        <v>0</v>
      </c>
      <c r="P66" s="9">
        <f t="shared" si="2"/>
        <v>61970.68</v>
      </c>
      <c r="Q66" s="9">
        <f t="shared" si="3"/>
        <v>0</v>
      </c>
    </row>
    <row r="67" spans="1:17" s="17" customFormat="1" x14ac:dyDescent="0.25">
      <c r="A67" s="7">
        <v>62</v>
      </c>
      <c r="B67" s="8" t="s">
        <v>1054</v>
      </c>
      <c r="C67" s="8" t="s">
        <v>306</v>
      </c>
      <c r="D67" s="8" t="s">
        <v>971</v>
      </c>
      <c r="E67" s="8" t="s">
        <v>976</v>
      </c>
      <c r="F67" s="8"/>
      <c r="G67" s="9">
        <f>IFERROR(SUMIFS(TB!C:C,TB!A:A,B67)-SUMIFS(TB!B:B,TB!A:A,B67),0)</f>
        <v>68942</v>
      </c>
      <c r="H67" s="9">
        <f>SUMIFS('Bill Wise'!I:I,'Bill Wise'!C:C,B67,'Bill Wise'!H:H,"0-30 Days")</f>
        <v>68942</v>
      </c>
      <c r="I67" s="9">
        <f>SUMIFS('Bill Wise'!I:I,'Bill Wise'!C:C,B67,'Bill Wise'!H:H,"31-60 Days")</f>
        <v>0</v>
      </c>
      <c r="J67" s="9">
        <f>SUMIFS('Bill Wise'!I:I,'Bill Wise'!C:C,B67,'Bill Wise'!H:H,"61-90 Days")</f>
        <v>0</v>
      </c>
      <c r="K67" s="9">
        <f>SUMIFS('Bill Wise'!I:I,'Bill Wise'!C:C,B67,'Bill Wise'!H:H,"91-120 Days")</f>
        <v>0</v>
      </c>
      <c r="L67" s="9">
        <f>SUMIFS('Bill Wise'!I:I,'Bill Wise'!C:C,B67,'Bill Wise'!H:H,"121-150 Days")</f>
        <v>0</v>
      </c>
      <c r="M67" s="9">
        <f>SUMIFS('Bill Wise'!I:I,'Bill Wise'!C:C,B67,'Bill Wise'!H:H,"151-180 Days")</f>
        <v>0</v>
      </c>
      <c r="N67" s="9">
        <f>SUMIFS('Bill Wise'!I:I,'Bill Wise'!C:C,B67,'Bill Wise'!H:H,"181-365 Days")</f>
        <v>0</v>
      </c>
      <c r="O67" s="9">
        <f>SUMIFS('Bill Wise'!I:I,'Bill Wise'!C:C,B67,'Bill Wise'!H:H,"Above 365 Days")</f>
        <v>0</v>
      </c>
      <c r="P67" s="9">
        <f t="shared" ref="P67:P98" si="4">SUM(H67:O67)</f>
        <v>68942</v>
      </c>
      <c r="Q67" s="9">
        <f t="shared" ref="Q67:Q98" si="5">G67-P67</f>
        <v>0</v>
      </c>
    </row>
    <row r="68" spans="1:17" s="17" customFormat="1" x14ac:dyDescent="0.25">
      <c r="A68" s="7">
        <v>63</v>
      </c>
      <c r="B68" s="8" t="s">
        <v>1055</v>
      </c>
      <c r="C68" s="8" t="s">
        <v>347</v>
      </c>
      <c r="D68" s="8" t="s">
        <v>981</v>
      </c>
      <c r="E68" s="8" t="s">
        <v>1676</v>
      </c>
      <c r="F68" s="8"/>
      <c r="G68" s="9">
        <f>IFERROR(SUMIFS(TB!C:C,TB!A:A,B68)-SUMIFS(TB!B:B,TB!A:A,B68),0)</f>
        <v>78300</v>
      </c>
      <c r="H68" s="9">
        <f>SUMIFS('Bill Wise'!I:I,'Bill Wise'!C:C,B68,'Bill Wise'!H:H,"0-30 Days")</f>
        <v>78300</v>
      </c>
      <c r="I68" s="9">
        <f>SUMIFS('Bill Wise'!I:I,'Bill Wise'!C:C,B68,'Bill Wise'!H:H,"31-60 Days")</f>
        <v>0</v>
      </c>
      <c r="J68" s="9">
        <f>SUMIFS('Bill Wise'!I:I,'Bill Wise'!C:C,B68,'Bill Wise'!H:H,"61-90 Days")</f>
        <v>0</v>
      </c>
      <c r="K68" s="9">
        <f>SUMIFS('Bill Wise'!I:I,'Bill Wise'!C:C,B68,'Bill Wise'!H:H,"91-120 Days")</f>
        <v>0</v>
      </c>
      <c r="L68" s="9">
        <f>SUMIFS('Bill Wise'!I:I,'Bill Wise'!C:C,B68,'Bill Wise'!H:H,"121-150 Days")</f>
        <v>0</v>
      </c>
      <c r="M68" s="9">
        <f>SUMIFS('Bill Wise'!I:I,'Bill Wise'!C:C,B68,'Bill Wise'!H:H,"151-180 Days")</f>
        <v>0</v>
      </c>
      <c r="N68" s="9">
        <f>SUMIFS('Bill Wise'!I:I,'Bill Wise'!C:C,B68,'Bill Wise'!H:H,"181-365 Days")</f>
        <v>0</v>
      </c>
      <c r="O68" s="9">
        <f>SUMIFS('Bill Wise'!I:I,'Bill Wise'!C:C,B68,'Bill Wise'!H:H,"Above 365 Days")</f>
        <v>0</v>
      </c>
      <c r="P68" s="9">
        <f t="shared" si="4"/>
        <v>78300</v>
      </c>
      <c r="Q68" s="9">
        <f t="shared" si="5"/>
        <v>0</v>
      </c>
    </row>
    <row r="69" spans="1:17" s="17" customFormat="1" x14ac:dyDescent="0.25">
      <c r="A69" s="7">
        <v>64</v>
      </c>
      <c r="B69" s="8" t="s">
        <v>12</v>
      </c>
      <c r="C69" s="8" t="s">
        <v>973</v>
      </c>
      <c r="D69" s="8" t="s">
        <v>974</v>
      </c>
      <c r="E69" s="8" t="s">
        <v>975</v>
      </c>
      <c r="F69" s="8"/>
      <c r="G69" s="9">
        <f>IFERROR(SUMIFS(TB!C:C,TB!A:A,B69)-SUMIFS(TB!B:B,TB!A:A,B69),0)</f>
        <v>80439.38</v>
      </c>
      <c r="H69" s="9">
        <f>SUMIFS('Bill Wise'!I:I,'Bill Wise'!C:C,B69,'Bill Wise'!H:H,"0-30 Days")</f>
        <v>80439.38</v>
      </c>
      <c r="I69" s="9">
        <f>SUMIFS('Bill Wise'!I:I,'Bill Wise'!C:C,B69,'Bill Wise'!H:H,"31-60 Days")</f>
        <v>0</v>
      </c>
      <c r="J69" s="9">
        <f>SUMIFS('Bill Wise'!I:I,'Bill Wise'!C:C,B69,'Bill Wise'!H:H,"61-90 Days")</f>
        <v>0</v>
      </c>
      <c r="K69" s="9">
        <f>SUMIFS('Bill Wise'!I:I,'Bill Wise'!C:C,B69,'Bill Wise'!H:H,"91-120 Days")</f>
        <v>0</v>
      </c>
      <c r="L69" s="9">
        <f>SUMIFS('Bill Wise'!I:I,'Bill Wise'!C:C,B69,'Bill Wise'!H:H,"121-150 Days")</f>
        <v>0</v>
      </c>
      <c r="M69" s="9">
        <f>SUMIFS('Bill Wise'!I:I,'Bill Wise'!C:C,B69,'Bill Wise'!H:H,"151-180 Days")</f>
        <v>0</v>
      </c>
      <c r="N69" s="9">
        <f>SUMIFS('Bill Wise'!I:I,'Bill Wise'!C:C,B69,'Bill Wise'!H:H,"181-365 Days")</f>
        <v>0</v>
      </c>
      <c r="O69" s="9">
        <f>SUMIFS('Bill Wise'!I:I,'Bill Wise'!C:C,B69,'Bill Wise'!H:H,"Above 365 Days")</f>
        <v>0</v>
      </c>
      <c r="P69" s="9">
        <f t="shared" si="4"/>
        <v>80439.38</v>
      </c>
      <c r="Q69" s="9">
        <f t="shared" si="5"/>
        <v>0</v>
      </c>
    </row>
    <row r="70" spans="1:17" s="17" customFormat="1" x14ac:dyDescent="0.25">
      <c r="A70" s="7">
        <v>65</v>
      </c>
      <c r="B70" s="8" t="s">
        <v>135</v>
      </c>
      <c r="C70" s="8" t="s">
        <v>973</v>
      </c>
      <c r="D70" s="8" t="s">
        <v>971</v>
      </c>
      <c r="E70" s="8" t="s">
        <v>990</v>
      </c>
      <c r="F70" s="8"/>
      <c r="G70" s="9">
        <f>IFERROR(SUMIFS(TB!C:C,TB!A:A,B70)-SUMIFS(TB!B:B,TB!A:A,B70),0)</f>
        <v>81053.84</v>
      </c>
      <c r="H70" s="9">
        <f>SUMIFS('Bill Wise'!I:I,'Bill Wise'!C:C,B70,'Bill Wise'!H:H,"0-30 Days")</f>
        <v>81053.84</v>
      </c>
      <c r="I70" s="9">
        <f>SUMIFS('Bill Wise'!I:I,'Bill Wise'!C:C,B70,'Bill Wise'!H:H,"31-60 Days")</f>
        <v>0</v>
      </c>
      <c r="J70" s="9">
        <f>SUMIFS('Bill Wise'!I:I,'Bill Wise'!C:C,B70,'Bill Wise'!H:H,"61-90 Days")</f>
        <v>0</v>
      </c>
      <c r="K70" s="9">
        <f>SUMIFS('Bill Wise'!I:I,'Bill Wise'!C:C,B70,'Bill Wise'!H:H,"91-120 Days")</f>
        <v>0</v>
      </c>
      <c r="L70" s="9">
        <f>SUMIFS('Bill Wise'!I:I,'Bill Wise'!C:C,B70,'Bill Wise'!H:H,"121-150 Days")</f>
        <v>0</v>
      </c>
      <c r="M70" s="9">
        <f>SUMIFS('Bill Wise'!I:I,'Bill Wise'!C:C,B70,'Bill Wise'!H:H,"151-180 Days")</f>
        <v>0</v>
      </c>
      <c r="N70" s="9">
        <f>SUMIFS('Bill Wise'!I:I,'Bill Wise'!C:C,B70,'Bill Wise'!H:H,"181-365 Days")</f>
        <v>0</v>
      </c>
      <c r="O70" s="9">
        <f>SUMIFS('Bill Wise'!I:I,'Bill Wise'!C:C,B70,'Bill Wise'!H:H,"Above 365 Days")</f>
        <v>0</v>
      </c>
      <c r="P70" s="9">
        <f t="shared" si="4"/>
        <v>81053.84</v>
      </c>
      <c r="Q70" s="9">
        <f t="shared" si="5"/>
        <v>0</v>
      </c>
    </row>
    <row r="71" spans="1:17" s="17" customFormat="1" x14ac:dyDescent="0.25">
      <c r="A71" s="7">
        <v>66</v>
      </c>
      <c r="B71" s="8" t="s">
        <v>1056</v>
      </c>
      <c r="C71" s="8" t="s">
        <v>306</v>
      </c>
      <c r="D71" s="8" t="s">
        <v>971</v>
      </c>
      <c r="E71" s="8" t="s">
        <v>1000</v>
      </c>
      <c r="F71" s="8"/>
      <c r="G71" s="9">
        <f>IFERROR(SUMIFS(TB!C:C,TB!A:A,B71)-SUMIFS(TB!B:B,TB!A:A,B71),0)</f>
        <v>84591.33</v>
      </c>
      <c r="H71" s="9">
        <f>SUMIFS('Bill Wise'!I:I,'Bill Wise'!C:C,B71,'Bill Wise'!H:H,"0-30 Days")</f>
        <v>84591.33</v>
      </c>
      <c r="I71" s="9">
        <f>SUMIFS('Bill Wise'!I:I,'Bill Wise'!C:C,B71,'Bill Wise'!H:H,"31-60 Days")</f>
        <v>0</v>
      </c>
      <c r="J71" s="9">
        <f>SUMIFS('Bill Wise'!I:I,'Bill Wise'!C:C,B71,'Bill Wise'!H:H,"61-90 Days")</f>
        <v>0</v>
      </c>
      <c r="K71" s="9">
        <f>SUMIFS('Bill Wise'!I:I,'Bill Wise'!C:C,B71,'Bill Wise'!H:H,"91-120 Days")</f>
        <v>0</v>
      </c>
      <c r="L71" s="9">
        <f>SUMIFS('Bill Wise'!I:I,'Bill Wise'!C:C,B71,'Bill Wise'!H:H,"121-150 Days")</f>
        <v>0</v>
      </c>
      <c r="M71" s="9">
        <f>SUMIFS('Bill Wise'!I:I,'Bill Wise'!C:C,B71,'Bill Wise'!H:H,"151-180 Days")</f>
        <v>0</v>
      </c>
      <c r="N71" s="9">
        <f>SUMIFS('Bill Wise'!I:I,'Bill Wise'!C:C,B71,'Bill Wise'!H:H,"181-365 Days")</f>
        <v>0</v>
      </c>
      <c r="O71" s="9">
        <f>SUMIFS('Bill Wise'!I:I,'Bill Wise'!C:C,B71,'Bill Wise'!H:H,"Above 365 Days")</f>
        <v>0</v>
      </c>
      <c r="P71" s="9">
        <f t="shared" si="4"/>
        <v>84591.33</v>
      </c>
      <c r="Q71" s="9">
        <f t="shared" si="5"/>
        <v>0</v>
      </c>
    </row>
    <row r="72" spans="1:17" s="17" customFormat="1" x14ac:dyDescent="0.25">
      <c r="A72" s="7">
        <v>67</v>
      </c>
      <c r="B72" s="8" t="s">
        <v>1057</v>
      </c>
      <c r="C72" s="8" t="s">
        <v>306</v>
      </c>
      <c r="D72" s="8" t="s">
        <v>971</v>
      </c>
      <c r="E72" s="8" t="s">
        <v>976</v>
      </c>
      <c r="F72" s="8"/>
      <c r="G72" s="9">
        <f>IFERROR(SUMIFS(TB!C:C,TB!A:A,B72)-SUMIFS(TB!B:B,TB!A:A,B72),0)</f>
        <v>88777</v>
      </c>
      <c r="H72" s="9">
        <f>SUMIFS('Bill Wise'!I:I,'Bill Wise'!C:C,B72,'Bill Wise'!H:H,"0-30 Days")</f>
        <v>88777</v>
      </c>
      <c r="I72" s="9">
        <f>SUMIFS('Bill Wise'!I:I,'Bill Wise'!C:C,B72,'Bill Wise'!H:H,"31-60 Days")</f>
        <v>0</v>
      </c>
      <c r="J72" s="9">
        <f>SUMIFS('Bill Wise'!I:I,'Bill Wise'!C:C,B72,'Bill Wise'!H:H,"61-90 Days")</f>
        <v>0</v>
      </c>
      <c r="K72" s="9">
        <f>SUMIFS('Bill Wise'!I:I,'Bill Wise'!C:C,B72,'Bill Wise'!H:H,"91-120 Days")</f>
        <v>0</v>
      </c>
      <c r="L72" s="9">
        <f>SUMIFS('Bill Wise'!I:I,'Bill Wise'!C:C,B72,'Bill Wise'!H:H,"121-150 Days")</f>
        <v>0</v>
      </c>
      <c r="M72" s="9">
        <f>SUMIFS('Bill Wise'!I:I,'Bill Wise'!C:C,B72,'Bill Wise'!H:H,"151-180 Days")</f>
        <v>0</v>
      </c>
      <c r="N72" s="9">
        <f>SUMIFS('Bill Wise'!I:I,'Bill Wise'!C:C,B72,'Bill Wise'!H:H,"181-365 Days")</f>
        <v>0</v>
      </c>
      <c r="O72" s="9">
        <f>SUMIFS('Bill Wise'!I:I,'Bill Wise'!C:C,B72,'Bill Wise'!H:H,"Above 365 Days")</f>
        <v>0</v>
      </c>
      <c r="P72" s="9">
        <f t="shared" si="4"/>
        <v>88777</v>
      </c>
      <c r="Q72" s="9">
        <f t="shared" si="5"/>
        <v>0</v>
      </c>
    </row>
    <row r="73" spans="1:17" s="17" customFormat="1" x14ac:dyDescent="0.25">
      <c r="A73" s="7">
        <v>68</v>
      </c>
      <c r="B73" s="8" t="s">
        <v>59</v>
      </c>
      <c r="C73" s="8" t="s">
        <v>985</v>
      </c>
      <c r="D73" s="8" t="s">
        <v>971</v>
      </c>
      <c r="E73" s="8" t="s">
        <v>972</v>
      </c>
      <c r="F73" s="8"/>
      <c r="G73" s="9">
        <f>IFERROR(SUMIFS(TB!C:C,TB!A:A,B73)-SUMIFS(TB!B:B,TB!A:A,B73),0)</f>
        <v>89869.4</v>
      </c>
      <c r="H73" s="9">
        <f>SUMIFS('Bill Wise'!I:I,'Bill Wise'!C:C,B73,'Bill Wise'!H:H,"0-30 Days")</f>
        <v>89869.4</v>
      </c>
      <c r="I73" s="9">
        <f>SUMIFS('Bill Wise'!I:I,'Bill Wise'!C:C,B73,'Bill Wise'!H:H,"31-60 Days")</f>
        <v>0</v>
      </c>
      <c r="J73" s="9">
        <f>SUMIFS('Bill Wise'!I:I,'Bill Wise'!C:C,B73,'Bill Wise'!H:H,"61-90 Days")</f>
        <v>0</v>
      </c>
      <c r="K73" s="9">
        <f>SUMIFS('Bill Wise'!I:I,'Bill Wise'!C:C,B73,'Bill Wise'!H:H,"91-120 Days")</f>
        <v>0</v>
      </c>
      <c r="L73" s="9">
        <f>SUMIFS('Bill Wise'!I:I,'Bill Wise'!C:C,B73,'Bill Wise'!H:H,"121-150 Days")</f>
        <v>0</v>
      </c>
      <c r="M73" s="9">
        <f>SUMIFS('Bill Wise'!I:I,'Bill Wise'!C:C,B73,'Bill Wise'!H:H,"151-180 Days")</f>
        <v>0</v>
      </c>
      <c r="N73" s="9">
        <f>SUMIFS('Bill Wise'!I:I,'Bill Wise'!C:C,B73,'Bill Wise'!H:H,"181-365 Days")</f>
        <v>0</v>
      </c>
      <c r="O73" s="9">
        <f>SUMIFS('Bill Wise'!I:I,'Bill Wise'!C:C,B73,'Bill Wise'!H:H,"Above 365 Days")</f>
        <v>0</v>
      </c>
      <c r="P73" s="9">
        <f t="shared" si="4"/>
        <v>89869.4</v>
      </c>
      <c r="Q73" s="9">
        <f t="shared" si="5"/>
        <v>0</v>
      </c>
    </row>
    <row r="74" spans="1:17" s="17" customFormat="1" x14ac:dyDescent="0.25">
      <c r="A74" s="7">
        <v>69</v>
      </c>
      <c r="B74" s="8" t="s">
        <v>1058</v>
      </c>
      <c r="C74" s="8" t="s">
        <v>306</v>
      </c>
      <c r="D74" s="8" t="s">
        <v>971</v>
      </c>
      <c r="E74" s="8" t="s">
        <v>980</v>
      </c>
      <c r="F74" s="8"/>
      <c r="G74" s="9">
        <f>IFERROR(SUMIFS(TB!C:C,TB!A:A,B74)-SUMIFS(TB!B:B,TB!A:A,B74),0)</f>
        <v>90038</v>
      </c>
      <c r="H74" s="9">
        <f>SUMIFS('Bill Wise'!I:I,'Bill Wise'!C:C,B74,'Bill Wise'!H:H,"0-30 Days")</f>
        <v>90038</v>
      </c>
      <c r="I74" s="9">
        <f>SUMIFS('Bill Wise'!I:I,'Bill Wise'!C:C,B74,'Bill Wise'!H:H,"31-60 Days")</f>
        <v>0</v>
      </c>
      <c r="J74" s="9">
        <f>SUMIFS('Bill Wise'!I:I,'Bill Wise'!C:C,B74,'Bill Wise'!H:H,"61-90 Days")</f>
        <v>0</v>
      </c>
      <c r="K74" s="9">
        <f>SUMIFS('Bill Wise'!I:I,'Bill Wise'!C:C,B74,'Bill Wise'!H:H,"91-120 Days")</f>
        <v>0</v>
      </c>
      <c r="L74" s="9">
        <f>SUMIFS('Bill Wise'!I:I,'Bill Wise'!C:C,B74,'Bill Wise'!H:H,"121-150 Days")</f>
        <v>0</v>
      </c>
      <c r="M74" s="9">
        <f>SUMIFS('Bill Wise'!I:I,'Bill Wise'!C:C,B74,'Bill Wise'!H:H,"151-180 Days")</f>
        <v>0</v>
      </c>
      <c r="N74" s="9">
        <f>SUMIFS('Bill Wise'!I:I,'Bill Wise'!C:C,B74,'Bill Wise'!H:H,"181-365 Days")</f>
        <v>0</v>
      </c>
      <c r="O74" s="9">
        <f>SUMIFS('Bill Wise'!I:I,'Bill Wise'!C:C,B74,'Bill Wise'!H:H,"Above 365 Days")</f>
        <v>0</v>
      </c>
      <c r="P74" s="9">
        <f t="shared" si="4"/>
        <v>90038</v>
      </c>
      <c r="Q74" s="9">
        <f t="shared" si="5"/>
        <v>0</v>
      </c>
    </row>
    <row r="75" spans="1:17" s="17" customFormat="1" x14ac:dyDescent="0.25">
      <c r="A75" s="7">
        <v>70</v>
      </c>
      <c r="B75" s="8" t="s">
        <v>124</v>
      </c>
      <c r="C75" s="8" t="s">
        <v>977</v>
      </c>
      <c r="D75" s="8" t="s">
        <v>971</v>
      </c>
      <c r="E75" s="8" t="s">
        <v>972</v>
      </c>
      <c r="F75" s="8"/>
      <c r="G75" s="9">
        <f>IFERROR(SUMIFS(TB!C:C,TB!A:A,B75)-SUMIFS(TB!B:B,TB!A:A,B75),0)</f>
        <v>90298</v>
      </c>
      <c r="H75" s="9">
        <f>SUMIFS('Bill Wise'!I:I,'Bill Wise'!C:C,B75,'Bill Wise'!H:H,"0-30 Days")</f>
        <v>90298</v>
      </c>
      <c r="I75" s="9">
        <f>SUMIFS('Bill Wise'!I:I,'Bill Wise'!C:C,B75,'Bill Wise'!H:H,"31-60 Days")</f>
        <v>0</v>
      </c>
      <c r="J75" s="9">
        <f>SUMIFS('Bill Wise'!I:I,'Bill Wise'!C:C,B75,'Bill Wise'!H:H,"61-90 Days")</f>
        <v>0</v>
      </c>
      <c r="K75" s="9">
        <f>SUMIFS('Bill Wise'!I:I,'Bill Wise'!C:C,B75,'Bill Wise'!H:H,"91-120 Days")</f>
        <v>0</v>
      </c>
      <c r="L75" s="9">
        <f>SUMIFS('Bill Wise'!I:I,'Bill Wise'!C:C,B75,'Bill Wise'!H:H,"121-150 Days")</f>
        <v>0</v>
      </c>
      <c r="M75" s="9">
        <f>SUMIFS('Bill Wise'!I:I,'Bill Wise'!C:C,B75,'Bill Wise'!H:H,"151-180 Days")</f>
        <v>0</v>
      </c>
      <c r="N75" s="9">
        <f>SUMIFS('Bill Wise'!I:I,'Bill Wise'!C:C,B75,'Bill Wise'!H:H,"181-365 Days")</f>
        <v>0</v>
      </c>
      <c r="O75" s="9">
        <f>SUMIFS('Bill Wise'!I:I,'Bill Wise'!C:C,B75,'Bill Wise'!H:H,"Above 365 Days")</f>
        <v>0</v>
      </c>
      <c r="P75" s="9">
        <f t="shared" si="4"/>
        <v>90298</v>
      </c>
      <c r="Q75" s="9">
        <f t="shared" si="5"/>
        <v>0</v>
      </c>
    </row>
    <row r="76" spans="1:17" s="17" customFormat="1" x14ac:dyDescent="0.25">
      <c r="A76" s="7">
        <v>71</v>
      </c>
      <c r="B76" s="8" t="s">
        <v>1059</v>
      </c>
      <c r="C76" s="8" t="s">
        <v>977</v>
      </c>
      <c r="D76" s="8" t="s">
        <v>971</v>
      </c>
      <c r="E76" s="8" t="s">
        <v>972</v>
      </c>
      <c r="F76" s="8"/>
      <c r="G76" s="9">
        <f>IFERROR(SUMIFS(TB!C:C,TB!A:A,B76)-SUMIFS(TB!B:B,TB!A:A,B76),0)</f>
        <v>95580</v>
      </c>
      <c r="H76" s="9">
        <f>SUMIFS('Bill Wise'!I:I,'Bill Wise'!C:C,B76,'Bill Wise'!H:H,"0-30 Days")</f>
        <v>95580</v>
      </c>
      <c r="I76" s="9">
        <f>SUMIFS('Bill Wise'!I:I,'Bill Wise'!C:C,B76,'Bill Wise'!H:H,"31-60 Days")</f>
        <v>0</v>
      </c>
      <c r="J76" s="9">
        <f>SUMIFS('Bill Wise'!I:I,'Bill Wise'!C:C,B76,'Bill Wise'!H:H,"61-90 Days")</f>
        <v>0</v>
      </c>
      <c r="K76" s="9">
        <f>SUMIFS('Bill Wise'!I:I,'Bill Wise'!C:C,B76,'Bill Wise'!H:H,"91-120 Days")</f>
        <v>0</v>
      </c>
      <c r="L76" s="9">
        <f>SUMIFS('Bill Wise'!I:I,'Bill Wise'!C:C,B76,'Bill Wise'!H:H,"121-150 Days")</f>
        <v>0</v>
      </c>
      <c r="M76" s="9">
        <f>SUMIFS('Bill Wise'!I:I,'Bill Wise'!C:C,B76,'Bill Wise'!H:H,"151-180 Days")</f>
        <v>0</v>
      </c>
      <c r="N76" s="9">
        <f>SUMIFS('Bill Wise'!I:I,'Bill Wise'!C:C,B76,'Bill Wise'!H:H,"181-365 Days")</f>
        <v>0</v>
      </c>
      <c r="O76" s="9">
        <f>SUMIFS('Bill Wise'!I:I,'Bill Wise'!C:C,B76,'Bill Wise'!H:H,"Above 365 Days")</f>
        <v>0</v>
      </c>
      <c r="P76" s="9">
        <f t="shared" si="4"/>
        <v>95580</v>
      </c>
      <c r="Q76" s="9">
        <f t="shared" si="5"/>
        <v>0</v>
      </c>
    </row>
    <row r="77" spans="1:17" s="17" customFormat="1" x14ac:dyDescent="0.25">
      <c r="A77" s="7">
        <v>72</v>
      </c>
      <c r="B77" s="8" t="s">
        <v>16</v>
      </c>
      <c r="C77" s="8" t="s">
        <v>317</v>
      </c>
      <c r="D77" s="8" t="s">
        <v>974</v>
      </c>
      <c r="E77" s="8" t="s">
        <v>975</v>
      </c>
      <c r="F77" s="8"/>
      <c r="G77" s="9">
        <f>IFERROR(SUMIFS(TB!C:C,TB!A:A,B77)-SUMIFS(TB!B:B,TB!A:A,B77),0)</f>
        <v>104715</v>
      </c>
      <c r="H77" s="9">
        <f>SUMIFS('Bill Wise'!I:I,'Bill Wise'!C:C,B77,'Bill Wise'!H:H,"0-30 Days")</f>
        <v>104715</v>
      </c>
      <c r="I77" s="9">
        <f>SUMIFS('Bill Wise'!I:I,'Bill Wise'!C:C,B77,'Bill Wise'!H:H,"31-60 Days")</f>
        <v>0</v>
      </c>
      <c r="J77" s="9">
        <f>SUMIFS('Bill Wise'!I:I,'Bill Wise'!C:C,B77,'Bill Wise'!H:H,"61-90 Days")</f>
        <v>0</v>
      </c>
      <c r="K77" s="9">
        <f>SUMIFS('Bill Wise'!I:I,'Bill Wise'!C:C,B77,'Bill Wise'!H:H,"91-120 Days")</f>
        <v>0</v>
      </c>
      <c r="L77" s="9">
        <f>SUMIFS('Bill Wise'!I:I,'Bill Wise'!C:C,B77,'Bill Wise'!H:H,"121-150 Days")</f>
        <v>0</v>
      </c>
      <c r="M77" s="9">
        <f>SUMIFS('Bill Wise'!I:I,'Bill Wise'!C:C,B77,'Bill Wise'!H:H,"151-180 Days")</f>
        <v>0</v>
      </c>
      <c r="N77" s="9">
        <f>SUMIFS('Bill Wise'!I:I,'Bill Wise'!C:C,B77,'Bill Wise'!H:H,"181-365 Days")</f>
        <v>0</v>
      </c>
      <c r="O77" s="9">
        <f>SUMIFS('Bill Wise'!I:I,'Bill Wise'!C:C,B77,'Bill Wise'!H:H,"Above 365 Days")</f>
        <v>0</v>
      </c>
      <c r="P77" s="9">
        <f t="shared" si="4"/>
        <v>104715</v>
      </c>
      <c r="Q77" s="9">
        <f t="shared" si="5"/>
        <v>0</v>
      </c>
    </row>
    <row r="78" spans="1:17" s="17" customFormat="1" x14ac:dyDescent="0.25">
      <c r="A78" s="7">
        <v>73</v>
      </c>
      <c r="B78" s="8" t="s">
        <v>55</v>
      </c>
      <c r="C78" s="8" t="s">
        <v>977</v>
      </c>
      <c r="D78" s="8" t="s">
        <v>971</v>
      </c>
      <c r="E78" s="8" t="s">
        <v>993</v>
      </c>
      <c r="F78" s="8"/>
      <c r="G78" s="9">
        <f>IFERROR(SUMIFS(TB!C:C,TB!A:A,B78)-SUMIFS(TB!B:B,TB!A:A,B78),0)</f>
        <v>110640</v>
      </c>
      <c r="H78" s="9">
        <f>SUMIFS('Bill Wise'!I:I,'Bill Wise'!C:C,B78,'Bill Wise'!H:H,"0-30 Days")</f>
        <v>110640</v>
      </c>
      <c r="I78" s="9">
        <f>SUMIFS('Bill Wise'!I:I,'Bill Wise'!C:C,B78,'Bill Wise'!H:H,"31-60 Days")</f>
        <v>0</v>
      </c>
      <c r="J78" s="9">
        <f>SUMIFS('Bill Wise'!I:I,'Bill Wise'!C:C,B78,'Bill Wise'!H:H,"61-90 Days")</f>
        <v>0</v>
      </c>
      <c r="K78" s="9">
        <f>SUMIFS('Bill Wise'!I:I,'Bill Wise'!C:C,B78,'Bill Wise'!H:H,"91-120 Days")</f>
        <v>0</v>
      </c>
      <c r="L78" s="9">
        <f>SUMIFS('Bill Wise'!I:I,'Bill Wise'!C:C,B78,'Bill Wise'!H:H,"121-150 Days")</f>
        <v>0</v>
      </c>
      <c r="M78" s="9">
        <f>SUMIFS('Bill Wise'!I:I,'Bill Wise'!C:C,B78,'Bill Wise'!H:H,"151-180 Days")</f>
        <v>0</v>
      </c>
      <c r="N78" s="9">
        <f>SUMIFS('Bill Wise'!I:I,'Bill Wise'!C:C,B78,'Bill Wise'!H:H,"181-365 Days")</f>
        <v>0</v>
      </c>
      <c r="O78" s="9">
        <f>SUMIFS('Bill Wise'!I:I,'Bill Wise'!C:C,B78,'Bill Wise'!H:H,"Above 365 Days")</f>
        <v>0</v>
      </c>
      <c r="P78" s="9">
        <f t="shared" si="4"/>
        <v>110640</v>
      </c>
      <c r="Q78" s="9">
        <f t="shared" si="5"/>
        <v>0</v>
      </c>
    </row>
    <row r="79" spans="1:17" s="17" customFormat="1" x14ac:dyDescent="0.25">
      <c r="A79" s="7">
        <v>74</v>
      </c>
      <c r="B79" s="8" t="s">
        <v>108</v>
      </c>
      <c r="C79" s="8" t="s">
        <v>306</v>
      </c>
      <c r="D79" s="8" t="s">
        <v>971</v>
      </c>
      <c r="E79" s="8" t="s">
        <v>975</v>
      </c>
      <c r="F79" s="8"/>
      <c r="G79" s="9">
        <f>IFERROR(SUMIFS(TB!C:C,TB!A:A,B79)-SUMIFS(TB!B:B,TB!A:A,B79),0)</f>
        <v>113680</v>
      </c>
      <c r="H79" s="9">
        <f>SUMIFS('Bill Wise'!I:I,'Bill Wise'!C:C,B79,'Bill Wise'!H:H,"0-30 Days")</f>
        <v>56350</v>
      </c>
      <c r="I79" s="9">
        <f>SUMIFS('Bill Wise'!I:I,'Bill Wise'!C:C,B79,'Bill Wise'!H:H,"31-60 Days")</f>
        <v>57330</v>
      </c>
      <c r="J79" s="9">
        <f>SUMIFS('Bill Wise'!I:I,'Bill Wise'!C:C,B79,'Bill Wise'!H:H,"61-90 Days")</f>
        <v>0</v>
      </c>
      <c r="K79" s="9">
        <f>SUMIFS('Bill Wise'!I:I,'Bill Wise'!C:C,B79,'Bill Wise'!H:H,"91-120 Days")</f>
        <v>0</v>
      </c>
      <c r="L79" s="9">
        <f>SUMIFS('Bill Wise'!I:I,'Bill Wise'!C:C,B79,'Bill Wise'!H:H,"121-150 Days")</f>
        <v>0</v>
      </c>
      <c r="M79" s="9">
        <f>SUMIFS('Bill Wise'!I:I,'Bill Wise'!C:C,B79,'Bill Wise'!H:H,"151-180 Days")</f>
        <v>0</v>
      </c>
      <c r="N79" s="9">
        <f>SUMIFS('Bill Wise'!I:I,'Bill Wise'!C:C,B79,'Bill Wise'!H:H,"181-365 Days")</f>
        <v>0</v>
      </c>
      <c r="O79" s="9">
        <f>SUMIFS('Bill Wise'!I:I,'Bill Wise'!C:C,B79,'Bill Wise'!H:H,"Above 365 Days")</f>
        <v>0</v>
      </c>
      <c r="P79" s="9">
        <f t="shared" si="4"/>
        <v>113680</v>
      </c>
      <c r="Q79" s="9">
        <f t="shared" si="5"/>
        <v>0</v>
      </c>
    </row>
    <row r="80" spans="1:17" s="17" customFormat="1" x14ac:dyDescent="0.25">
      <c r="A80" s="7">
        <v>75</v>
      </c>
      <c r="B80" s="8" t="s">
        <v>185</v>
      </c>
      <c r="C80" s="8" t="s">
        <v>306</v>
      </c>
      <c r="D80" s="8" t="s">
        <v>971</v>
      </c>
      <c r="E80" s="8" t="s">
        <v>1003</v>
      </c>
      <c r="F80" s="8"/>
      <c r="G80" s="9">
        <f>IFERROR(SUMIFS(TB!C:C,TB!A:A,B80)-SUMIFS(TB!B:B,TB!A:A,B80),0)</f>
        <v>122052.63</v>
      </c>
      <c r="H80" s="9">
        <f>SUMIFS('Bill Wise'!I:I,'Bill Wise'!C:C,B80,'Bill Wise'!H:H,"0-30 Days")</f>
        <v>122052.63</v>
      </c>
      <c r="I80" s="9">
        <f>SUMIFS('Bill Wise'!I:I,'Bill Wise'!C:C,B80,'Bill Wise'!H:H,"31-60 Days")</f>
        <v>0</v>
      </c>
      <c r="J80" s="9">
        <f>SUMIFS('Bill Wise'!I:I,'Bill Wise'!C:C,B80,'Bill Wise'!H:H,"61-90 Days")</f>
        <v>0</v>
      </c>
      <c r="K80" s="9">
        <f>SUMIFS('Bill Wise'!I:I,'Bill Wise'!C:C,B80,'Bill Wise'!H:H,"91-120 Days")</f>
        <v>0</v>
      </c>
      <c r="L80" s="9">
        <f>SUMIFS('Bill Wise'!I:I,'Bill Wise'!C:C,B80,'Bill Wise'!H:H,"121-150 Days")</f>
        <v>0</v>
      </c>
      <c r="M80" s="9">
        <f>SUMIFS('Bill Wise'!I:I,'Bill Wise'!C:C,B80,'Bill Wise'!H:H,"151-180 Days")</f>
        <v>0</v>
      </c>
      <c r="N80" s="9">
        <f>SUMIFS('Bill Wise'!I:I,'Bill Wise'!C:C,B80,'Bill Wise'!H:H,"181-365 Days")</f>
        <v>0</v>
      </c>
      <c r="O80" s="9">
        <f>SUMIFS('Bill Wise'!I:I,'Bill Wise'!C:C,B80,'Bill Wise'!H:H,"Above 365 Days")</f>
        <v>0</v>
      </c>
      <c r="P80" s="9">
        <f t="shared" si="4"/>
        <v>122052.63</v>
      </c>
      <c r="Q80" s="9">
        <f t="shared" si="5"/>
        <v>0</v>
      </c>
    </row>
    <row r="81" spans="1:17" s="17" customFormat="1" x14ac:dyDescent="0.25">
      <c r="A81" s="7">
        <v>76</v>
      </c>
      <c r="B81" s="8" t="s">
        <v>1060</v>
      </c>
      <c r="C81" s="8" t="s">
        <v>317</v>
      </c>
      <c r="D81" s="8" t="s">
        <v>981</v>
      </c>
      <c r="E81" s="8" t="s">
        <v>1676</v>
      </c>
      <c r="F81" s="8"/>
      <c r="G81" s="9">
        <f>IFERROR(SUMIFS(TB!C:C,TB!A:A,B81)-SUMIFS(TB!B:B,TB!A:A,B81),0)</f>
        <v>125285.4</v>
      </c>
      <c r="H81" s="9">
        <f>SUMIFS('Bill Wise'!I:I,'Bill Wise'!C:C,B81,'Bill Wise'!H:H,"0-30 Days")</f>
        <v>125285.4</v>
      </c>
      <c r="I81" s="9">
        <f>SUMIFS('Bill Wise'!I:I,'Bill Wise'!C:C,B81,'Bill Wise'!H:H,"31-60 Days")</f>
        <v>0</v>
      </c>
      <c r="J81" s="9">
        <f>SUMIFS('Bill Wise'!I:I,'Bill Wise'!C:C,B81,'Bill Wise'!H:H,"61-90 Days")</f>
        <v>0</v>
      </c>
      <c r="K81" s="9">
        <f>SUMIFS('Bill Wise'!I:I,'Bill Wise'!C:C,B81,'Bill Wise'!H:H,"91-120 Days")</f>
        <v>0</v>
      </c>
      <c r="L81" s="9">
        <f>SUMIFS('Bill Wise'!I:I,'Bill Wise'!C:C,B81,'Bill Wise'!H:H,"121-150 Days")</f>
        <v>0</v>
      </c>
      <c r="M81" s="9">
        <f>SUMIFS('Bill Wise'!I:I,'Bill Wise'!C:C,B81,'Bill Wise'!H:H,"151-180 Days")</f>
        <v>0</v>
      </c>
      <c r="N81" s="9">
        <f>SUMIFS('Bill Wise'!I:I,'Bill Wise'!C:C,B81,'Bill Wise'!H:H,"181-365 Days")</f>
        <v>0</v>
      </c>
      <c r="O81" s="9">
        <f>SUMIFS('Bill Wise'!I:I,'Bill Wise'!C:C,B81,'Bill Wise'!H:H,"Above 365 Days")</f>
        <v>0</v>
      </c>
      <c r="P81" s="9">
        <f t="shared" si="4"/>
        <v>125285.4</v>
      </c>
      <c r="Q81" s="9">
        <f t="shared" si="5"/>
        <v>0</v>
      </c>
    </row>
    <row r="82" spans="1:17" s="17" customFormat="1" x14ac:dyDescent="0.25">
      <c r="A82" s="7">
        <v>77</v>
      </c>
      <c r="B82" s="8" t="s">
        <v>1061</v>
      </c>
      <c r="C82" s="8" t="s">
        <v>280</v>
      </c>
      <c r="D82" s="8" t="s">
        <v>971</v>
      </c>
      <c r="E82" s="8" t="s">
        <v>972</v>
      </c>
      <c r="F82" s="8"/>
      <c r="G82" s="9">
        <f>IFERROR(SUMIFS(TB!C:C,TB!A:A,B82)-SUMIFS(TB!B:B,TB!A:A,B82),0)</f>
        <v>130732</v>
      </c>
      <c r="H82" s="9">
        <f>SUMIFS('Bill Wise'!I:I,'Bill Wise'!C:C,B82,'Bill Wise'!H:H,"0-30 Days")</f>
        <v>130732</v>
      </c>
      <c r="I82" s="9">
        <f>SUMIFS('Bill Wise'!I:I,'Bill Wise'!C:C,B82,'Bill Wise'!H:H,"31-60 Days")</f>
        <v>0</v>
      </c>
      <c r="J82" s="9">
        <f>SUMIFS('Bill Wise'!I:I,'Bill Wise'!C:C,B82,'Bill Wise'!H:H,"61-90 Days")</f>
        <v>0</v>
      </c>
      <c r="K82" s="9">
        <f>SUMIFS('Bill Wise'!I:I,'Bill Wise'!C:C,B82,'Bill Wise'!H:H,"91-120 Days")</f>
        <v>0</v>
      </c>
      <c r="L82" s="9">
        <f>SUMIFS('Bill Wise'!I:I,'Bill Wise'!C:C,B82,'Bill Wise'!H:H,"121-150 Days")</f>
        <v>0</v>
      </c>
      <c r="M82" s="9">
        <f>SUMIFS('Bill Wise'!I:I,'Bill Wise'!C:C,B82,'Bill Wise'!H:H,"151-180 Days")</f>
        <v>0</v>
      </c>
      <c r="N82" s="9">
        <f>SUMIFS('Bill Wise'!I:I,'Bill Wise'!C:C,B82,'Bill Wise'!H:H,"181-365 Days")</f>
        <v>0</v>
      </c>
      <c r="O82" s="9">
        <f>SUMIFS('Bill Wise'!I:I,'Bill Wise'!C:C,B82,'Bill Wise'!H:H,"Above 365 Days")</f>
        <v>0</v>
      </c>
      <c r="P82" s="9">
        <f t="shared" si="4"/>
        <v>130732</v>
      </c>
      <c r="Q82" s="9">
        <f t="shared" si="5"/>
        <v>0</v>
      </c>
    </row>
    <row r="83" spans="1:17" s="17" customFormat="1" x14ac:dyDescent="0.25">
      <c r="A83" s="7">
        <v>78</v>
      </c>
      <c r="B83" s="8" t="s">
        <v>176</v>
      </c>
      <c r="C83" s="8" t="s">
        <v>347</v>
      </c>
      <c r="D83" s="8" t="s">
        <v>971</v>
      </c>
      <c r="E83" s="8" t="s">
        <v>975</v>
      </c>
      <c r="F83" s="8"/>
      <c r="G83" s="9">
        <f>IFERROR(SUMIFS(TB!C:C,TB!A:A,B83)-SUMIFS(TB!B:B,TB!A:A,B83),0)</f>
        <v>145928</v>
      </c>
      <c r="H83" s="9">
        <f>SUMIFS('Bill Wise'!I:I,'Bill Wise'!C:C,B83,'Bill Wise'!H:H,"0-30 Days")</f>
        <v>145928</v>
      </c>
      <c r="I83" s="9">
        <f>SUMIFS('Bill Wise'!I:I,'Bill Wise'!C:C,B83,'Bill Wise'!H:H,"31-60 Days")</f>
        <v>0</v>
      </c>
      <c r="J83" s="9">
        <f>SUMIFS('Bill Wise'!I:I,'Bill Wise'!C:C,B83,'Bill Wise'!H:H,"61-90 Days")</f>
        <v>0</v>
      </c>
      <c r="K83" s="9">
        <f>SUMIFS('Bill Wise'!I:I,'Bill Wise'!C:C,B83,'Bill Wise'!H:H,"91-120 Days")</f>
        <v>0</v>
      </c>
      <c r="L83" s="9">
        <f>SUMIFS('Bill Wise'!I:I,'Bill Wise'!C:C,B83,'Bill Wise'!H:H,"121-150 Days")</f>
        <v>0</v>
      </c>
      <c r="M83" s="9">
        <f>SUMIFS('Bill Wise'!I:I,'Bill Wise'!C:C,B83,'Bill Wise'!H:H,"151-180 Days")</f>
        <v>0</v>
      </c>
      <c r="N83" s="9">
        <f>SUMIFS('Bill Wise'!I:I,'Bill Wise'!C:C,B83,'Bill Wise'!H:H,"181-365 Days")</f>
        <v>0</v>
      </c>
      <c r="O83" s="9">
        <f>SUMIFS('Bill Wise'!I:I,'Bill Wise'!C:C,B83,'Bill Wise'!H:H,"Above 365 Days")</f>
        <v>0</v>
      </c>
      <c r="P83" s="9">
        <f t="shared" si="4"/>
        <v>145928</v>
      </c>
      <c r="Q83" s="9">
        <f t="shared" si="5"/>
        <v>0</v>
      </c>
    </row>
    <row r="84" spans="1:17" s="17" customFormat="1" x14ac:dyDescent="0.25">
      <c r="A84" s="7">
        <v>79</v>
      </c>
      <c r="B84" s="8" t="s">
        <v>165</v>
      </c>
      <c r="C84" s="8" t="s">
        <v>306</v>
      </c>
      <c r="D84" s="8" t="s">
        <v>971</v>
      </c>
      <c r="E84" s="8" t="s">
        <v>999</v>
      </c>
      <c r="F84" s="8"/>
      <c r="G84" s="9">
        <f>IFERROR(SUMIFS(TB!C:C,TB!A:A,B84)-SUMIFS(TB!B:B,TB!A:A,B84),0)</f>
        <v>150800</v>
      </c>
      <c r="H84" s="9">
        <f>SUMIFS('Bill Wise'!I:I,'Bill Wise'!C:C,B84,'Bill Wise'!H:H,"0-30 Days")</f>
        <v>150800</v>
      </c>
      <c r="I84" s="9">
        <f>SUMIFS('Bill Wise'!I:I,'Bill Wise'!C:C,B84,'Bill Wise'!H:H,"31-60 Days")</f>
        <v>0</v>
      </c>
      <c r="J84" s="9">
        <f>SUMIFS('Bill Wise'!I:I,'Bill Wise'!C:C,B84,'Bill Wise'!H:H,"61-90 Days")</f>
        <v>0</v>
      </c>
      <c r="K84" s="9">
        <f>SUMIFS('Bill Wise'!I:I,'Bill Wise'!C:C,B84,'Bill Wise'!H:H,"91-120 Days")</f>
        <v>0</v>
      </c>
      <c r="L84" s="9">
        <f>SUMIFS('Bill Wise'!I:I,'Bill Wise'!C:C,B84,'Bill Wise'!H:H,"121-150 Days")</f>
        <v>0</v>
      </c>
      <c r="M84" s="9">
        <f>SUMIFS('Bill Wise'!I:I,'Bill Wise'!C:C,B84,'Bill Wise'!H:H,"151-180 Days")</f>
        <v>0</v>
      </c>
      <c r="N84" s="9">
        <f>SUMIFS('Bill Wise'!I:I,'Bill Wise'!C:C,B84,'Bill Wise'!H:H,"181-365 Days")</f>
        <v>0</v>
      </c>
      <c r="O84" s="9">
        <f>SUMIFS('Bill Wise'!I:I,'Bill Wise'!C:C,B84,'Bill Wise'!H:H,"Above 365 Days")</f>
        <v>0</v>
      </c>
      <c r="P84" s="9">
        <f t="shared" si="4"/>
        <v>150800</v>
      </c>
      <c r="Q84" s="9">
        <f t="shared" si="5"/>
        <v>0</v>
      </c>
    </row>
    <row r="85" spans="1:17" s="17" customFormat="1" x14ac:dyDescent="0.25">
      <c r="A85" s="7">
        <v>80</v>
      </c>
      <c r="B85" s="8" t="s">
        <v>1062</v>
      </c>
      <c r="C85" s="8" t="s">
        <v>977</v>
      </c>
      <c r="D85" s="8" t="s">
        <v>979</v>
      </c>
      <c r="E85" s="8" t="s">
        <v>1681</v>
      </c>
      <c r="F85" s="8"/>
      <c r="G85" s="9">
        <f>IFERROR(SUMIFS(TB!C:C,TB!A:A,B85)-SUMIFS(TB!B:B,TB!A:A,B85),0)</f>
        <v>156615</v>
      </c>
      <c r="H85" s="9">
        <f>SUMIFS('Bill Wise'!I:I,'Bill Wise'!C:C,B85,'Bill Wise'!H:H,"0-30 Days")</f>
        <v>156615</v>
      </c>
      <c r="I85" s="9">
        <f>SUMIFS('Bill Wise'!I:I,'Bill Wise'!C:C,B85,'Bill Wise'!H:H,"31-60 Days")</f>
        <v>0</v>
      </c>
      <c r="J85" s="9">
        <f>SUMIFS('Bill Wise'!I:I,'Bill Wise'!C:C,B85,'Bill Wise'!H:H,"61-90 Days")</f>
        <v>0</v>
      </c>
      <c r="K85" s="9">
        <f>SUMIFS('Bill Wise'!I:I,'Bill Wise'!C:C,B85,'Bill Wise'!H:H,"91-120 Days")</f>
        <v>0</v>
      </c>
      <c r="L85" s="9">
        <f>SUMIFS('Bill Wise'!I:I,'Bill Wise'!C:C,B85,'Bill Wise'!H:H,"121-150 Days")</f>
        <v>0</v>
      </c>
      <c r="M85" s="9">
        <f>SUMIFS('Bill Wise'!I:I,'Bill Wise'!C:C,B85,'Bill Wise'!H:H,"151-180 Days")</f>
        <v>0</v>
      </c>
      <c r="N85" s="9">
        <f>SUMIFS('Bill Wise'!I:I,'Bill Wise'!C:C,B85,'Bill Wise'!H:H,"181-365 Days")</f>
        <v>0</v>
      </c>
      <c r="O85" s="9">
        <f>SUMIFS('Bill Wise'!I:I,'Bill Wise'!C:C,B85,'Bill Wise'!H:H,"Above 365 Days")</f>
        <v>0</v>
      </c>
      <c r="P85" s="9">
        <f t="shared" si="4"/>
        <v>156615</v>
      </c>
      <c r="Q85" s="9">
        <f t="shared" si="5"/>
        <v>0</v>
      </c>
    </row>
    <row r="86" spans="1:17" s="17" customFormat="1" x14ac:dyDescent="0.25">
      <c r="A86" s="7">
        <v>81</v>
      </c>
      <c r="B86" s="8" t="s">
        <v>215</v>
      </c>
      <c r="C86" s="8" t="s">
        <v>306</v>
      </c>
      <c r="D86" s="8" t="s">
        <v>971</v>
      </c>
      <c r="E86" s="8" t="s">
        <v>972</v>
      </c>
      <c r="F86" s="8"/>
      <c r="G86" s="9">
        <f>IFERROR(SUMIFS(TB!C:C,TB!A:A,B86)-SUMIFS(TB!B:B,TB!A:A,B86),0)</f>
        <v>159686</v>
      </c>
      <c r="H86" s="9">
        <f>SUMIFS('Bill Wise'!I:I,'Bill Wise'!C:C,B86,'Bill Wise'!H:H,"0-30 Days")</f>
        <v>159686</v>
      </c>
      <c r="I86" s="9">
        <f>SUMIFS('Bill Wise'!I:I,'Bill Wise'!C:C,B86,'Bill Wise'!H:H,"31-60 Days")</f>
        <v>0</v>
      </c>
      <c r="J86" s="9">
        <f>SUMIFS('Bill Wise'!I:I,'Bill Wise'!C:C,B86,'Bill Wise'!H:H,"61-90 Days")</f>
        <v>0</v>
      </c>
      <c r="K86" s="9">
        <f>SUMIFS('Bill Wise'!I:I,'Bill Wise'!C:C,B86,'Bill Wise'!H:H,"91-120 Days")</f>
        <v>0</v>
      </c>
      <c r="L86" s="9">
        <f>SUMIFS('Bill Wise'!I:I,'Bill Wise'!C:C,B86,'Bill Wise'!H:H,"121-150 Days")</f>
        <v>0</v>
      </c>
      <c r="M86" s="9">
        <f>SUMIFS('Bill Wise'!I:I,'Bill Wise'!C:C,B86,'Bill Wise'!H:H,"151-180 Days")</f>
        <v>0</v>
      </c>
      <c r="N86" s="9">
        <f>SUMIFS('Bill Wise'!I:I,'Bill Wise'!C:C,B86,'Bill Wise'!H:H,"181-365 Days")</f>
        <v>0</v>
      </c>
      <c r="O86" s="9">
        <f>SUMIFS('Bill Wise'!I:I,'Bill Wise'!C:C,B86,'Bill Wise'!H:H,"Above 365 Days")</f>
        <v>0</v>
      </c>
      <c r="P86" s="9">
        <f t="shared" si="4"/>
        <v>159686</v>
      </c>
      <c r="Q86" s="9">
        <f t="shared" si="5"/>
        <v>0</v>
      </c>
    </row>
    <row r="87" spans="1:17" s="17" customFormat="1" x14ac:dyDescent="0.25">
      <c r="A87" s="7">
        <v>82</v>
      </c>
      <c r="B87" s="8" t="s">
        <v>117</v>
      </c>
      <c r="C87" s="8" t="s">
        <v>332</v>
      </c>
      <c r="D87" s="8" t="s">
        <v>979</v>
      </c>
      <c r="E87" s="8">
        <v>0</v>
      </c>
      <c r="F87" s="8"/>
      <c r="G87" s="9">
        <f>IFERROR(SUMIFS(TB!C:C,TB!A:A,B87)-SUMIFS(TB!B:B,TB!A:A,B87),0)</f>
        <v>163689.76</v>
      </c>
      <c r="H87" s="9">
        <f>SUMIFS('Bill Wise'!I:I,'Bill Wise'!C:C,B87,'Bill Wise'!H:H,"0-30 Days")</f>
        <v>163689.76</v>
      </c>
      <c r="I87" s="9">
        <f>SUMIFS('Bill Wise'!I:I,'Bill Wise'!C:C,B87,'Bill Wise'!H:H,"31-60 Days")</f>
        <v>0</v>
      </c>
      <c r="J87" s="9">
        <f>SUMIFS('Bill Wise'!I:I,'Bill Wise'!C:C,B87,'Bill Wise'!H:H,"61-90 Days")</f>
        <v>0</v>
      </c>
      <c r="K87" s="9">
        <f>SUMIFS('Bill Wise'!I:I,'Bill Wise'!C:C,B87,'Bill Wise'!H:H,"91-120 Days")</f>
        <v>0</v>
      </c>
      <c r="L87" s="9">
        <f>SUMIFS('Bill Wise'!I:I,'Bill Wise'!C:C,B87,'Bill Wise'!H:H,"121-150 Days")</f>
        <v>0</v>
      </c>
      <c r="M87" s="9">
        <f>SUMIFS('Bill Wise'!I:I,'Bill Wise'!C:C,B87,'Bill Wise'!H:H,"151-180 Days")</f>
        <v>0</v>
      </c>
      <c r="N87" s="9">
        <f>SUMIFS('Bill Wise'!I:I,'Bill Wise'!C:C,B87,'Bill Wise'!H:H,"181-365 Days")</f>
        <v>0</v>
      </c>
      <c r="O87" s="9">
        <f>SUMIFS('Bill Wise'!I:I,'Bill Wise'!C:C,B87,'Bill Wise'!H:H,"Above 365 Days")</f>
        <v>0</v>
      </c>
      <c r="P87" s="9">
        <f t="shared" si="4"/>
        <v>163689.76</v>
      </c>
      <c r="Q87" s="9">
        <f t="shared" si="5"/>
        <v>0</v>
      </c>
    </row>
    <row r="88" spans="1:17" s="17" customFormat="1" x14ac:dyDescent="0.25">
      <c r="A88" s="7">
        <v>83</v>
      </c>
      <c r="B88" s="8" t="s">
        <v>106</v>
      </c>
      <c r="C88" s="8" t="s">
        <v>280</v>
      </c>
      <c r="D88" s="8" t="s">
        <v>971</v>
      </c>
      <c r="E88" s="8" t="s">
        <v>976</v>
      </c>
      <c r="F88" s="8"/>
      <c r="G88" s="9">
        <f>IFERROR(SUMIFS(TB!C:C,TB!A:A,B88)-SUMIFS(TB!B:B,TB!A:A,B88),0)</f>
        <v>168150</v>
      </c>
      <c r="H88" s="9">
        <f>SUMIFS('Bill Wise'!I:I,'Bill Wise'!C:C,B88,'Bill Wise'!H:H,"0-30 Days")</f>
        <v>102070</v>
      </c>
      <c r="I88" s="9">
        <f>SUMIFS('Bill Wise'!I:I,'Bill Wise'!C:C,B88,'Bill Wise'!H:H,"31-60 Days")</f>
        <v>66080</v>
      </c>
      <c r="J88" s="9">
        <f>SUMIFS('Bill Wise'!I:I,'Bill Wise'!C:C,B88,'Bill Wise'!H:H,"61-90 Days")</f>
        <v>0</v>
      </c>
      <c r="K88" s="9">
        <f>SUMIFS('Bill Wise'!I:I,'Bill Wise'!C:C,B88,'Bill Wise'!H:H,"91-120 Days")</f>
        <v>0</v>
      </c>
      <c r="L88" s="9">
        <f>SUMIFS('Bill Wise'!I:I,'Bill Wise'!C:C,B88,'Bill Wise'!H:H,"121-150 Days")</f>
        <v>0</v>
      </c>
      <c r="M88" s="9">
        <f>SUMIFS('Bill Wise'!I:I,'Bill Wise'!C:C,B88,'Bill Wise'!H:H,"151-180 Days")</f>
        <v>0</v>
      </c>
      <c r="N88" s="9">
        <f>SUMIFS('Bill Wise'!I:I,'Bill Wise'!C:C,B88,'Bill Wise'!H:H,"181-365 Days")</f>
        <v>0</v>
      </c>
      <c r="O88" s="9">
        <f>SUMIFS('Bill Wise'!I:I,'Bill Wise'!C:C,B88,'Bill Wise'!H:H,"Above 365 Days")</f>
        <v>0</v>
      </c>
      <c r="P88" s="9">
        <f t="shared" si="4"/>
        <v>168150</v>
      </c>
      <c r="Q88" s="9">
        <f t="shared" si="5"/>
        <v>0</v>
      </c>
    </row>
    <row r="89" spans="1:17" s="17" customFormat="1" x14ac:dyDescent="0.25">
      <c r="A89" s="7">
        <v>84</v>
      </c>
      <c r="B89" s="8" t="s">
        <v>114</v>
      </c>
      <c r="C89" s="8" t="s">
        <v>973</v>
      </c>
      <c r="D89" s="8" t="s">
        <v>971</v>
      </c>
      <c r="E89" s="8">
        <v>0</v>
      </c>
      <c r="F89" s="8"/>
      <c r="G89" s="9">
        <f>IFERROR(SUMIFS(TB!C:C,TB!A:A,B89)-SUMIFS(TB!B:B,TB!A:A,B89),0)</f>
        <v>170704.8</v>
      </c>
      <c r="H89" s="9">
        <f>SUMIFS('Bill Wise'!I:I,'Bill Wise'!C:C,B89,'Bill Wise'!H:H,"0-30 Days")</f>
        <v>170704.8</v>
      </c>
      <c r="I89" s="9">
        <f>SUMIFS('Bill Wise'!I:I,'Bill Wise'!C:C,B89,'Bill Wise'!H:H,"31-60 Days")</f>
        <v>0</v>
      </c>
      <c r="J89" s="9">
        <f>SUMIFS('Bill Wise'!I:I,'Bill Wise'!C:C,B89,'Bill Wise'!H:H,"61-90 Days")</f>
        <v>0</v>
      </c>
      <c r="K89" s="9">
        <f>SUMIFS('Bill Wise'!I:I,'Bill Wise'!C:C,B89,'Bill Wise'!H:H,"91-120 Days")</f>
        <v>0</v>
      </c>
      <c r="L89" s="9">
        <f>SUMIFS('Bill Wise'!I:I,'Bill Wise'!C:C,B89,'Bill Wise'!H:H,"121-150 Days")</f>
        <v>0</v>
      </c>
      <c r="M89" s="9">
        <f>SUMIFS('Bill Wise'!I:I,'Bill Wise'!C:C,B89,'Bill Wise'!H:H,"151-180 Days")</f>
        <v>0</v>
      </c>
      <c r="N89" s="9">
        <f>SUMIFS('Bill Wise'!I:I,'Bill Wise'!C:C,B89,'Bill Wise'!H:H,"181-365 Days")</f>
        <v>0</v>
      </c>
      <c r="O89" s="9">
        <f>SUMIFS('Bill Wise'!I:I,'Bill Wise'!C:C,B89,'Bill Wise'!H:H,"Above 365 Days")</f>
        <v>0</v>
      </c>
      <c r="P89" s="9">
        <f t="shared" si="4"/>
        <v>170704.8</v>
      </c>
      <c r="Q89" s="9">
        <f t="shared" si="5"/>
        <v>0</v>
      </c>
    </row>
    <row r="90" spans="1:17" s="17" customFormat="1" x14ac:dyDescent="0.25">
      <c r="A90" s="7">
        <v>85</v>
      </c>
      <c r="B90" s="8" t="s">
        <v>69</v>
      </c>
      <c r="C90" s="8" t="s">
        <v>306</v>
      </c>
      <c r="D90" s="8" t="s">
        <v>971</v>
      </c>
      <c r="E90" s="8" t="s">
        <v>993</v>
      </c>
      <c r="F90" s="8"/>
      <c r="G90" s="9">
        <f>IFERROR(SUMIFS(TB!C:C,TB!A:A,B90)-SUMIFS(TB!B:B,TB!A:A,B90),0)</f>
        <v>172861.25</v>
      </c>
      <c r="H90" s="9">
        <f>SUMIFS('Bill Wise'!I:I,'Bill Wise'!C:C,B90,'Bill Wise'!H:H,"0-30 Days")</f>
        <v>172861.25</v>
      </c>
      <c r="I90" s="9">
        <f>SUMIFS('Bill Wise'!I:I,'Bill Wise'!C:C,B90,'Bill Wise'!H:H,"31-60 Days")</f>
        <v>0</v>
      </c>
      <c r="J90" s="9">
        <f>SUMIFS('Bill Wise'!I:I,'Bill Wise'!C:C,B90,'Bill Wise'!H:H,"61-90 Days")</f>
        <v>0</v>
      </c>
      <c r="K90" s="9">
        <f>SUMIFS('Bill Wise'!I:I,'Bill Wise'!C:C,B90,'Bill Wise'!H:H,"91-120 Days")</f>
        <v>0</v>
      </c>
      <c r="L90" s="9">
        <f>SUMIFS('Bill Wise'!I:I,'Bill Wise'!C:C,B90,'Bill Wise'!H:H,"121-150 Days")</f>
        <v>0</v>
      </c>
      <c r="M90" s="9">
        <f>SUMIFS('Bill Wise'!I:I,'Bill Wise'!C:C,B90,'Bill Wise'!H:H,"151-180 Days")</f>
        <v>0</v>
      </c>
      <c r="N90" s="9">
        <f>SUMIFS('Bill Wise'!I:I,'Bill Wise'!C:C,B90,'Bill Wise'!H:H,"181-365 Days")</f>
        <v>0</v>
      </c>
      <c r="O90" s="9">
        <f>SUMIFS('Bill Wise'!I:I,'Bill Wise'!C:C,B90,'Bill Wise'!H:H,"Above 365 Days")</f>
        <v>0</v>
      </c>
      <c r="P90" s="9">
        <f t="shared" si="4"/>
        <v>172861.25</v>
      </c>
      <c r="Q90" s="9">
        <f t="shared" si="5"/>
        <v>0</v>
      </c>
    </row>
    <row r="91" spans="1:17" s="17" customFormat="1" x14ac:dyDescent="0.25">
      <c r="A91" s="7">
        <v>86</v>
      </c>
      <c r="B91" s="8" t="s">
        <v>1063</v>
      </c>
      <c r="C91" s="8" t="s">
        <v>280</v>
      </c>
      <c r="D91" s="8" t="s">
        <v>995</v>
      </c>
      <c r="E91" s="8" t="s">
        <v>995</v>
      </c>
      <c r="F91" s="8"/>
      <c r="G91" s="9">
        <f>IFERROR(SUMIFS(TB!C:C,TB!A:A,B91)-SUMIFS(TB!B:B,TB!A:A,B91),0)</f>
        <v>177912.68</v>
      </c>
      <c r="H91" s="9">
        <f>SUMIFS('Bill Wise'!I:I,'Bill Wise'!C:C,B91,'Bill Wise'!H:H,"0-30 Days")</f>
        <v>177912.68</v>
      </c>
      <c r="I91" s="9">
        <f>SUMIFS('Bill Wise'!I:I,'Bill Wise'!C:C,B91,'Bill Wise'!H:H,"31-60 Days")</f>
        <v>0</v>
      </c>
      <c r="J91" s="9">
        <f>SUMIFS('Bill Wise'!I:I,'Bill Wise'!C:C,B91,'Bill Wise'!H:H,"61-90 Days")</f>
        <v>0</v>
      </c>
      <c r="K91" s="9">
        <f>SUMIFS('Bill Wise'!I:I,'Bill Wise'!C:C,B91,'Bill Wise'!H:H,"91-120 Days")</f>
        <v>0</v>
      </c>
      <c r="L91" s="9">
        <f>SUMIFS('Bill Wise'!I:I,'Bill Wise'!C:C,B91,'Bill Wise'!H:H,"121-150 Days")</f>
        <v>0</v>
      </c>
      <c r="M91" s="9">
        <f>SUMIFS('Bill Wise'!I:I,'Bill Wise'!C:C,B91,'Bill Wise'!H:H,"151-180 Days")</f>
        <v>0</v>
      </c>
      <c r="N91" s="9">
        <f>SUMIFS('Bill Wise'!I:I,'Bill Wise'!C:C,B91,'Bill Wise'!H:H,"181-365 Days")</f>
        <v>0</v>
      </c>
      <c r="O91" s="9">
        <f>SUMIFS('Bill Wise'!I:I,'Bill Wise'!C:C,B91,'Bill Wise'!H:H,"Above 365 Days")</f>
        <v>0</v>
      </c>
      <c r="P91" s="9">
        <f t="shared" si="4"/>
        <v>177912.68</v>
      </c>
      <c r="Q91" s="9">
        <f t="shared" si="5"/>
        <v>0</v>
      </c>
    </row>
    <row r="92" spans="1:17" s="17" customFormat="1" x14ac:dyDescent="0.25">
      <c r="A92" s="7">
        <v>87</v>
      </c>
      <c r="B92" s="8" t="s">
        <v>198</v>
      </c>
      <c r="C92" s="8" t="s">
        <v>306</v>
      </c>
      <c r="D92" s="8" t="s">
        <v>995</v>
      </c>
      <c r="E92" s="8" t="s">
        <v>995</v>
      </c>
      <c r="F92" s="8"/>
      <c r="G92" s="9">
        <f>IFERROR(SUMIFS(TB!C:C,TB!A:A,B92)-SUMIFS(TB!B:B,TB!A:A,B92),0)</f>
        <v>184839.75</v>
      </c>
      <c r="H92" s="9">
        <f>SUMIFS('Bill Wise'!I:I,'Bill Wise'!C:C,B92,'Bill Wise'!H:H,"0-30 Days")</f>
        <v>184839.75</v>
      </c>
      <c r="I92" s="9">
        <f>SUMIFS('Bill Wise'!I:I,'Bill Wise'!C:C,B92,'Bill Wise'!H:H,"31-60 Days")</f>
        <v>0</v>
      </c>
      <c r="J92" s="9">
        <f>SUMIFS('Bill Wise'!I:I,'Bill Wise'!C:C,B92,'Bill Wise'!H:H,"61-90 Days")</f>
        <v>0</v>
      </c>
      <c r="K92" s="9">
        <f>SUMIFS('Bill Wise'!I:I,'Bill Wise'!C:C,B92,'Bill Wise'!H:H,"91-120 Days")</f>
        <v>0</v>
      </c>
      <c r="L92" s="9">
        <f>SUMIFS('Bill Wise'!I:I,'Bill Wise'!C:C,B92,'Bill Wise'!H:H,"121-150 Days")</f>
        <v>0</v>
      </c>
      <c r="M92" s="9">
        <f>SUMIFS('Bill Wise'!I:I,'Bill Wise'!C:C,B92,'Bill Wise'!H:H,"151-180 Days")</f>
        <v>0</v>
      </c>
      <c r="N92" s="9">
        <f>SUMIFS('Bill Wise'!I:I,'Bill Wise'!C:C,B92,'Bill Wise'!H:H,"181-365 Days")</f>
        <v>0</v>
      </c>
      <c r="O92" s="9">
        <f>SUMIFS('Bill Wise'!I:I,'Bill Wise'!C:C,B92,'Bill Wise'!H:H,"Above 365 Days")</f>
        <v>0</v>
      </c>
      <c r="P92" s="9">
        <f t="shared" si="4"/>
        <v>184839.75</v>
      </c>
      <c r="Q92" s="9">
        <f t="shared" si="5"/>
        <v>0</v>
      </c>
    </row>
    <row r="93" spans="1:17" s="17" customFormat="1" x14ac:dyDescent="0.25">
      <c r="A93" s="7">
        <v>88</v>
      </c>
      <c r="B93" s="8" t="s">
        <v>27</v>
      </c>
      <c r="C93" s="8" t="s">
        <v>663</v>
      </c>
      <c r="D93" s="8" t="s">
        <v>971</v>
      </c>
      <c r="E93" s="8" t="s">
        <v>983</v>
      </c>
      <c r="F93" s="8"/>
      <c r="G93" s="9">
        <f>IFERROR(SUMIFS(TB!C:C,TB!A:A,B93)-SUMIFS(TB!B:B,TB!A:A,B93),0)</f>
        <v>200175.08</v>
      </c>
      <c r="H93" s="9">
        <f>SUMIFS('Bill Wise'!I:I,'Bill Wise'!C:C,B93,'Bill Wise'!H:H,"0-30 Days")</f>
        <v>200175.08</v>
      </c>
      <c r="I93" s="9">
        <f>SUMIFS('Bill Wise'!I:I,'Bill Wise'!C:C,B93,'Bill Wise'!H:H,"31-60 Days")</f>
        <v>0</v>
      </c>
      <c r="J93" s="9">
        <f>SUMIFS('Bill Wise'!I:I,'Bill Wise'!C:C,B93,'Bill Wise'!H:H,"61-90 Days")</f>
        <v>0</v>
      </c>
      <c r="K93" s="9">
        <f>SUMIFS('Bill Wise'!I:I,'Bill Wise'!C:C,B93,'Bill Wise'!H:H,"91-120 Days")</f>
        <v>0</v>
      </c>
      <c r="L93" s="9">
        <f>SUMIFS('Bill Wise'!I:I,'Bill Wise'!C:C,B93,'Bill Wise'!H:H,"121-150 Days")</f>
        <v>0</v>
      </c>
      <c r="M93" s="9">
        <f>SUMIFS('Bill Wise'!I:I,'Bill Wise'!C:C,B93,'Bill Wise'!H:H,"151-180 Days")</f>
        <v>0</v>
      </c>
      <c r="N93" s="9">
        <f>SUMIFS('Bill Wise'!I:I,'Bill Wise'!C:C,B93,'Bill Wise'!H:H,"181-365 Days")</f>
        <v>0</v>
      </c>
      <c r="O93" s="9">
        <f>SUMIFS('Bill Wise'!I:I,'Bill Wise'!C:C,B93,'Bill Wise'!H:H,"Above 365 Days")</f>
        <v>0</v>
      </c>
      <c r="P93" s="9">
        <f t="shared" si="4"/>
        <v>200175.08</v>
      </c>
      <c r="Q93" s="9">
        <f t="shared" si="5"/>
        <v>0</v>
      </c>
    </row>
    <row r="94" spans="1:17" s="17" customFormat="1" x14ac:dyDescent="0.25">
      <c r="A94" s="7">
        <v>89</v>
      </c>
      <c r="B94" s="8" t="s">
        <v>195</v>
      </c>
      <c r="C94" s="8" t="s">
        <v>517</v>
      </c>
      <c r="D94" s="8" t="s">
        <v>995</v>
      </c>
      <c r="E94" s="8" t="s">
        <v>995</v>
      </c>
      <c r="F94" s="8"/>
      <c r="G94" s="9">
        <f>IFERROR(SUMIFS(TB!C:C,TB!A:A,B94)-SUMIFS(TB!B:B,TB!A:A,B94),0)</f>
        <v>202456</v>
      </c>
      <c r="H94" s="9">
        <f>SUMIFS('Bill Wise'!I:I,'Bill Wise'!C:C,B94,'Bill Wise'!H:H,"0-30 Days")</f>
        <v>0</v>
      </c>
      <c r="I94" s="9">
        <f>SUMIFS('Bill Wise'!I:I,'Bill Wise'!C:C,B94,'Bill Wise'!H:H,"31-60 Days")</f>
        <v>0</v>
      </c>
      <c r="J94" s="9">
        <f>SUMIFS('Bill Wise'!I:I,'Bill Wise'!C:C,B94,'Bill Wise'!H:H,"61-90 Days")</f>
        <v>0</v>
      </c>
      <c r="K94" s="9">
        <f>SUMIFS('Bill Wise'!I:I,'Bill Wise'!C:C,B94,'Bill Wise'!H:H,"91-120 Days")</f>
        <v>0</v>
      </c>
      <c r="L94" s="9">
        <f>SUMIFS('Bill Wise'!I:I,'Bill Wise'!C:C,B94,'Bill Wise'!H:H,"121-150 Days")</f>
        <v>202456</v>
      </c>
      <c r="M94" s="9">
        <f>SUMIFS('Bill Wise'!I:I,'Bill Wise'!C:C,B94,'Bill Wise'!H:H,"151-180 Days")</f>
        <v>0</v>
      </c>
      <c r="N94" s="9">
        <f>SUMIFS('Bill Wise'!I:I,'Bill Wise'!C:C,B94,'Bill Wise'!H:H,"181-365 Days")</f>
        <v>0</v>
      </c>
      <c r="O94" s="9">
        <f>SUMIFS('Bill Wise'!I:I,'Bill Wise'!C:C,B94,'Bill Wise'!H:H,"Above 365 Days")</f>
        <v>0</v>
      </c>
      <c r="P94" s="9">
        <f t="shared" si="4"/>
        <v>202456</v>
      </c>
      <c r="Q94" s="9">
        <f t="shared" si="5"/>
        <v>0</v>
      </c>
    </row>
    <row r="95" spans="1:17" s="17" customFormat="1" x14ac:dyDescent="0.25">
      <c r="A95" s="7">
        <v>90</v>
      </c>
      <c r="B95" s="8" t="s">
        <v>95</v>
      </c>
      <c r="C95" s="8" t="s">
        <v>977</v>
      </c>
      <c r="D95" s="8" t="s">
        <v>971</v>
      </c>
      <c r="E95" s="8" t="s">
        <v>972</v>
      </c>
      <c r="F95" s="8"/>
      <c r="G95" s="9">
        <f>IFERROR(SUMIFS(TB!C:C,TB!A:A,B95)-SUMIFS(TB!B:B,TB!A:A,B95),0)</f>
        <v>208400</v>
      </c>
      <c r="H95" s="9">
        <f>SUMIFS('Bill Wise'!I:I,'Bill Wise'!C:C,B95,'Bill Wise'!H:H,"0-30 Days")</f>
        <v>0</v>
      </c>
      <c r="I95" s="9">
        <f>SUMIFS('Bill Wise'!I:I,'Bill Wise'!C:C,B95,'Bill Wise'!H:H,"31-60 Days")</f>
        <v>208400</v>
      </c>
      <c r="J95" s="9">
        <f>SUMIFS('Bill Wise'!I:I,'Bill Wise'!C:C,B95,'Bill Wise'!H:H,"61-90 Days")</f>
        <v>0</v>
      </c>
      <c r="K95" s="9">
        <f>SUMIFS('Bill Wise'!I:I,'Bill Wise'!C:C,B95,'Bill Wise'!H:H,"91-120 Days")</f>
        <v>0</v>
      </c>
      <c r="L95" s="9">
        <f>SUMIFS('Bill Wise'!I:I,'Bill Wise'!C:C,B95,'Bill Wise'!H:H,"121-150 Days")</f>
        <v>0</v>
      </c>
      <c r="M95" s="9">
        <f>SUMIFS('Bill Wise'!I:I,'Bill Wise'!C:C,B95,'Bill Wise'!H:H,"151-180 Days")</f>
        <v>0</v>
      </c>
      <c r="N95" s="9">
        <f>SUMIFS('Bill Wise'!I:I,'Bill Wise'!C:C,B95,'Bill Wise'!H:H,"181-365 Days")</f>
        <v>0</v>
      </c>
      <c r="O95" s="9">
        <f>SUMIFS('Bill Wise'!I:I,'Bill Wise'!C:C,B95,'Bill Wise'!H:H,"Above 365 Days")</f>
        <v>0</v>
      </c>
      <c r="P95" s="9">
        <f t="shared" si="4"/>
        <v>208400</v>
      </c>
      <c r="Q95" s="9">
        <f t="shared" si="5"/>
        <v>0</v>
      </c>
    </row>
    <row r="96" spans="1:17" s="17" customFormat="1" x14ac:dyDescent="0.25">
      <c r="A96" s="7">
        <v>91</v>
      </c>
      <c r="B96" s="8" t="s">
        <v>200</v>
      </c>
      <c r="C96" s="8" t="s">
        <v>985</v>
      </c>
      <c r="D96" s="8" t="s">
        <v>971</v>
      </c>
      <c r="E96" s="8" t="s">
        <v>976</v>
      </c>
      <c r="F96" s="8"/>
      <c r="G96" s="9">
        <f>IFERROR(SUMIFS(TB!C:C,TB!A:A,B96)-SUMIFS(TB!B:B,TB!A:A,B96),0)</f>
        <v>212695</v>
      </c>
      <c r="H96" s="9">
        <f>SUMIFS('Bill Wise'!I:I,'Bill Wise'!C:C,B96,'Bill Wise'!H:H,"0-30 Days")</f>
        <v>57820</v>
      </c>
      <c r="I96" s="9">
        <f>SUMIFS('Bill Wise'!I:I,'Bill Wise'!C:C,B96,'Bill Wise'!H:H,"31-60 Days")</f>
        <v>0</v>
      </c>
      <c r="J96" s="9">
        <f>SUMIFS('Bill Wise'!I:I,'Bill Wise'!C:C,B96,'Bill Wise'!H:H,"61-90 Days")</f>
        <v>0</v>
      </c>
      <c r="K96" s="9">
        <f>SUMIFS('Bill Wise'!I:I,'Bill Wise'!C:C,B96,'Bill Wise'!H:H,"91-120 Days")</f>
        <v>0</v>
      </c>
      <c r="L96" s="9">
        <f>SUMIFS('Bill Wise'!I:I,'Bill Wise'!C:C,B96,'Bill Wise'!H:H,"121-150 Days")</f>
        <v>154875</v>
      </c>
      <c r="M96" s="9">
        <f>SUMIFS('Bill Wise'!I:I,'Bill Wise'!C:C,B96,'Bill Wise'!H:H,"151-180 Days")</f>
        <v>0</v>
      </c>
      <c r="N96" s="9">
        <f>SUMIFS('Bill Wise'!I:I,'Bill Wise'!C:C,B96,'Bill Wise'!H:H,"181-365 Days")</f>
        <v>0</v>
      </c>
      <c r="O96" s="9">
        <f>SUMIFS('Bill Wise'!I:I,'Bill Wise'!C:C,B96,'Bill Wise'!H:H,"Above 365 Days")</f>
        <v>0</v>
      </c>
      <c r="P96" s="9">
        <f t="shared" si="4"/>
        <v>212695</v>
      </c>
      <c r="Q96" s="9">
        <f t="shared" si="5"/>
        <v>0</v>
      </c>
    </row>
    <row r="97" spans="1:17" s="17" customFormat="1" x14ac:dyDescent="0.25">
      <c r="A97" s="7">
        <v>92</v>
      </c>
      <c r="B97" s="8" t="s">
        <v>155</v>
      </c>
      <c r="C97" s="8" t="s">
        <v>989</v>
      </c>
      <c r="D97" s="8" t="s">
        <v>995</v>
      </c>
      <c r="E97" s="8" t="s">
        <v>995</v>
      </c>
      <c r="F97" s="8"/>
      <c r="G97" s="9">
        <f>IFERROR(SUMIFS(TB!C:C,TB!A:A,B97)-SUMIFS(TB!B:B,TB!A:A,B97),0)</f>
        <v>227360</v>
      </c>
      <c r="H97" s="9">
        <f>SUMIFS('Bill Wise'!I:I,'Bill Wise'!C:C,B97,'Bill Wise'!H:H,"0-30 Days")</f>
        <v>227360</v>
      </c>
      <c r="I97" s="9">
        <f>SUMIFS('Bill Wise'!I:I,'Bill Wise'!C:C,B97,'Bill Wise'!H:H,"31-60 Days")</f>
        <v>0</v>
      </c>
      <c r="J97" s="9">
        <f>SUMIFS('Bill Wise'!I:I,'Bill Wise'!C:C,B97,'Bill Wise'!H:H,"61-90 Days")</f>
        <v>0</v>
      </c>
      <c r="K97" s="9">
        <f>SUMIFS('Bill Wise'!I:I,'Bill Wise'!C:C,B97,'Bill Wise'!H:H,"91-120 Days")</f>
        <v>0</v>
      </c>
      <c r="L97" s="9">
        <f>SUMIFS('Bill Wise'!I:I,'Bill Wise'!C:C,B97,'Bill Wise'!H:H,"121-150 Days")</f>
        <v>0</v>
      </c>
      <c r="M97" s="9">
        <f>SUMIFS('Bill Wise'!I:I,'Bill Wise'!C:C,B97,'Bill Wise'!H:H,"151-180 Days")</f>
        <v>0</v>
      </c>
      <c r="N97" s="9">
        <f>SUMIFS('Bill Wise'!I:I,'Bill Wise'!C:C,B97,'Bill Wise'!H:H,"181-365 Days")</f>
        <v>0</v>
      </c>
      <c r="O97" s="9">
        <f>SUMIFS('Bill Wise'!I:I,'Bill Wise'!C:C,B97,'Bill Wise'!H:H,"Above 365 Days")</f>
        <v>0</v>
      </c>
      <c r="P97" s="9">
        <f t="shared" si="4"/>
        <v>227360</v>
      </c>
      <c r="Q97" s="9">
        <f t="shared" si="5"/>
        <v>0</v>
      </c>
    </row>
    <row r="98" spans="1:17" s="17" customFormat="1" x14ac:dyDescent="0.25">
      <c r="A98" s="7">
        <v>93</v>
      </c>
      <c r="B98" s="8" t="s">
        <v>36</v>
      </c>
      <c r="C98" s="8" t="s">
        <v>985</v>
      </c>
      <c r="D98" s="8" t="s">
        <v>988</v>
      </c>
      <c r="E98" s="8" t="s">
        <v>977</v>
      </c>
      <c r="F98" s="8"/>
      <c r="G98" s="9">
        <f>IFERROR(SUMIFS(TB!C:C,TB!A:A,B98)-SUMIFS(TB!B:B,TB!A:A,B98),0)</f>
        <v>239300</v>
      </c>
      <c r="H98" s="9">
        <f>SUMIFS('Bill Wise'!I:I,'Bill Wise'!C:C,B98,'Bill Wise'!H:H,"0-30 Days")</f>
        <v>0</v>
      </c>
      <c r="I98" s="9">
        <f>SUMIFS('Bill Wise'!I:I,'Bill Wise'!C:C,B98,'Bill Wise'!H:H,"31-60 Days")</f>
        <v>0</v>
      </c>
      <c r="J98" s="9">
        <f>SUMIFS('Bill Wise'!I:I,'Bill Wise'!C:C,B98,'Bill Wise'!H:H,"61-90 Days")</f>
        <v>0</v>
      </c>
      <c r="K98" s="9">
        <f>SUMIFS('Bill Wise'!I:I,'Bill Wise'!C:C,B98,'Bill Wise'!H:H,"91-120 Days")</f>
        <v>0</v>
      </c>
      <c r="L98" s="9">
        <f>SUMIFS('Bill Wise'!I:I,'Bill Wise'!C:C,B98,'Bill Wise'!H:H,"121-150 Days")</f>
        <v>239300</v>
      </c>
      <c r="M98" s="9">
        <f>SUMIFS('Bill Wise'!I:I,'Bill Wise'!C:C,B98,'Bill Wise'!H:H,"151-180 Days")</f>
        <v>0</v>
      </c>
      <c r="N98" s="9">
        <f>SUMIFS('Bill Wise'!I:I,'Bill Wise'!C:C,B98,'Bill Wise'!H:H,"181-365 Days")</f>
        <v>0</v>
      </c>
      <c r="O98" s="9">
        <f>SUMIFS('Bill Wise'!I:I,'Bill Wise'!C:C,B98,'Bill Wise'!H:H,"Above 365 Days")</f>
        <v>0</v>
      </c>
      <c r="P98" s="9">
        <f t="shared" si="4"/>
        <v>239300</v>
      </c>
      <c r="Q98" s="9">
        <f t="shared" si="5"/>
        <v>0</v>
      </c>
    </row>
    <row r="99" spans="1:17" s="17" customFormat="1" x14ac:dyDescent="0.25">
      <c r="A99" s="7">
        <v>94</v>
      </c>
      <c r="B99" s="8" t="s">
        <v>80</v>
      </c>
      <c r="C99" s="8" t="s">
        <v>319</v>
      </c>
      <c r="D99" s="8" t="s">
        <v>980</v>
      </c>
      <c r="E99" s="8" t="s">
        <v>980</v>
      </c>
      <c r="F99" s="8"/>
      <c r="G99" s="9">
        <f>IFERROR(SUMIFS(TB!C:C,TB!A:A,B99)-SUMIFS(TB!B:B,TB!A:A,B99),0)</f>
        <v>249687</v>
      </c>
      <c r="H99" s="9">
        <f>SUMIFS('Bill Wise'!I:I,'Bill Wise'!C:C,B99,'Bill Wise'!H:H,"0-30 Days")</f>
        <v>249687</v>
      </c>
      <c r="I99" s="9">
        <f>SUMIFS('Bill Wise'!I:I,'Bill Wise'!C:C,B99,'Bill Wise'!H:H,"31-60 Days")</f>
        <v>0</v>
      </c>
      <c r="J99" s="9">
        <f>SUMIFS('Bill Wise'!I:I,'Bill Wise'!C:C,B99,'Bill Wise'!H:H,"61-90 Days")</f>
        <v>0</v>
      </c>
      <c r="K99" s="9">
        <f>SUMIFS('Bill Wise'!I:I,'Bill Wise'!C:C,B99,'Bill Wise'!H:H,"91-120 Days")</f>
        <v>0</v>
      </c>
      <c r="L99" s="9">
        <f>SUMIFS('Bill Wise'!I:I,'Bill Wise'!C:C,B99,'Bill Wise'!H:H,"121-150 Days")</f>
        <v>0</v>
      </c>
      <c r="M99" s="9">
        <f>SUMIFS('Bill Wise'!I:I,'Bill Wise'!C:C,B99,'Bill Wise'!H:H,"151-180 Days")</f>
        <v>0</v>
      </c>
      <c r="N99" s="9">
        <f>SUMIFS('Bill Wise'!I:I,'Bill Wise'!C:C,B99,'Bill Wise'!H:H,"181-365 Days")</f>
        <v>0</v>
      </c>
      <c r="O99" s="9">
        <f>SUMIFS('Bill Wise'!I:I,'Bill Wise'!C:C,B99,'Bill Wise'!H:H,"Above 365 Days")</f>
        <v>0</v>
      </c>
      <c r="P99" s="9">
        <f t="shared" ref="P99:P130" si="6">SUM(H99:O99)</f>
        <v>249687</v>
      </c>
      <c r="Q99" s="9">
        <f t="shared" ref="Q99:Q130" si="7">G99-P99</f>
        <v>0</v>
      </c>
    </row>
    <row r="100" spans="1:17" s="17" customFormat="1" x14ac:dyDescent="0.25">
      <c r="A100" s="7">
        <v>95</v>
      </c>
      <c r="B100" s="8" t="s">
        <v>137</v>
      </c>
      <c r="C100" s="8" t="s">
        <v>317</v>
      </c>
      <c r="D100" s="8" t="s">
        <v>971</v>
      </c>
      <c r="E100" s="8" t="s">
        <v>1001</v>
      </c>
      <c r="F100" s="8"/>
      <c r="G100" s="9">
        <f>IFERROR(SUMIFS(TB!C:C,TB!A:A,B100)-SUMIFS(TB!B:B,TB!A:A,B100),0)</f>
        <v>263520</v>
      </c>
      <c r="H100" s="9">
        <f>SUMIFS('Bill Wise'!I:I,'Bill Wise'!C:C,B100,'Bill Wise'!H:H,"0-30 Days")</f>
        <v>0</v>
      </c>
      <c r="I100" s="9">
        <f>SUMIFS('Bill Wise'!I:I,'Bill Wise'!C:C,B100,'Bill Wise'!H:H,"31-60 Days")</f>
        <v>0</v>
      </c>
      <c r="J100" s="9">
        <f>SUMIFS('Bill Wise'!I:I,'Bill Wise'!C:C,B100,'Bill Wise'!H:H,"61-90 Days")</f>
        <v>0</v>
      </c>
      <c r="K100" s="9">
        <f>SUMIFS('Bill Wise'!I:I,'Bill Wise'!C:C,B100,'Bill Wise'!H:H,"91-120 Days")</f>
        <v>0</v>
      </c>
      <c r="L100" s="9">
        <f>SUMIFS('Bill Wise'!I:I,'Bill Wise'!C:C,B100,'Bill Wise'!H:H,"121-150 Days")</f>
        <v>263520</v>
      </c>
      <c r="M100" s="9">
        <f>SUMIFS('Bill Wise'!I:I,'Bill Wise'!C:C,B100,'Bill Wise'!H:H,"151-180 Days")</f>
        <v>0</v>
      </c>
      <c r="N100" s="9">
        <f>SUMIFS('Bill Wise'!I:I,'Bill Wise'!C:C,B100,'Bill Wise'!H:H,"181-365 Days")</f>
        <v>0</v>
      </c>
      <c r="O100" s="9">
        <f>SUMIFS('Bill Wise'!I:I,'Bill Wise'!C:C,B100,'Bill Wise'!H:H,"Above 365 Days")</f>
        <v>0</v>
      </c>
      <c r="P100" s="9">
        <f t="shared" si="6"/>
        <v>263520</v>
      </c>
      <c r="Q100" s="9">
        <f t="shared" si="7"/>
        <v>0</v>
      </c>
    </row>
    <row r="101" spans="1:17" s="17" customFormat="1" x14ac:dyDescent="0.25">
      <c r="A101" s="7">
        <v>96</v>
      </c>
      <c r="B101" s="8" t="s">
        <v>68</v>
      </c>
      <c r="C101" s="8" t="s">
        <v>321</v>
      </c>
      <c r="D101" s="8" t="s">
        <v>971</v>
      </c>
      <c r="E101" s="8" t="s">
        <v>976</v>
      </c>
      <c r="F101" s="8"/>
      <c r="G101" s="9">
        <f>IFERROR(SUMIFS(TB!C:C,TB!A:A,B101)-SUMIFS(TB!B:B,TB!A:A,B101),0)</f>
        <v>274308</v>
      </c>
      <c r="H101" s="9">
        <f>SUMIFS('Bill Wise'!I:I,'Bill Wise'!C:C,B101,'Bill Wise'!H:H,"0-30 Days")</f>
        <v>233244</v>
      </c>
      <c r="I101" s="9">
        <f>SUMIFS('Bill Wise'!I:I,'Bill Wise'!C:C,B101,'Bill Wise'!H:H,"31-60 Days")</f>
        <v>41064</v>
      </c>
      <c r="J101" s="9">
        <f>SUMIFS('Bill Wise'!I:I,'Bill Wise'!C:C,B101,'Bill Wise'!H:H,"61-90 Days")</f>
        <v>0</v>
      </c>
      <c r="K101" s="9">
        <f>SUMIFS('Bill Wise'!I:I,'Bill Wise'!C:C,B101,'Bill Wise'!H:H,"91-120 Days")</f>
        <v>0</v>
      </c>
      <c r="L101" s="9">
        <f>SUMIFS('Bill Wise'!I:I,'Bill Wise'!C:C,B101,'Bill Wise'!H:H,"121-150 Days")</f>
        <v>0</v>
      </c>
      <c r="M101" s="9">
        <f>SUMIFS('Bill Wise'!I:I,'Bill Wise'!C:C,B101,'Bill Wise'!H:H,"151-180 Days")</f>
        <v>0</v>
      </c>
      <c r="N101" s="9">
        <f>SUMIFS('Bill Wise'!I:I,'Bill Wise'!C:C,B101,'Bill Wise'!H:H,"181-365 Days")</f>
        <v>0</v>
      </c>
      <c r="O101" s="9">
        <f>SUMIFS('Bill Wise'!I:I,'Bill Wise'!C:C,B101,'Bill Wise'!H:H,"Above 365 Days")</f>
        <v>0</v>
      </c>
      <c r="P101" s="9">
        <f t="shared" si="6"/>
        <v>274308</v>
      </c>
      <c r="Q101" s="9">
        <f t="shared" si="7"/>
        <v>0</v>
      </c>
    </row>
    <row r="102" spans="1:17" s="17" customFormat="1" x14ac:dyDescent="0.25">
      <c r="A102" s="7">
        <v>97</v>
      </c>
      <c r="B102" s="8" t="s">
        <v>15</v>
      </c>
      <c r="C102" s="8" t="s">
        <v>977</v>
      </c>
      <c r="D102" s="8" t="s">
        <v>974</v>
      </c>
      <c r="E102" s="8" t="s">
        <v>975</v>
      </c>
      <c r="F102" s="8"/>
      <c r="G102" s="9">
        <f>IFERROR(SUMIFS(TB!C:C,TB!A:A,B102)-SUMIFS(TB!B:B,TB!A:A,B102),0)</f>
        <v>300000.02</v>
      </c>
      <c r="H102" s="9">
        <f>SUMIFS('Bill Wise'!I:I,'Bill Wise'!C:C,B102,'Bill Wise'!H:H,"0-30 Days")</f>
        <v>0</v>
      </c>
      <c r="I102" s="9">
        <f>SUMIFS('Bill Wise'!I:I,'Bill Wise'!C:C,B102,'Bill Wise'!H:H,"31-60 Days")</f>
        <v>0</v>
      </c>
      <c r="J102" s="9">
        <f>SUMIFS('Bill Wise'!I:I,'Bill Wise'!C:C,B102,'Bill Wise'!H:H,"61-90 Days")</f>
        <v>0</v>
      </c>
      <c r="K102" s="9">
        <f>SUMIFS('Bill Wise'!I:I,'Bill Wise'!C:C,B102,'Bill Wise'!H:H,"91-120 Days")</f>
        <v>0</v>
      </c>
      <c r="L102" s="9">
        <f>SUMIFS('Bill Wise'!I:I,'Bill Wise'!C:C,B102,'Bill Wise'!H:H,"121-150 Days")</f>
        <v>0</v>
      </c>
      <c r="M102" s="9">
        <f>SUMIFS('Bill Wise'!I:I,'Bill Wise'!C:C,B102,'Bill Wise'!H:H,"151-180 Days")</f>
        <v>0</v>
      </c>
      <c r="N102" s="9">
        <f>SUMIFS('Bill Wise'!I:I,'Bill Wise'!C:C,B102,'Bill Wise'!H:H,"181-365 Days")</f>
        <v>300000.02</v>
      </c>
      <c r="O102" s="9">
        <f>SUMIFS('Bill Wise'!I:I,'Bill Wise'!C:C,B102,'Bill Wise'!H:H,"Above 365 Days")</f>
        <v>0</v>
      </c>
      <c r="P102" s="9">
        <f t="shared" si="6"/>
        <v>300000.02</v>
      </c>
      <c r="Q102" s="9">
        <f t="shared" si="7"/>
        <v>0</v>
      </c>
    </row>
    <row r="103" spans="1:17" s="17" customFormat="1" x14ac:dyDescent="0.25">
      <c r="A103" s="7">
        <v>98</v>
      </c>
      <c r="B103" s="8" t="s">
        <v>88</v>
      </c>
      <c r="C103" s="8" t="s">
        <v>312</v>
      </c>
      <c r="D103" s="8" t="s">
        <v>974</v>
      </c>
      <c r="E103" s="8" t="s">
        <v>975</v>
      </c>
      <c r="F103" s="8"/>
      <c r="G103" s="9">
        <f>IFERROR(SUMIFS(TB!C:C,TB!A:A,B103)-SUMIFS(TB!B:B,TB!A:A,B103),0)</f>
        <v>300000.7</v>
      </c>
      <c r="H103" s="9">
        <f>SUMIFS('Bill Wise'!I:I,'Bill Wise'!C:C,B103,'Bill Wise'!H:H,"0-30 Days")</f>
        <v>0</v>
      </c>
      <c r="I103" s="9">
        <f>SUMIFS('Bill Wise'!I:I,'Bill Wise'!C:C,B103,'Bill Wise'!H:H,"31-60 Days")</f>
        <v>0</v>
      </c>
      <c r="J103" s="9">
        <f>SUMIFS('Bill Wise'!I:I,'Bill Wise'!C:C,B103,'Bill Wise'!H:H,"61-90 Days")</f>
        <v>0</v>
      </c>
      <c r="K103" s="9">
        <f>SUMIFS('Bill Wise'!I:I,'Bill Wise'!C:C,B103,'Bill Wise'!H:H,"91-120 Days")</f>
        <v>0</v>
      </c>
      <c r="L103" s="9">
        <f>SUMIFS('Bill Wise'!I:I,'Bill Wise'!C:C,B103,'Bill Wise'!H:H,"121-150 Days")</f>
        <v>0</v>
      </c>
      <c r="M103" s="9">
        <f>SUMIFS('Bill Wise'!I:I,'Bill Wise'!C:C,B103,'Bill Wise'!H:H,"151-180 Days")</f>
        <v>0</v>
      </c>
      <c r="N103" s="9">
        <f>SUMIFS('Bill Wise'!I:I,'Bill Wise'!C:C,B103,'Bill Wise'!H:H,"181-365 Days")</f>
        <v>0</v>
      </c>
      <c r="O103" s="9">
        <f>SUMIFS('Bill Wise'!I:I,'Bill Wise'!C:C,B103,'Bill Wise'!H:H,"Above 365 Days")</f>
        <v>300000.7</v>
      </c>
      <c r="P103" s="9">
        <f t="shared" si="6"/>
        <v>300000.7</v>
      </c>
      <c r="Q103" s="9">
        <f t="shared" si="7"/>
        <v>0</v>
      </c>
    </row>
    <row r="104" spans="1:17" s="17" customFormat="1" x14ac:dyDescent="0.25">
      <c r="A104" s="7">
        <v>99</v>
      </c>
      <c r="B104" s="8" t="s">
        <v>49</v>
      </c>
      <c r="C104" s="8" t="s">
        <v>312</v>
      </c>
      <c r="D104" s="8" t="s">
        <v>974</v>
      </c>
      <c r="E104" s="8" t="s">
        <v>975</v>
      </c>
      <c r="F104" s="8"/>
      <c r="G104" s="9">
        <f>IFERROR(SUMIFS(TB!C:C,TB!A:A,B104)-SUMIFS(TB!B:B,TB!A:A,B104),0)</f>
        <v>310552.2</v>
      </c>
      <c r="H104" s="9">
        <f>SUMIFS('Bill Wise'!I:I,'Bill Wise'!C:C,B104,'Bill Wise'!H:H,"0-30 Days")</f>
        <v>0</v>
      </c>
      <c r="I104" s="9">
        <f>SUMIFS('Bill Wise'!I:I,'Bill Wise'!C:C,B104,'Bill Wise'!H:H,"31-60 Days")</f>
        <v>0</v>
      </c>
      <c r="J104" s="9">
        <f>SUMIFS('Bill Wise'!I:I,'Bill Wise'!C:C,B104,'Bill Wise'!H:H,"61-90 Days")</f>
        <v>0</v>
      </c>
      <c r="K104" s="9">
        <f>SUMIFS('Bill Wise'!I:I,'Bill Wise'!C:C,B104,'Bill Wise'!H:H,"91-120 Days")</f>
        <v>0</v>
      </c>
      <c r="L104" s="9">
        <f>SUMIFS('Bill Wise'!I:I,'Bill Wise'!C:C,B104,'Bill Wise'!H:H,"121-150 Days")</f>
        <v>0</v>
      </c>
      <c r="M104" s="9">
        <f>SUMIFS('Bill Wise'!I:I,'Bill Wise'!C:C,B104,'Bill Wise'!H:H,"151-180 Days")</f>
        <v>0</v>
      </c>
      <c r="N104" s="9">
        <f>SUMIFS('Bill Wise'!I:I,'Bill Wise'!C:C,B104,'Bill Wise'!H:H,"181-365 Days")</f>
        <v>0</v>
      </c>
      <c r="O104" s="9">
        <f>SUMIFS('Bill Wise'!I:I,'Bill Wise'!C:C,B104,'Bill Wise'!H:H,"Above 365 Days")</f>
        <v>310552.2</v>
      </c>
      <c r="P104" s="9">
        <f t="shared" si="6"/>
        <v>310552.2</v>
      </c>
      <c r="Q104" s="9">
        <f t="shared" si="7"/>
        <v>0</v>
      </c>
    </row>
    <row r="105" spans="1:17" s="17" customFormat="1" x14ac:dyDescent="0.25">
      <c r="A105" s="7">
        <v>100</v>
      </c>
      <c r="B105" s="8" t="s">
        <v>1064</v>
      </c>
      <c r="C105" s="8" t="s">
        <v>347</v>
      </c>
      <c r="D105" s="8" t="s">
        <v>971</v>
      </c>
      <c r="E105" s="8" t="s">
        <v>990</v>
      </c>
      <c r="F105" s="8"/>
      <c r="G105" s="9">
        <f>IFERROR(SUMIFS(TB!C:C,TB!A:A,B105)-SUMIFS(TB!B:B,TB!A:A,B105),0)</f>
        <v>330568.7</v>
      </c>
      <c r="H105" s="9">
        <f>SUMIFS('Bill Wise'!I:I,'Bill Wise'!C:C,B105,'Bill Wise'!H:H,"0-30 Days")</f>
        <v>330568.7</v>
      </c>
      <c r="I105" s="9">
        <f>SUMIFS('Bill Wise'!I:I,'Bill Wise'!C:C,B105,'Bill Wise'!H:H,"31-60 Days")</f>
        <v>0</v>
      </c>
      <c r="J105" s="9">
        <f>SUMIFS('Bill Wise'!I:I,'Bill Wise'!C:C,B105,'Bill Wise'!H:H,"61-90 Days")</f>
        <v>0</v>
      </c>
      <c r="K105" s="9">
        <f>SUMIFS('Bill Wise'!I:I,'Bill Wise'!C:C,B105,'Bill Wise'!H:H,"91-120 Days")</f>
        <v>0</v>
      </c>
      <c r="L105" s="9">
        <f>SUMIFS('Bill Wise'!I:I,'Bill Wise'!C:C,B105,'Bill Wise'!H:H,"121-150 Days")</f>
        <v>0</v>
      </c>
      <c r="M105" s="9">
        <f>SUMIFS('Bill Wise'!I:I,'Bill Wise'!C:C,B105,'Bill Wise'!H:H,"151-180 Days")</f>
        <v>0</v>
      </c>
      <c r="N105" s="9">
        <f>SUMIFS('Bill Wise'!I:I,'Bill Wise'!C:C,B105,'Bill Wise'!H:H,"181-365 Days")</f>
        <v>0</v>
      </c>
      <c r="O105" s="9">
        <f>SUMIFS('Bill Wise'!I:I,'Bill Wise'!C:C,B105,'Bill Wise'!H:H,"Above 365 Days")</f>
        <v>0</v>
      </c>
      <c r="P105" s="9">
        <f t="shared" si="6"/>
        <v>330568.7</v>
      </c>
      <c r="Q105" s="9">
        <f t="shared" si="7"/>
        <v>0</v>
      </c>
    </row>
    <row r="106" spans="1:17" s="17" customFormat="1" x14ac:dyDescent="0.25">
      <c r="A106" s="7">
        <v>101</v>
      </c>
      <c r="B106" s="8" t="s">
        <v>180</v>
      </c>
      <c r="C106" s="8" t="s">
        <v>973</v>
      </c>
      <c r="D106" s="8" t="s">
        <v>995</v>
      </c>
      <c r="E106" s="8" t="s">
        <v>995</v>
      </c>
      <c r="F106" s="8"/>
      <c r="G106" s="9">
        <f>IFERROR(SUMIFS(TB!C:C,TB!A:A,B106)-SUMIFS(TB!B:B,TB!A:A,B106),0)</f>
        <v>337357</v>
      </c>
      <c r="H106" s="9">
        <f>SUMIFS('Bill Wise'!I:I,'Bill Wise'!C:C,B106,'Bill Wise'!H:H,"0-30 Days")</f>
        <v>0</v>
      </c>
      <c r="I106" s="9">
        <f>SUMIFS('Bill Wise'!I:I,'Bill Wise'!C:C,B106,'Bill Wise'!H:H,"31-60 Days")</f>
        <v>0</v>
      </c>
      <c r="J106" s="9">
        <f>SUMIFS('Bill Wise'!I:I,'Bill Wise'!C:C,B106,'Bill Wise'!H:H,"61-90 Days")</f>
        <v>0</v>
      </c>
      <c r="K106" s="9">
        <f>SUMIFS('Bill Wise'!I:I,'Bill Wise'!C:C,B106,'Bill Wise'!H:H,"91-120 Days")</f>
        <v>0</v>
      </c>
      <c r="L106" s="9">
        <f>SUMIFS('Bill Wise'!I:I,'Bill Wise'!C:C,B106,'Bill Wise'!H:H,"121-150 Days")</f>
        <v>337357</v>
      </c>
      <c r="M106" s="9">
        <f>SUMIFS('Bill Wise'!I:I,'Bill Wise'!C:C,B106,'Bill Wise'!H:H,"151-180 Days")</f>
        <v>0</v>
      </c>
      <c r="N106" s="9">
        <f>SUMIFS('Bill Wise'!I:I,'Bill Wise'!C:C,B106,'Bill Wise'!H:H,"181-365 Days")</f>
        <v>0</v>
      </c>
      <c r="O106" s="9">
        <f>SUMIFS('Bill Wise'!I:I,'Bill Wise'!C:C,B106,'Bill Wise'!H:H,"Above 365 Days")</f>
        <v>0</v>
      </c>
      <c r="P106" s="9">
        <f t="shared" si="6"/>
        <v>337357</v>
      </c>
      <c r="Q106" s="9">
        <f t="shared" si="7"/>
        <v>0</v>
      </c>
    </row>
    <row r="107" spans="1:17" s="17" customFormat="1" x14ac:dyDescent="0.25">
      <c r="A107" s="7">
        <v>102</v>
      </c>
      <c r="B107" s="8" t="s">
        <v>204</v>
      </c>
      <c r="C107" s="8" t="s">
        <v>321</v>
      </c>
      <c r="D107" s="8" t="s">
        <v>974</v>
      </c>
      <c r="E107" s="8" t="s">
        <v>975</v>
      </c>
      <c r="F107" s="8"/>
      <c r="G107" s="9">
        <f>IFERROR(SUMIFS(TB!C:C,TB!A:A,B107)-SUMIFS(TB!B:B,TB!A:A,B107),0)</f>
        <v>345510</v>
      </c>
      <c r="H107" s="9">
        <f>SUMIFS('Bill Wise'!I:I,'Bill Wise'!C:C,B107,'Bill Wise'!H:H,"0-30 Days")</f>
        <v>345510</v>
      </c>
      <c r="I107" s="9">
        <f>SUMIFS('Bill Wise'!I:I,'Bill Wise'!C:C,B107,'Bill Wise'!H:H,"31-60 Days")</f>
        <v>0</v>
      </c>
      <c r="J107" s="9">
        <f>SUMIFS('Bill Wise'!I:I,'Bill Wise'!C:C,B107,'Bill Wise'!H:H,"61-90 Days")</f>
        <v>0</v>
      </c>
      <c r="K107" s="9">
        <f>SUMIFS('Bill Wise'!I:I,'Bill Wise'!C:C,B107,'Bill Wise'!H:H,"91-120 Days")</f>
        <v>0</v>
      </c>
      <c r="L107" s="9">
        <f>SUMIFS('Bill Wise'!I:I,'Bill Wise'!C:C,B107,'Bill Wise'!H:H,"121-150 Days")</f>
        <v>0</v>
      </c>
      <c r="M107" s="9">
        <f>SUMIFS('Bill Wise'!I:I,'Bill Wise'!C:C,B107,'Bill Wise'!H:H,"151-180 Days")</f>
        <v>0</v>
      </c>
      <c r="N107" s="9">
        <f>SUMIFS('Bill Wise'!I:I,'Bill Wise'!C:C,B107,'Bill Wise'!H:H,"181-365 Days")</f>
        <v>0</v>
      </c>
      <c r="O107" s="9">
        <f>SUMIFS('Bill Wise'!I:I,'Bill Wise'!C:C,B107,'Bill Wise'!H:H,"Above 365 Days")</f>
        <v>0</v>
      </c>
      <c r="P107" s="9">
        <f t="shared" si="6"/>
        <v>345510</v>
      </c>
      <c r="Q107" s="9">
        <f t="shared" si="7"/>
        <v>0</v>
      </c>
    </row>
    <row r="108" spans="1:17" s="17" customFormat="1" x14ac:dyDescent="0.25">
      <c r="A108" s="7">
        <v>103</v>
      </c>
      <c r="B108" s="8" t="s">
        <v>175</v>
      </c>
      <c r="C108" s="8" t="s">
        <v>306</v>
      </c>
      <c r="D108" s="8" t="s">
        <v>971</v>
      </c>
      <c r="E108" s="8" t="s">
        <v>982</v>
      </c>
      <c r="F108" s="8"/>
      <c r="G108" s="9">
        <f>IFERROR(SUMIFS(TB!C:C,TB!A:A,B108)-SUMIFS(TB!B:B,TB!A:A,B108),0)</f>
        <v>350065.3</v>
      </c>
      <c r="H108" s="9">
        <f>SUMIFS('Bill Wise'!I:I,'Bill Wise'!C:C,B108,'Bill Wise'!H:H,"0-30 Days")</f>
        <v>350065.3</v>
      </c>
      <c r="I108" s="9">
        <f>SUMIFS('Bill Wise'!I:I,'Bill Wise'!C:C,B108,'Bill Wise'!H:H,"31-60 Days")</f>
        <v>0</v>
      </c>
      <c r="J108" s="9">
        <f>SUMIFS('Bill Wise'!I:I,'Bill Wise'!C:C,B108,'Bill Wise'!H:H,"61-90 Days")</f>
        <v>0</v>
      </c>
      <c r="K108" s="9">
        <f>SUMIFS('Bill Wise'!I:I,'Bill Wise'!C:C,B108,'Bill Wise'!H:H,"91-120 Days")</f>
        <v>0</v>
      </c>
      <c r="L108" s="9">
        <f>SUMIFS('Bill Wise'!I:I,'Bill Wise'!C:C,B108,'Bill Wise'!H:H,"121-150 Days")</f>
        <v>0</v>
      </c>
      <c r="M108" s="9">
        <f>SUMIFS('Bill Wise'!I:I,'Bill Wise'!C:C,B108,'Bill Wise'!H:H,"151-180 Days")</f>
        <v>0</v>
      </c>
      <c r="N108" s="9">
        <f>SUMIFS('Bill Wise'!I:I,'Bill Wise'!C:C,B108,'Bill Wise'!H:H,"181-365 Days")</f>
        <v>0</v>
      </c>
      <c r="O108" s="9">
        <f>SUMIFS('Bill Wise'!I:I,'Bill Wise'!C:C,B108,'Bill Wise'!H:H,"Above 365 Days")</f>
        <v>0</v>
      </c>
      <c r="P108" s="9">
        <f t="shared" si="6"/>
        <v>350065.3</v>
      </c>
      <c r="Q108" s="9">
        <f t="shared" si="7"/>
        <v>0</v>
      </c>
    </row>
    <row r="109" spans="1:17" s="17" customFormat="1" x14ac:dyDescent="0.25">
      <c r="A109" s="7">
        <v>104</v>
      </c>
      <c r="B109" s="8" t="s">
        <v>105</v>
      </c>
      <c r="C109" s="8" t="s">
        <v>977</v>
      </c>
      <c r="D109" s="8" t="s">
        <v>971</v>
      </c>
      <c r="E109" s="8" t="s">
        <v>990</v>
      </c>
      <c r="F109" s="8"/>
      <c r="G109" s="9">
        <f>IFERROR(SUMIFS(TB!C:C,TB!A:A,B109)-SUMIFS(TB!B:B,TB!A:A,B109),0)</f>
        <v>352640</v>
      </c>
      <c r="H109" s="9">
        <f>SUMIFS('Bill Wise'!I:I,'Bill Wise'!C:C,B109,'Bill Wise'!H:H,"0-30 Days")</f>
        <v>352640</v>
      </c>
      <c r="I109" s="9">
        <f>SUMIFS('Bill Wise'!I:I,'Bill Wise'!C:C,B109,'Bill Wise'!H:H,"31-60 Days")</f>
        <v>0</v>
      </c>
      <c r="J109" s="9">
        <f>SUMIFS('Bill Wise'!I:I,'Bill Wise'!C:C,B109,'Bill Wise'!H:H,"61-90 Days")</f>
        <v>0</v>
      </c>
      <c r="K109" s="9">
        <f>SUMIFS('Bill Wise'!I:I,'Bill Wise'!C:C,B109,'Bill Wise'!H:H,"91-120 Days")</f>
        <v>0</v>
      </c>
      <c r="L109" s="9">
        <f>SUMIFS('Bill Wise'!I:I,'Bill Wise'!C:C,B109,'Bill Wise'!H:H,"121-150 Days")</f>
        <v>0</v>
      </c>
      <c r="M109" s="9">
        <f>SUMIFS('Bill Wise'!I:I,'Bill Wise'!C:C,B109,'Bill Wise'!H:H,"151-180 Days")</f>
        <v>0</v>
      </c>
      <c r="N109" s="9">
        <f>SUMIFS('Bill Wise'!I:I,'Bill Wise'!C:C,B109,'Bill Wise'!H:H,"181-365 Days")</f>
        <v>0</v>
      </c>
      <c r="O109" s="9">
        <f>SUMIFS('Bill Wise'!I:I,'Bill Wise'!C:C,B109,'Bill Wise'!H:H,"Above 365 Days")</f>
        <v>0</v>
      </c>
      <c r="P109" s="9">
        <f t="shared" si="6"/>
        <v>352640</v>
      </c>
      <c r="Q109" s="9">
        <f t="shared" si="7"/>
        <v>0</v>
      </c>
    </row>
    <row r="110" spans="1:17" s="17" customFormat="1" x14ac:dyDescent="0.25">
      <c r="A110" s="7">
        <v>105</v>
      </c>
      <c r="B110" s="8" t="s">
        <v>91</v>
      </c>
      <c r="C110" s="8" t="s">
        <v>332</v>
      </c>
      <c r="D110" s="8" t="s">
        <v>980</v>
      </c>
      <c r="E110" s="8" t="s">
        <v>980</v>
      </c>
      <c r="F110" s="8"/>
      <c r="G110" s="9">
        <f>IFERROR(SUMIFS(TB!C:C,TB!A:A,B110)-SUMIFS(TB!B:B,TB!A:A,B110),0)</f>
        <v>355939.66</v>
      </c>
      <c r="H110" s="9">
        <f>SUMIFS('Bill Wise'!I:I,'Bill Wise'!C:C,B110,'Bill Wise'!H:H,"0-30 Days")</f>
        <v>112745.42</v>
      </c>
      <c r="I110" s="9">
        <f>SUMIFS('Bill Wise'!I:I,'Bill Wise'!C:C,B110,'Bill Wise'!H:H,"31-60 Days")</f>
        <v>243194.23999999999</v>
      </c>
      <c r="J110" s="9">
        <f>SUMIFS('Bill Wise'!I:I,'Bill Wise'!C:C,B110,'Bill Wise'!H:H,"61-90 Days")</f>
        <v>0</v>
      </c>
      <c r="K110" s="9">
        <f>SUMIFS('Bill Wise'!I:I,'Bill Wise'!C:C,B110,'Bill Wise'!H:H,"91-120 Days")</f>
        <v>0</v>
      </c>
      <c r="L110" s="9">
        <f>SUMIFS('Bill Wise'!I:I,'Bill Wise'!C:C,B110,'Bill Wise'!H:H,"121-150 Days")</f>
        <v>0</v>
      </c>
      <c r="M110" s="9">
        <f>SUMIFS('Bill Wise'!I:I,'Bill Wise'!C:C,B110,'Bill Wise'!H:H,"151-180 Days")</f>
        <v>0</v>
      </c>
      <c r="N110" s="9">
        <f>SUMIFS('Bill Wise'!I:I,'Bill Wise'!C:C,B110,'Bill Wise'!H:H,"181-365 Days")</f>
        <v>0</v>
      </c>
      <c r="O110" s="9">
        <f>SUMIFS('Bill Wise'!I:I,'Bill Wise'!C:C,B110,'Bill Wise'!H:H,"Above 365 Days")</f>
        <v>0</v>
      </c>
      <c r="P110" s="9">
        <f t="shared" si="6"/>
        <v>355939.66</v>
      </c>
      <c r="Q110" s="9">
        <f t="shared" si="7"/>
        <v>0</v>
      </c>
    </row>
    <row r="111" spans="1:17" s="17" customFormat="1" x14ac:dyDescent="0.25">
      <c r="A111" s="7">
        <v>106</v>
      </c>
      <c r="B111" s="8" t="s">
        <v>30</v>
      </c>
      <c r="C111" s="8" t="s">
        <v>986</v>
      </c>
      <c r="D111" s="8" t="s">
        <v>971</v>
      </c>
      <c r="E111" s="8" t="s">
        <v>981</v>
      </c>
      <c r="F111" s="8"/>
      <c r="G111" s="9">
        <f>IFERROR(SUMIFS(TB!C:C,TB!A:A,B111)-SUMIFS(TB!B:B,TB!A:A,B111),0)</f>
        <v>372600</v>
      </c>
      <c r="H111" s="9">
        <f>SUMIFS('Bill Wise'!I:I,'Bill Wise'!C:C,B111,'Bill Wise'!H:H,"0-30 Days")</f>
        <v>372600</v>
      </c>
      <c r="I111" s="9">
        <f>SUMIFS('Bill Wise'!I:I,'Bill Wise'!C:C,B111,'Bill Wise'!H:H,"31-60 Days")</f>
        <v>0</v>
      </c>
      <c r="J111" s="9">
        <f>SUMIFS('Bill Wise'!I:I,'Bill Wise'!C:C,B111,'Bill Wise'!H:H,"61-90 Days")</f>
        <v>0</v>
      </c>
      <c r="K111" s="9">
        <f>SUMIFS('Bill Wise'!I:I,'Bill Wise'!C:C,B111,'Bill Wise'!H:H,"91-120 Days")</f>
        <v>0</v>
      </c>
      <c r="L111" s="9">
        <f>SUMIFS('Bill Wise'!I:I,'Bill Wise'!C:C,B111,'Bill Wise'!H:H,"121-150 Days")</f>
        <v>0</v>
      </c>
      <c r="M111" s="9">
        <f>SUMIFS('Bill Wise'!I:I,'Bill Wise'!C:C,B111,'Bill Wise'!H:H,"151-180 Days")</f>
        <v>0</v>
      </c>
      <c r="N111" s="9">
        <f>SUMIFS('Bill Wise'!I:I,'Bill Wise'!C:C,B111,'Bill Wise'!H:H,"181-365 Days")</f>
        <v>0</v>
      </c>
      <c r="O111" s="9">
        <f>SUMIFS('Bill Wise'!I:I,'Bill Wise'!C:C,B111,'Bill Wise'!H:H,"Above 365 Days")</f>
        <v>0</v>
      </c>
      <c r="P111" s="9">
        <f t="shared" si="6"/>
        <v>372600</v>
      </c>
      <c r="Q111" s="9">
        <f t="shared" si="7"/>
        <v>0</v>
      </c>
    </row>
    <row r="112" spans="1:17" s="17" customFormat="1" x14ac:dyDescent="0.25">
      <c r="A112" s="7">
        <v>107</v>
      </c>
      <c r="B112" s="8" t="s">
        <v>183</v>
      </c>
      <c r="C112" s="8" t="s">
        <v>977</v>
      </c>
      <c r="D112" s="8" t="s">
        <v>971</v>
      </c>
      <c r="E112" s="8" t="s">
        <v>972</v>
      </c>
      <c r="F112" s="8"/>
      <c r="G112" s="9">
        <f>IFERROR(SUMIFS(TB!C:C,TB!A:A,B112)-SUMIFS(TB!B:B,TB!A:A,B112),0)</f>
        <v>413451.98</v>
      </c>
      <c r="H112" s="9">
        <f>SUMIFS('Bill Wise'!I:I,'Bill Wise'!C:C,B112,'Bill Wise'!H:H,"0-30 Days")</f>
        <v>413451.98</v>
      </c>
      <c r="I112" s="9">
        <f>SUMIFS('Bill Wise'!I:I,'Bill Wise'!C:C,B112,'Bill Wise'!H:H,"31-60 Days")</f>
        <v>0</v>
      </c>
      <c r="J112" s="9">
        <f>SUMIFS('Bill Wise'!I:I,'Bill Wise'!C:C,B112,'Bill Wise'!H:H,"61-90 Days")</f>
        <v>0</v>
      </c>
      <c r="K112" s="9">
        <f>SUMIFS('Bill Wise'!I:I,'Bill Wise'!C:C,B112,'Bill Wise'!H:H,"91-120 Days")</f>
        <v>0</v>
      </c>
      <c r="L112" s="9">
        <f>SUMIFS('Bill Wise'!I:I,'Bill Wise'!C:C,B112,'Bill Wise'!H:H,"121-150 Days")</f>
        <v>0</v>
      </c>
      <c r="M112" s="9">
        <f>SUMIFS('Bill Wise'!I:I,'Bill Wise'!C:C,B112,'Bill Wise'!H:H,"151-180 Days")</f>
        <v>0</v>
      </c>
      <c r="N112" s="9">
        <f>SUMIFS('Bill Wise'!I:I,'Bill Wise'!C:C,B112,'Bill Wise'!H:H,"181-365 Days")</f>
        <v>0</v>
      </c>
      <c r="O112" s="9">
        <f>SUMIFS('Bill Wise'!I:I,'Bill Wise'!C:C,B112,'Bill Wise'!H:H,"Above 365 Days")</f>
        <v>0</v>
      </c>
      <c r="P112" s="9">
        <f t="shared" si="6"/>
        <v>413451.98</v>
      </c>
      <c r="Q112" s="9">
        <f t="shared" si="7"/>
        <v>0</v>
      </c>
    </row>
    <row r="113" spans="1:17" s="17" customFormat="1" x14ac:dyDescent="0.25">
      <c r="A113" s="7">
        <v>108</v>
      </c>
      <c r="B113" s="8" t="s">
        <v>126</v>
      </c>
      <c r="C113" s="8" t="s">
        <v>977</v>
      </c>
      <c r="D113" s="8" t="s">
        <v>988</v>
      </c>
      <c r="E113" s="8">
        <v>0</v>
      </c>
      <c r="F113" s="8"/>
      <c r="G113" s="9">
        <f>IFERROR(SUMIFS(TB!C:C,TB!A:A,B113)-SUMIFS(TB!B:B,TB!A:A,B113),0)</f>
        <v>416074.92</v>
      </c>
      <c r="H113" s="9">
        <f>SUMIFS('Bill Wise'!I:I,'Bill Wise'!C:C,B113,'Bill Wise'!H:H,"0-30 Days")</f>
        <v>0</v>
      </c>
      <c r="I113" s="9">
        <f>SUMIFS('Bill Wise'!I:I,'Bill Wise'!C:C,B113,'Bill Wise'!H:H,"31-60 Days")</f>
        <v>416074.92</v>
      </c>
      <c r="J113" s="9">
        <f>SUMIFS('Bill Wise'!I:I,'Bill Wise'!C:C,B113,'Bill Wise'!H:H,"61-90 Days")</f>
        <v>0</v>
      </c>
      <c r="K113" s="9">
        <f>SUMIFS('Bill Wise'!I:I,'Bill Wise'!C:C,B113,'Bill Wise'!H:H,"91-120 Days")</f>
        <v>0</v>
      </c>
      <c r="L113" s="9">
        <f>SUMIFS('Bill Wise'!I:I,'Bill Wise'!C:C,B113,'Bill Wise'!H:H,"121-150 Days")</f>
        <v>0</v>
      </c>
      <c r="M113" s="9">
        <f>SUMIFS('Bill Wise'!I:I,'Bill Wise'!C:C,B113,'Bill Wise'!H:H,"151-180 Days")</f>
        <v>0</v>
      </c>
      <c r="N113" s="9">
        <f>SUMIFS('Bill Wise'!I:I,'Bill Wise'!C:C,B113,'Bill Wise'!H:H,"181-365 Days")</f>
        <v>0</v>
      </c>
      <c r="O113" s="9">
        <f>SUMIFS('Bill Wise'!I:I,'Bill Wise'!C:C,B113,'Bill Wise'!H:H,"Above 365 Days")</f>
        <v>0</v>
      </c>
      <c r="P113" s="9">
        <f t="shared" si="6"/>
        <v>416074.92</v>
      </c>
      <c r="Q113" s="9">
        <f t="shared" si="7"/>
        <v>0</v>
      </c>
    </row>
    <row r="114" spans="1:17" s="17" customFormat="1" x14ac:dyDescent="0.25">
      <c r="A114" s="7">
        <v>109</v>
      </c>
      <c r="B114" s="8" t="s">
        <v>40</v>
      </c>
      <c r="C114" s="8" t="s">
        <v>306</v>
      </c>
      <c r="D114" s="8" t="s">
        <v>974</v>
      </c>
      <c r="E114" s="8" t="s">
        <v>975</v>
      </c>
      <c r="F114" s="8"/>
      <c r="G114" s="9">
        <f>IFERROR(SUMIFS(TB!C:C,TB!A:A,B114)-SUMIFS(TB!B:B,TB!A:A,B114),0)</f>
        <v>417743.16</v>
      </c>
      <c r="H114" s="9">
        <f>SUMIFS('Bill Wise'!I:I,'Bill Wise'!C:C,B114,'Bill Wise'!H:H,"0-30 Days")</f>
        <v>417743.16000000003</v>
      </c>
      <c r="I114" s="9">
        <f>SUMIFS('Bill Wise'!I:I,'Bill Wise'!C:C,B114,'Bill Wise'!H:H,"31-60 Days")</f>
        <v>0</v>
      </c>
      <c r="J114" s="9">
        <f>SUMIFS('Bill Wise'!I:I,'Bill Wise'!C:C,B114,'Bill Wise'!H:H,"61-90 Days")</f>
        <v>0</v>
      </c>
      <c r="K114" s="9">
        <f>SUMIFS('Bill Wise'!I:I,'Bill Wise'!C:C,B114,'Bill Wise'!H:H,"91-120 Days")</f>
        <v>0</v>
      </c>
      <c r="L114" s="9">
        <f>SUMIFS('Bill Wise'!I:I,'Bill Wise'!C:C,B114,'Bill Wise'!H:H,"121-150 Days")</f>
        <v>0</v>
      </c>
      <c r="M114" s="9">
        <f>SUMIFS('Bill Wise'!I:I,'Bill Wise'!C:C,B114,'Bill Wise'!H:H,"151-180 Days")</f>
        <v>0</v>
      </c>
      <c r="N114" s="9">
        <f>SUMIFS('Bill Wise'!I:I,'Bill Wise'!C:C,B114,'Bill Wise'!H:H,"181-365 Days")</f>
        <v>0</v>
      </c>
      <c r="O114" s="9">
        <f>SUMIFS('Bill Wise'!I:I,'Bill Wise'!C:C,B114,'Bill Wise'!H:H,"Above 365 Days")</f>
        <v>0</v>
      </c>
      <c r="P114" s="9">
        <f t="shared" si="6"/>
        <v>417743.16000000003</v>
      </c>
      <c r="Q114" s="9">
        <f t="shared" si="7"/>
        <v>0</v>
      </c>
    </row>
    <row r="115" spans="1:17" s="17" customFormat="1" x14ac:dyDescent="0.25">
      <c r="A115" s="7">
        <v>110</v>
      </c>
      <c r="B115" s="8" t="s">
        <v>182</v>
      </c>
      <c r="C115" s="8" t="s">
        <v>517</v>
      </c>
      <c r="D115" s="8" t="s">
        <v>971</v>
      </c>
      <c r="E115" s="8" t="s">
        <v>993</v>
      </c>
      <c r="F115" s="8"/>
      <c r="G115" s="9">
        <f>IFERROR(SUMIFS(TB!C:C,TB!A:A,B115)-SUMIFS(TB!B:B,TB!A:A,B115),0)</f>
        <v>425184.61</v>
      </c>
      <c r="H115" s="9">
        <f>SUMIFS('Bill Wise'!I:I,'Bill Wise'!C:C,B115,'Bill Wise'!H:H,"0-30 Days")</f>
        <v>0</v>
      </c>
      <c r="I115" s="9">
        <f>SUMIFS('Bill Wise'!I:I,'Bill Wise'!C:C,B115,'Bill Wise'!H:H,"31-60 Days")</f>
        <v>0</v>
      </c>
      <c r="J115" s="9">
        <f>SUMIFS('Bill Wise'!I:I,'Bill Wise'!C:C,B115,'Bill Wise'!H:H,"61-90 Days")</f>
        <v>0</v>
      </c>
      <c r="K115" s="9">
        <f>SUMIFS('Bill Wise'!I:I,'Bill Wise'!C:C,B115,'Bill Wise'!H:H,"91-120 Days")</f>
        <v>0</v>
      </c>
      <c r="L115" s="9">
        <f>SUMIFS('Bill Wise'!I:I,'Bill Wise'!C:C,B115,'Bill Wise'!H:H,"121-150 Days")</f>
        <v>0</v>
      </c>
      <c r="M115" s="9">
        <f>SUMIFS('Bill Wise'!I:I,'Bill Wise'!C:C,B115,'Bill Wise'!H:H,"151-180 Days")</f>
        <v>0</v>
      </c>
      <c r="N115" s="9">
        <f>SUMIFS('Bill Wise'!I:I,'Bill Wise'!C:C,B115,'Bill Wise'!H:H,"181-365 Days")</f>
        <v>425184.61</v>
      </c>
      <c r="O115" s="9">
        <f>SUMIFS('Bill Wise'!I:I,'Bill Wise'!C:C,B115,'Bill Wise'!H:H,"Above 365 Days")</f>
        <v>0</v>
      </c>
      <c r="P115" s="9">
        <f t="shared" si="6"/>
        <v>425184.61</v>
      </c>
      <c r="Q115" s="9">
        <f t="shared" si="7"/>
        <v>0</v>
      </c>
    </row>
    <row r="116" spans="1:17" s="17" customFormat="1" x14ac:dyDescent="0.25">
      <c r="A116" s="7">
        <v>111</v>
      </c>
      <c r="B116" s="8" t="s">
        <v>153</v>
      </c>
      <c r="C116" s="8" t="s">
        <v>347</v>
      </c>
      <c r="D116" s="8" t="s">
        <v>995</v>
      </c>
      <c r="E116" s="8" t="s">
        <v>995</v>
      </c>
      <c r="F116" s="8"/>
      <c r="G116" s="9">
        <f>IFERROR(SUMIFS(TB!C:C,TB!A:A,B116)-SUMIFS(TB!B:B,TB!A:A,B116),0)</f>
        <v>425594.04</v>
      </c>
      <c r="H116" s="9">
        <f>SUMIFS('Bill Wise'!I:I,'Bill Wise'!C:C,B116,'Bill Wise'!H:H,"0-30 Days")</f>
        <v>425594.04</v>
      </c>
      <c r="I116" s="9">
        <f>SUMIFS('Bill Wise'!I:I,'Bill Wise'!C:C,B116,'Bill Wise'!H:H,"31-60 Days")</f>
        <v>0</v>
      </c>
      <c r="J116" s="9">
        <f>SUMIFS('Bill Wise'!I:I,'Bill Wise'!C:C,B116,'Bill Wise'!H:H,"61-90 Days")</f>
        <v>0</v>
      </c>
      <c r="K116" s="9">
        <f>SUMIFS('Bill Wise'!I:I,'Bill Wise'!C:C,B116,'Bill Wise'!H:H,"91-120 Days")</f>
        <v>0</v>
      </c>
      <c r="L116" s="9">
        <f>SUMIFS('Bill Wise'!I:I,'Bill Wise'!C:C,B116,'Bill Wise'!H:H,"121-150 Days")</f>
        <v>0</v>
      </c>
      <c r="M116" s="9">
        <f>SUMIFS('Bill Wise'!I:I,'Bill Wise'!C:C,B116,'Bill Wise'!H:H,"151-180 Days")</f>
        <v>0</v>
      </c>
      <c r="N116" s="9">
        <f>SUMIFS('Bill Wise'!I:I,'Bill Wise'!C:C,B116,'Bill Wise'!H:H,"181-365 Days")</f>
        <v>0</v>
      </c>
      <c r="O116" s="9">
        <f>SUMIFS('Bill Wise'!I:I,'Bill Wise'!C:C,B116,'Bill Wise'!H:H,"Above 365 Days")</f>
        <v>0</v>
      </c>
      <c r="P116" s="9">
        <f t="shared" si="6"/>
        <v>425594.04</v>
      </c>
      <c r="Q116" s="9">
        <f t="shared" si="7"/>
        <v>0</v>
      </c>
    </row>
    <row r="117" spans="1:17" s="17" customFormat="1" x14ac:dyDescent="0.25">
      <c r="A117" s="7">
        <v>112</v>
      </c>
      <c r="B117" s="8" t="s">
        <v>111</v>
      </c>
      <c r="C117" s="8" t="s">
        <v>977</v>
      </c>
      <c r="D117" s="8" t="s">
        <v>988</v>
      </c>
      <c r="E117" s="8">
        <v>0</v>
      </c>
      <c r="F117" s="8"/>
      <c r="G117" s="9">
        <f>IFERROR(SUMIFS(TB!C:C,TB!A:A,B117)-SUMIFS(TB!B:B,TB!A:A,B117),0)</f>
        <v>426399.18</v>
      </c>
      <c r="H117" s="9">
        <f>SUMIFS('Bill Wise'!I:I,'Bill Wise'!C:C,B117,'Bill Wise'!H:H,"0-30 Days")</f>
        <v>354525.18</v>
      </c>
      <c r="I117" s="9">
        <f>SUMIFS('Bill Wise'!I:I,'Bill Wise'!C:C,B117,'Bill Wise'!H:H,"31-60 Days")</f>
        <v>71874</v>
      </c>
      <c r="J117" s="9">
        <f>SUMIFS('Bill Wise'!I:I,'Bill Wise'!C:C,B117,'Bill Wise'!H:H,"61-90 Days")</f>
        <v>0</v>
      </c>
      <c r="K117" s="9">
        <f>SUMIFS('Bill Wise'!I:I,'Bill Wise'!C:C,B117,'Bill Wise'!H:H,"91-120 Days")</f>
        <v>0</v>
      </c>
      <c r="L117" s="9">
        <f>SUMIFS('Bill Wise'!I:I,'Bill Wise'!C:C,B117,'Bill Wise'!H:H,"121-150 Days")</f>
        <v>0</v>
      </c>
      <c r="M117" s="9">
        <f>SUMIFS('Bill Wise'!I:I,'Bill Wise'!C:C,B117,'Bill Wise'!H:H,"151-180 Days")</f>
        <v>0</v>
      </c>
      <c r="N117" s="9">
        <f>SUMIFS('Bill Wise'!I:I,'Bill Wise'!C:C,B117,'Bill Wise'!H:H,"181-365 Days")</f>
        <v>0</v>
      </c>
      <c r="O117" s="9">
        <f>SUMIFS('Bill Wise'!I:I,'Bill Wise'!C:C,B117,'Bill Wise'!H:H,"Above 365 Days")</f>
        <v>0</v>
      </c>
      <c r="P117" s="9">
        <f t="shared" si="6"/>
        <v>426399.18</v>
      </c>
      <c r="Q117" s="9">
        <f t="shared" si="7"/>
        <v>0</v>
      </c>
    </row>
    <row r="118" spans="1:17" s="17" customFormat="1" x14ac:dyDescent="0.25">
      <c r="A118" s="7">
        <v>113</v>
      </c>
      <c r="B118" s="8" t="s">
        <v>128</v>
      </c>
      <c r="C118" s="8" t="s">
        <v>306</v>
      </c>
      <c r="D118" s="8" t="s">
        <v>971</v>
      </c>
      <c r="E118" s="8" t="s">
        <v>972</v>
      </c>
      <c r="F118" s="8"/>
      <c r="G118" s="9">
        <f>IFERROR(SUMIFS(TB!C:C,TB!A:A,B118)-SUMIFS(TB!B:B,TB!A:A,B118),0)</f>
        <v>428544.42</v>
      </c>
      <c r="H118" s="9">
        <f>SUMIFS('Bill Wise'!I:I,'Bill Wise'!C:C,B118,'Bill Wise'!H:H,"0-30 Days")</f>
        <v>428544.42000000004</v>
      </c>
      <c r="I118" s="9">
        <f>SUMIFS('Bill Wise'!I:I,'Bill Wise'!C:C,B118,'Bill Wise'!H:H,"31-60 Days")</f>
        <v>0</v>
      </c>
      <c r="J118" s="9">
        <f>SUMIFS('Bill Wise'!I:I,'Bill Wise'!C:C,B118,'Bill Wise'!H:H,"61-90 Days")</f>
        <v>0</v>
      </c>
      <c r="K118" s="9">
        <f>SUMIFS('Bill Wise'!I:I,'Bill Wise'!C:C,B118,'Bill Wise'!H:H,"91-120 Days")</f>
        <v>0</v>
      </c>
      <c r="L118" s="9">
        <f>SUMIFS('Bill Wise'!I:I,'Bill Wise'!C:C,B118,'Bill Wise'!H:H,"121-150 Days")</f>
        <v>0</v>
      </c>
      <c r="M118" s="9">
        <f>SUMIFS('Bill Wise'!I:I,'Bill Wise'!C:C,B118,'Bill Wise'!H:H,"151-180 Days")</f>
        <v>0</v>
      </c>
      <c r="N118" s="9">
        <f>SUMIFS('Bill Wise'!I:I,'Bill Wise'!C:C,B118,'Bill Wise'!H:H,"181-365 Days")</f>
        <v>0</v>
      </c>
      <c r="O118" s="9">
        <f>SUMIFS('Bill Wise'!I:I,'Bill Wise'!C:C,B118,'Bill Wise'!H:H,"Above 365 Days")</f>
        <v>0</v>
      </c>
      <c r="P118" s="9">
        <f t="shared" si="6"/>
        <v>428544.42000000004</v>
      </c>
      <c r="Q118" s="9">
        <f t="shared" si="7"/>
        <v>0</v>
      </c>
    </row>
    <row r="119" spans="1:17" s="17" customFormat="1" x14ac:dyDescent="0.25">
      <c r="A119" s="7">
        <v>114</v>
      </c>
      <c r="B119" s="8" t="s">
        <v>211</v>
      </c>
      <c r="C119" s="8" t="s">
        <v>977</v>
      </c>
      <c r="D119" s="8" t="s">
        <v>971</v>
      </c>
      <c r="E119" s="8" t="s">
        <v>1000</v>
      </c>
      <c r="F119" s="8"/>
      <c r="G119" s="9">
        <f>IFERROR(SUMIFS(TB!C:C,TB!A:A,B119)-SUMIFS(TB!B:B,TB!A:A,B119),0)</f>
        <v>450130.89</v>
      </c>
      <c r="H119" s="9">
        <f>SUMIFS('Bill Wise'!I:I,'Bill Wise'!C:C,B119,'Bill Wise'!H:H,"0-30 Days")</f>
        <v>450130.89</v>
      </c>
      <c r="I119" s="9">
        <f>SUMIFS('Bill Wise'!I:I,'Bill Wise'!C:C,B119,'Bill Wise'!H:H,"31-60 Days")</f>
        <v>0</v>
      </c>
      <c r="J119" s="9">
        <f>SUMIFS('Bill Wise'!I:I,'Bill Wise'!C:C,B119,'Bill Wise'!H:H,"61-90 Days")</f>
        <v>0</v>
      </c>
      <c r="K119" s="9">
        <f>SUMIFS('Bill Wise'!I:I,'Bill Wise'!C:C,B119,'Bill Wise'!H:H,"91-120 Days")</f>
        <v>0</v>
      </c>
      <c r="L119" s="9">
        <f>SUMIFS('Bill Wise'!I:I,'Bill Wise'!C:C,B119,'Bill Wise'!H:H,"121-150 Days")</f>
        <v>0</v>
      </c>
      <c r="M119" s="9">
        <f>SUMIFS('Bill Wise'!I:I,'Bill Wise'!C:C,B119,'Bill Wise'!H:H,"151-180 Days")</f>
        <v>0</v>
      </c>
      <c r="N119" s="9">
        <f>SUMIFS('Bill Wise'!I:I,'Bill Wise'!C:C,B119,'Bill Wise'!H:H,"181-365 Days")</f>
        <v>0</v>
      </c>
      <c r="O119" s="9">
        <f>SUMIFS('Bill Wise'!I:I,'Bill Wise'!C:C,B119,'Bill Wise'!H:H,"Above 365 Days")</f>
        <v>0</v>
      </c>
      <c r="P119" s="9">
        <f t="shared" si="6"/>
        <v>450130.89</v>
      </c>
      <c r="Q119" s="9">
        <f t="shared" si="7"/>
        <v>0</v>
      </c>
    </row>
    <row r="120" spans="1:17" s="17" customFormat="1" x14ac:dyDescent="0.25">
      <c r="A120" s="7">
        <v>115</v>
      </c>
      <c r="B120" s="8" t="s">
        <v>1065</v>
      </c>
      <c r="C120" s="8" t="s">
        <v>317</v>
      </c>
      <c r="D120" s="8" t="s">
        <v>981</v>
      </c>
      <c r="E120" s="8" t="s">
        <v>1676</v>
      </c>
      <c r="F120" s="8"/>
      <c r="G120" s="9">
        <f>IFERROR(SUMIFS(TB!C:C,TB!A:A,B120)-SUMIFS(TB!B:B,TB!A:A,B120),0)</f>
        <v>459993.59999999998</v>
      </c>
      <c r="H120" s="9">
        <f>SUMIFS('Bill Wise'!I:I,'Bill Wise'!C:C,B120,'Bill Wise'!H:H,"0-30 Days")</f>
        <v>459993.59999999998</v>
      </c>
      <c r="I120" s="9">
        <f>SUMIFS('Bill Wise'!I:I,'Bill Wise'!C:C,B120,'Bill Wise'!H:H,"31-60 Days")</f>
        <v>0</v>
      </c>
      <c r="J120" s="9">
        <f>SUMIFS('Bill Wise'!I:I,'Bill Wise'!C:C,B120,'Bill Wise'!H:H,"61-90 Days")</f>
        <v>0</v>
      </c>
      <c r="K120" s="9">
        <f>SUMIFS('Bill Wise'!I:I,'Bill Wise'!C:C,B120,'Bill Wise'!H:H,"91-120 Days")</f>
        <v>0</v>
      </c>
      <c r="L120" s="9">
        <f>SUMIFS('Bill Wise'!I:I,'Bill Wise'!C:C,B120,'Bill Wise'!H:H,"121-150 Days")</f>
        <v>0</v>
      </c>
      <c r="M120" s="9">
        <f>SUMIFS('Bill Wise'!I:I,'Bill Wise'!C:C,B120,'Bill Wise'!H:H,"151-180 Days")</f>
        <v>0</v>
      </c>
      <c r="N120" s="9">
        <f>SUMIFS('Bill Wise'!I:I,'Bill Wise'!C:C,B120,'Bill Wise'!H:H,"181-365 Days")</f>
        <v>0</v>
      </c>
      <c r="O120" s="9">
        <f>SUMIFS('Bill Wise'!I:I,'Bill Wise'!C:C,B120,'Bill Wise'!H:H,"Above 365 Days")</f>
        <v>0</v>
      </c>
      <c r="P120" s="9">
        <f t="shared" si="6"/>
        <v>459993.59999999998</v>
      </c>
      <c r="Q120" s="9">
        <f t="shared" si="7"/>
        <v>0</v>
      </c>
    </row>
    <row r="121" spans="1:17" s="17" customFormat="1" x14ac:dyDescent="0.25">
      <c r="A121" s="7">
        <v>116</v>
      </c>
      <c r="B121" s="8" t="s">
        <v>33</v>
      </c>
      <c r="C121" s="8" t="s">
        <v>332</v>
      </c>
      <c r="D121" s="8" t="s">
        <v>971</v>
      </c>
      <c r="E121" s="8" t="s">
        <v>975</v>
      </c>
      <c r="F121" s="8"/>
      <c r="G121" s="9">
        <f>IFERROR(SUMIFS(TB!C:C,TB!A:A,B121)-SUMIFS(TB!B:B,TB!A:A,B121),0)</f>
        <v>464872.27</v>
      </c>
      <c r="H121" s="9">
        <f>SUMIFS('Bill Wise'!I:I,'Bill Wise'!C:C,B121,'Bill Wise'!H:H,"0-30 Days")</f>
        <v>464872.27</v>
      </c>
      <c r="I121" s="9">
        <f>SUMIFS('Bill Wise'!I:I,'Bill Wise'!C:C,B121,'Bill Wise'!H:H,"31-60 Days")</f>
        <v>0</v>
      </c>
      <c r="J121" s="9">
        <f>SUMIFS('Bill Wise'!I:I,'Bill Wise'!C:C,B121,'Bill Wise'!H:H,"61-90 Days")</f>
        <v>0</v>
      </c>
      <c r="K121" s="9">
        <f>SUMIFS('Bill Wise'!I:I,'Bill Wise'!C:C,B121,'Bill Wise'!H:H,"91-120 Days")</f>
        <v>0</v>
      </c>
      <c r="L121" s="9">
        <f>SUMIFS('Bill Wise'!I:I,'Bill Wise'!C:C,B121,'Bill Wise'!H:H,"121-150 Days")</f>
        <v>0</v>
      </c>
      <c r="M121" s="9">
        <f>SUMIFS('Bill Wise'!I:I,'Bill Wise'!C:C,B121,'Bill Wise'!H:H,"151-180 Days")</f>
        <v>0</v>
      </c>
      <c r="N121" s="9">
        <f>SUMIFS('Bill Wise'!I:I,'Bill Wise'!C:C,B121,'Bill Wise'!H:H,"181-365 Days")</f>
        <v>0</v>
      </c>
      <c r="O121" s="9">
        <f>SUMIFS('Bill Wise'!I:I,'Bill Wise'!C:C,B121,'Bill Wise'!H:H,"Above 365 Days")</f>
        <v>0</v>
      </c>
      <c r="P121" s="9">
        <f t="shared" si="6"/>
        <v>464872.27</v>
      </c>
      <c r="Q121" s="9">
        <f t="shared" si="7"/>
        <v>0</v>
      </c>
    </row>
    <row r="122" spans="1:17" s="17" customFormat="1" x14ac:dyDescent="0.25">
      <c r="A122" s="7">
        <v>117</v>
      </c>
      <c r="B122" s="8" t="s">
        <v>160</v>
      </c>
      <c r="C122" s="8" t="s">
        <v>332</v>
      </c>
      <c r="D122" s="8" t="s">
        <v>974</v>
      </c>
      <c r="E122" s="8" t="s">
        <v>975</v>
      </c>
      <c r="F122" s="8"/>
      <c r="G122" s="9">
        <f>IFERROR(SUMIFS(TB!C:C,TB!A:A,B122)-SUMIFS(TB!B:B,TB!A:A,B122),0)</f>
        <v>471144.46</v>
      </c>
      <c r="H122" s="9">
        <f>SUMIFS('Bill Wise'!I:I,'Bill Wise'!C:C,B122,'Bill Wise'!H:H,"0-30 Days")</f>
        <v>471144.46</v>
      </c>
      <c r="I122" s="9">
        <f>SUMIFS('Bill Wise'!I:I,'Bill Wise'!C:C,B122,'Bill Wise'!H:H,"31-60 Days")</f>
        <v>0</v>
      </c>
      <c r="J122" s="9">
        <f>SUMIFS('Bill Wise'!I:I,'Bill Wise'!C:C,B122,'Bill Wise'!H:H,"61-90 Days")</f>
        <v>0</v>
      </c>
      <c r="K122" s="9">
        <f>SUMIFS('Bill Wise'!I:I,'Bill Wise'!C:C,B122,'Bill Wise'!H:H,"91-120 Days")</f>
        <v>0</v>
      </c>
      <c r="L122" s="9">
        <f>SUMIFS('Bill Wise'!I:I,'Bill Wise'!C:C,B122,'Bill Wise'!H:H,"121-150 Days")</f>
        <v>0</v>
      </c>
      <c r="M122" s="9">
        <f>SUMIFS('Bill Wise'!I:I,'Bill Wise'!C:C,B122,'Bill Wise'!H:H,"151-180 Days")</f>
        <v>0</v>
      </c>
      <c r="N122" s="9">
        <f>SUMIFS('Bill Wise'!I:I,'Bill Wise'!C:C,B122,'Bill Wise'!H:H,"181-365 Days")</f>
        <v>0</v>
      </c>
      <c r="O122" s="9">
        <f>SUMIFS('Bill Wise'!I:I,'Bill Wise'!C:C,B122,'Bill Wise'!H:H,"Above 365 Days")</f>
        <v>0</v>
      </c>
      <c r="P122" s="9">
        <f t="shared" si="6"/>
        <v>471144.46</v>
      </c>
      <c r="Q122" s="9">
        <f t="shared" si="7"/>
        <v>0</v>
      </c>
    </row>
    <row r="123" spans="1:17" s="17" customFormat="1" x14ac:dyDescent="0.25">
      <c r="A123" s="7">
        <v>118</v>
      </c>
      <c r="B123" s="8" t="s">
        <v>172</v>
      </c>
      <c r="C123" s="8" t="s">
        <v>306</v>
      </c>
      <c r="D123" s="8" t="s">
        <v>974</v>
      </c>
      <c r="E123" s="8" t="s">
        <v>975</v>
      </c>
      <c r="F123" s="8"/>
      <c r="G123" s="9">
        <f>IFERROR(SUMIFS(TB!C:C,TB!A:A,B123)-SUMIFS(TB!B:B,TB!A:A,B123),0)</f>
        <v>494112</v>
      </c>
      <c r="H123" s="9">
        <f>SUMIFS('Bill Wise'!I:I,'Bill Wise'!C:C,B123,'Bill Wise'!H:H,"0-30 Days")</f>
        <v>0</v>
      </c>
      <c r="I123" s="9">
        <f>SUMIFS('Bill Wise'!I:I,'Bill Wise'!C:C,B123,'Bill Wise'!H:H,"31-60 Days")</f>
        <v>214820</v>
      </c>
      <c r="J123" s="9">
        <f>SUMIFS('Bill Wise'!I:I,'Bill Wise'!C:C,B123,'Bill Wise'!H:H,"61-90 Days")</f>
        <v>279292</v>
      </c>
      <c r="K123" s="9">
        <f>SUMIFS('Bill Wise'!I:I,'Bill Wise'!C:C,B123,'Bill Wise'!H:H,"91-120 Days")</f>
        <v>0</v>
      </c>
      <c r="L123" s="9">
        <f>SUMIFS('Bill Wise'!I:I,'Bill Wise'!C:C,B123,'Bill Wise'!H:H,"121-150 Days")</f>
        <v>0</v>
      </c>
      <c r="M123" s="9">
        <f>SUMIFS('Bill Wise'!I:I,'Bill Wise'!C:C,B123,'Bill Wise'!H:H,"151-180 Days")</f>
        <v>0</v>
      </c>
      <c r="N123" s="9">
        <f>SUMIFS('Bill Wise'!I:I,'Bill Wise'!C:C,B123,'Bill Wise'!H:H,"181-365 Days")</f>
        <v>0</v>
      </c>
      <c r="O123" s="9">
        <f>SUMIFS('Bill Wise'!I:I,'Bill Wise'!C:C,B123,'Bill Wise'!H:H,"Above 365 Days")</f>
        <v>0</v>
      </c>
      <c r="P123" s="9">
        <f t="shared" si="6"/>
        <v>494112</v>
      </c>
      <c r="Q123" s="9">
        <f t="shared" si="7"/>
        <v>0</v>
      </c>
    </row>
    <row r="124" spans="1:17" s="17" customFormat="1" x14ac:dyDescent="0.25">
      <c r="A124" s="7">
        <v>119</v>
      </c>
      <c r="B124" s="8" t="s">
        <v>133</v>
      </c>
      <c r="C124" s="8" t="s">
        <v>312</v>
      </c>
      <c r="D124" s="8" t="s">
        <v>971</v>
      </c>
      <c r="E124" s="8" t="s">
        <v>972</v>
      </c>
      <c r="F124" s="8"/>
      <c r="G124" s="9">
        <f>IFERROR(SUMIFS(TB!C:C,TB!A:A,B124)-SUMIFS(TB!B:B,TB!A:A,B124),0)</f>
        <v>502551.78</v>
      </c>
      <c r="H124" s="9">
        <f>SUMIFS('Bill Wise'!I:I,'Bill Wise'!C:C,B124,'Bill Wise'!H:H,"0-30 Days")</f>
        <v>31860</v>
      </c>
      <c r="I124" s="9">
        <f>SUMIFS('Bill Wise'!I:I,'Bill Wise'!C:C,B124,'Bill Wise'!H:H,"31-60 Days")</f>
        <v>89859</v>
      </c>
      <c r="J124" s="9">
        <f>SUMIFS('Bill Wise'!I:I,'Bill Wise'!C:C,B124,'Bill Wise'!H:H,"61-90 Days")</f>
        <v>380832.78</v>
      </c>
      <c r="K124" s="9">
        <f>SUMIFS('Bill Wise'!I:I,'Bill Wise'!C:C,B124,'Bill Wise'!H:H,"91-120 Days")</f>
        <v>0</v>
      </c>
      <c r="L124" s="9">
        <f>SUMIFS('Bill Wise'!I:I,'Bill Wise'!C:C,B124,'Bill Wise'!H:H,"121-150 Days")</f>
        <v>0</v>
      </c>
      <c r="M124" s="9">
        <f>SUMIFS('Bill Wise'!I:I,'Bill Wise'!C:C,B124,'Bill Wise'!H:H,"151-180 Days")</f>
        <v>0</v>
      </c>
      <c r="N124" s="9">
        <f>SUMIFS('Bill Wise'!I:I,'Bill Wise'!C:C,B124,'Bill Wise'!H:H,"181-365 Days")</f>
        <v>0</v>
      </c>
      <c r="O124" s="9">
        <f>SUMIFS('Bill Wise'!I:I,'Bill Wise'!C:C,B124,'Bill Wise'!H:H,"Above 365 Days")</f>
        <v>0</v>
      </c>
      <c r="P124" s="9">
        <f t="shared" si="6"/>
        <v>502551.78</v>
      </c>
      <c r="Q124" s="9">
        <f t="shared" si="7"/>
        <v>0</v>
      </c>
    </row>
    <row r="125" spans="1:17" s="17" customFormat="1" x14ac:dyDescent="0.25">
      <c r="A125" s="7">
        <v>120</v>
      </c>
      <c r="B125" s="8" t="s">
        <v>179</v>
      </c>
      <c r="C125" s="8" t="s">
        <v>306</v>
      </c>
      <c r="D125" s="8" t="s">
        <v>971</v>
      </c>
      <c r="E125" s="8">
        <v>0</v>
      </c>
      <c r="F125" s="8"/>
      <c r="G125" s="9">
        <f>IFERROR(SUMIFS(TB!C:C,TB!A:A,B125)-SUMIFS(TB!B:B,TB!A:A,B125),0)</f>
        <v>521234</v>
      </c>
      <c r="H125" s="9">
        <f>SUMIFS('Bill Wise'!I:I,'Bill Wise'!C:C,B125,'Bill Wise'!H:H,"0-30 Days")</f>
        <v>521234</v>
      </c>
      <c r="I125" s="9">
        <f>SUMIFS('Bill Wise'!I:I,'Bill Wise'!C:C,B125,'Bill Wise'!H:H,"31-60 Days")</f>
        <v>0</v>
      </c>
      <c r="J125" s="9">
        <f>SUMIFS('Bill Wise'!I:I,'Bill Wise'!C:C,B125,'Bill Wise'!H:H,"61-90 Days")</f>
        <v>0</v>
      </c>
      <c r="K125" s="9">
        <f>SUMIFS('Bill Wise'!I:I,'Bill Wise'!C:C,B125,'Bill Wise'!H:H,"91-120 Days")</f>
        <v>0</v>
      </c>
      <c r="L125" s="9">
        <f>SUMIFS('Bill Wise'!I:I,'Bill Wise'!C:C,B125,'Bill Wise'!H:H,"121-150 Days")</f>
        <v>0</v>
      </c>
      <c r="M125" s="9">
        <f>SUMIFS('Bill Wise'!I:I,'Bill Wise'!C:C,B125,'Bill Wise'!H:H,"151-180 Days")</f>
        <v>0</v>
      </c>
      <c r="N125" s="9">
        <f>SUMIFS('Bill Wise'!I:I,'Bill Wise'!C:C,B125,'Bill Wise'!H:H,"181-365 Days")</f>
        <v>0</v>
      </c>
      <c r="O125" s="9">
        <f>SUMIFS('Bill Wise'!I:I,'Bill Wise'!C:C,B125,'Bill Wise'!H:H,"Above 365 Days")</f>
        <v>0</v>
      </c>
      <c r="P125" s="9">
        <f t="shared" si="6"/>
        <v>521234</v>
      </c>
      <c r="Q125" s="9">
        <f t="shared" si="7"/>
        <v>0</v>
      </c>
    </row>
    <row r="126" spans="1:17" s="17" customFormat="1" x14ac:dyDescent="0.25">
      <c r="A126" s="7">
        <v>121</v>
      </c>
      <c r="B126" s="8" t="s">
        <v>112</v>
      </c>
      <c r="C126" s="8" t="s">
        <v>280</v>
      </c>
      <c r="D126" s="8" t="s">
        <v>988</v>
      </c>
      <c r="E126" s="8" t="s">
        <v>980</v>
      </c>
      <c r="F126" s="8"/>
      <c r="G126" s="9">
        <f>IFERROR(SUMIFS(TB!C:C,TB!A:A,B126)-SUMIFS(TB!B:B,TB!A:A,B126),0)</f>
        <v>536224.82999999996</v>
      </c>
      <c r="H126" s="9">
        <f>SUMIFS('Bill Wise'!I:I,'Bill Wise'!C:C,B126,'Bill Wise'!H:H,"0-30 Days")</f>
        <v>536224.83000000007</v>
      </c>
      <c r="I126" s="9">
        <f>SUMIFS('Bill Wise'!I:I,'Bill Wise'!C:C,B126,'Bill Wise'!H:H,"31-60 Days")</f>
        <v>0</v>
      </c>
      <c r="J126" s="9">
        <f>SUMIFS('Bill Wise'!I:I,'Bill Wise'!C:C,B126,'Bill Wise'!H:H,"61-90 Days")</f>
        <v>0</v>
      </c>
      <c r="K126" s="9">
        <f>SUMIFS('Bill Wise'!I:I,'Bill Wise'!C:C,B126,'Bill Wise'!H:H,"91-120 Days")</f>
        <v>0</v>
      </c>
      <c r="L126" s="9">
        <f>SUMIFS('Bill Wise'!I:I,'Bill Wise'!C:C,B126,'Bill Wise'!H:H,"121-150 Days")</f>
        <v>0</v>
      </c>
      <c r="M126" s="9">
        <f>SUMIFS('Bill Wise'!I:I,'Bill Wise'!C:C,B126,'Bill Wise'!H:H,"151-180 Days")</f>
        <v>0</v>
      </c>
      <c r="N126" s="9">
        <f>SUMIFS('Bill Wise'!I:I,'Bill Wise'!C:C,B126,'Bill Wise'!H:H,"181-365 Days")</f>
        <v>0</v>
      </c>
      <c r="O126" s="9">
        <f>SUMIFS('Bill Wise'!I:I,'Bill Wise'!C:C,B126,'Bill Wise'!H:H,"Above 365 Days")</f>
        <v>0</v>
      </c>
      <c r="P126" s="9">
        <f t="shared" si="6"/>
        <v>536224.83000000007</v>
      </c>
      <c r="Q126" s="9">
        <f t="shared" si="7"/>
        <v>0</v>
      </c>
    </row>
    <row r="127" spans="1:17" s="17" customFormat="1" x14ac:dyDescent="0.25">
      <c r="A127" s="7">
        <v>122</v>
      </c>
      <c r="B127" s="8" t="s">
        <v>152</v>
      </c>
      <c r="C127" s="8" t="s">
        <v>321</v>
      </c>
      <c r="D127" s="8" t="s">
        <v>974</v>
      </c>
      <c r="E127" s="8" t="s">
        <v>975</v>
      </c>
      <c r="F127" s="8"/>
      <c r="G127" s="9">
        <f>IFERROR(SUMIFS(TB!C:C,TB!A:A,B127)-SUMIFS(TB!B:B,TB!A:A,B127),0)</f>
        <v>536674</v>
      </c>
      <c r="H127" s="9">
        <f>SUMIFS('Bill Wise'!I:I,'Bill Wise'!C:C,B127,'Bill Wise'!H:H,"0-30 Days")</f>
        <v>536674</v>
      </c>
      <c r="I127" s="9">
        <f>SUMIFS('Bill Wise'!I:I,'Bill Wise'!C:C,B127,'Bill Wise'!H:H,"31-60 Days")</f>
        <v>0</v>
      </c>
      <c r="J127" s="9">
        <f>SUMIFS('Bill Wise'!I:I,'Bill Wise'!C:C,B127,'Bill Wise'!H:H,"61-90 Days")</f>
        <v>0</v>
      </c>
      <c r="K127" s="9">
        <f>SUMIFS('Bill Wise'!I:I,'Bill Wise'!C:C,B127,'Bill Wise'!H:H,"91-120 Days")</f>
        <v>0</v>
      </c>
      <c r="L127" s="9">
        <f>SUMIFS('Bill Wise'!I:I,'Bill Wise'!C:C,B127,'Bill Wise'!H:H,"121-150 Days")</f>
        <v>0</v>
      </c>
      <c r="M127" s="9">
        <f>SUMIFS('Bill Wise'!I:I,'Bill Wise'!C:C,B127,'Bill Wise'!H:H,"151-180 Days")</f>
        <v>0</v>
      </c>
      <c r="N127" s="9">
        <f>SUMIFS('Bill Wise'!I:I,'Bill Wise'!C:C,B127,'Bill Wise'!H:H,"181-365 Days")</f>
        <v>0</v>
      </c>
      <c r="O127" s="9">
        <f>SUMIFS('Bill Wise'!I:I,'Bill Wise'!C:C,B127,'Bill Wise'!H:H,"Above 365 Days")</f>
        <v>0</v>
      </c>
      <c r="P127" s="9">
        <f t="shared" si="6"/>
        <v>536674</v>
      </c>
      <c r="Q127" s="9">
        <f t="shared" si="7"/>
        <v>0</v>
      </c>
    </row>
    <row r="128" spans="1:17" s="17" customFormat="1" x14ac:dyDescent="0.25">
      <c r="A128" s="7">
        <v>123</v>
      </c>
      <c r="B128" s="8" t="s">
        <v>64</v>
      </c>
      <c r="C128" s="8" t="s">
        <v>977</v>
      </c>
      <c r="D128" s="8" t="s">
        <v>971</v>
      </c>
      <c r="E128" s="8" t="s">
        <v>972</v>
      </c>
      <c r="F128" s="8"/>
      <c r="G128" s="9">
        <f>IFERROR(SUMIFS(TB!C:C,TB!A:A,B128)-SUMIFS(TB!B:B,TB!A:A,B128),0)</f>
        <v>542308.24</v>
      </c>
      <c r="H128" s="9">
        <f>SUMIFS('Bill Wise'!I:I,'Bill Wise'!C:C,B128,'Bill Wise'!H:H,"0-30 Days")</f>
        <v>446028.24</v>
      </c>
      <c r="I128" s="9">
        <f>SUMIFS('Bill Wise'!I:I,'Bill Wise'!C:C,B128,'Bill Wise'!H:H,"31-60 Days")</f>
        <v>0</v>
      </c>
      <c r="J128" s="9">
        <f>SUMIFS('Bill Wise'!I:I,'Bill Wise'!C:C,B128,'Bill Wise'!H:H,"61-90 Days")</f>
        <v>96280</v>
      </c>
      <c r="K128" s="9">
        <f>SUMIFS('Bill Wise'!I:I,'Bill Wise'!C:C,B128,'Bill Wise'!H:H,"91-120 Days")</f>
        <v>0</v>
      </c>
      <c r="L128" s="9">
        <f>SUMIFS('Bill Wise'!I:I,'Bill Wise'!C:C,B128,'Bill Wise'!H:H,"121-150 Days")</f>
        <v>0</v>
      </c>
      <c r="M128" s="9">
        <f>SUMIFS('Bill Wise'!I:I,'Bill Wise'!C:C,B128,'Bill Wise'!H:H,"151-180 Days")</f>
        <v>0</v>
      </c>
      <c r="N128" s="9">
        <f>SUMIFS('Bill Wise'!I:I,'Bill Wise'!C:C,B128,'Bill Wise'!H:H,"181-365 Days")</f>
        <v>0</v>
      </c>
      <c r="O128" s="9">
        <f>SUMIFS('Bill Wise'!I:I,'Bill Wise'!C:C,B128,'Bill Wise'!H:H,"Above 365 Days")</f>
        <v>0</v>
      </c>
      <c r="P128" s="9">
        <f t="shared" si="6"/>
        <v>542308.24</v>
      </c>
      <c r="Q128" s="9">
        <f t="shared" si="7"/>
        <v>0</v>
      </c>
    </row>
    <row r="129" spans="1:17" s="17" customFormat="1" x14ac:dyDescent="0.25">
      <c r="A129" s="7">
        <v>124</v>
      </c>
      <c r="B129" s="8" t="s">
        <v>178</v>
      </c>
      <c r="C129" s="8" t="s">
        <v>232</v>
      </c>
      <c r="D129" s="8" t="s">
        <v>974</v>
      </c>
      <c r="E129" s="8" t="s">
        <v>975</v>
      </c>
      <c r="F129" s="8"/>
      <c r="G129" s="9">
        <f>IFERROR(SUMIFS(TB!C:C,TB!A:A,B129)-SUMIFS(TB!B:B,TB!A:A,B129),0)</f>
        <v>567697</v>
      </c>
      <c r="H129" s="9">
        <f>SUMIFS('Bill Wise'!I:I,'Bill Wise'!C:C,B129,'Bill Wise'!H:H,"0-30 Days")</f>
        <v>567697</v>
      </c>
      <c r="I129" s="9">
        <f>SUMIFS('Bill Wise'!I:I,'Bill Wise'!C:C,B129,'Bill Wise'!H:H,"31-60 Days")</f>
        <v>0</v>
      </c>
      <c r="J129" s="9">
        <f>SUMIFS('Bill Wise'!I:I,'Bill Wise'!C:C,B129,'Bill Wise'!H:H,"61-90 Days")</f>
        <v>0</v>
      </c>
      <c r="K129" s="9">
        <f>SUMIFS('Bill Wise'!I:I,'Bill Wise'!C:C,B129,'Bill Wise'!H:H,"91-120 Days")</f>
        <v>0</v>
      </c>
      <c r="L129" s="9">
        <f>SUMIFS('Bill Wise'!I:I,'Bill Wise'!C:C,B129,'Bill Wise'!H:H,"121-150 Days")</f>
        <v>0</v>
      </c>
      <c r="M129" s="9">
        <f>SUMIFS('Bill Wise'!I:I,'Bill Wise'!C:C,B129,'Bill Wise'!H:H,"151-180 Days")</f>
        <v>0</v>
      </c>
      <c r="N129" s="9">
        <f>SUMIFS('Bill Wise'!I:I,'Bill Wise'!C:C,B129,'Bill Wise'!H:H,"181-365 Days")</f>
        <v>0</v>
      </c>
      <c r="O129" s="9">
        <f>SUMIFS('Bill Wise'!I:I,'Bill Wise'!C:C,B129,'Bill Wise'!H:H,"Above 365 Days")</f>
        <v>0</v>
      </c>
      <c r="P129" s="9">
        <f t="shared" si="6"/>
        <v>567697</v>
      </c>
      <c r="Q129" s="9">
        <f t="shared" si="7"/>
        <v>0</v>
      </c>
    </row>
    <row r="130" spans="1:17" s="17" customFormat="1" x14ac:dyDescent="0.25">
      <c r="A130" s="7">
        <v>125</v>
      </c>
      <c r="B130" s="8" t="s">
        <v>25</v>
      </c>
      <c r="C130" s="8" t="s">
        <v>970</v>
      </c>
      <c r="D130" s="8" t="s">
        <v>971</v>
      </c>
      <c r="E130" s="8" t="s">
        <v>976</v>
      </c>
      <c r="F130" s="8"/>
      <c r="G130" s="9">
        <f>IFERROR(SUMIFS(TB!C:C,TB!A:A,B130)-SUMIFS(TB!B:B,TB!A:A,B130),0)</f>
        <v>603502</v>
      </c>
      <c r="H130" s="9">
        <f>SUMIFS('Bill Wise'!I:I,'Bill Wise'!C:C,B130,'Bill Wise'!H:H,"0-30 Days")</f>
        <v>0</v>
      </c>
      <c r="I130" s="9">
        <f>SUMIFS('Bill Wise'!I:I,'Bill Wise'!C:C,B130,'Bill Wise'!H:H,"31-60 Days")</f>
        <v>0</v>
      </c>
      <c r="J130" s="9">
        <f>SUMIFS('Bill Wise'!I:I,'Bill Wise'!C:C,B130,'Bill Wise'!H:H,"61-90 Days")</f>
        <v>603502</v>
      </c>
      <c r="K130" s="9">
        <f>SUMIFS('Bill Wise'!I:I,'Bill Wise'!C:C,B130,'Bill Wise'!H:H,"91-120 Days")</f>
        <v>0</v>
      </c>
      <c r="L130" s="9">
        <f>SUMIFS('Bill Wise'!I:I,'Bill Wise'!C:C,B130,'Bill Wise'!H:H,"121-150 Days")</f>
        <v>0</v>
      </c>
      <c r="M130" s="9">
        <f>SUMIFS('Bill Wise'!I:I,'Bill Wise'!C:C,B130,'Bill Wise'!H:H,"151-180 Days")</f>
        <v>0</v>
      </c>
      <c r="N130" s="9">
        <f>SUMIFS('Bill Wise'!I:I,'Bill Wise'!C:C,B130,'Bill Wise'!H:H,"181-365 Days")</f>
        <v>0</v>
      </c>
      <c r="O130" s="9">
        <f>SUMIFS('Bill Wise'!I:I,'Bill Wise'!C:C,B130,'Bill Wise'!H:H,"Above 365 Days")</f>
        <v>0</v>
      </c>
      <c r="P130" s="9">
        <f t="shared" si="6"/>
        <v>603502</v>
      </c>
      <c r="Q130" s="9">
        <f t="shared" si="7"/>
        <v>0</v>
      </c>
    </row>
    <row r="131" spans="1:17" s="17" customFormat="1" x14ac:dyDescent="0.25">
      <c r="A131" s="7">
        <v>126</v>
      </c>
      <c r="B131" s="8" t="s">
        <v>109</v>
      </c>
      <c r="C131" s="8" t="s">
        <v>977</v>
      </c>
      <c r="D131" s="8" t="s">
        <v>979</v>
      </c>
      <c r="E131" s="8" t="s">
        <v>977</v>
      </c>
      <c r="F131" s="8"/>
      <c r="G131" s="9">
        <f>IFERROR(SUMIFS(TB!C:C,TB!A:A,B131)-SUMIFS(TB!B:B,TB!A:A,B131),0)</f>
        <v>623635.12</v>
      </c>
      <c r="H131" s="9">
        <f>SUMIFS('Bill Wise'!I:I,'Bill Wise'!C:C,B131,'Bill Wise'!H:H,"0-30 Days")</f>
        <v>0</v>
      </c>
      <c r="I131" s="9">
        <f>SUMIFS('Bill Wise'!I:I,'Bill Wise'!C:C,B131,'Bill Wise'!H:H,"31-60 Days")</f>
        <v>0</v>
      </c>
      <c r="J131" s="9">
        <f>SUMIFS('Bill Wise'!I:I,'Bill Wise'!C:C,B131,'Bill Wise'!H:H,"61-90 Days")</f>
        <v>0</v>
      </c>
      <c r="K131" s="9">
        <f>SUMIFS('Bill Wise'!I:I,'Bill Wise'!C:C,B131,'Bill Wise'!H:H,"91-120 Days")</f>
        <v>0</v>
      </c>
      <c r="L131" s="9">
        <f>SUMIFS('Bill Wise'!I:I,'Bill Wise'!C:C,B131,'Bill Wise'!H:H,"121-150 Days")</f>
        <v>437373.82</v>
      </c>
      <c r="M131" s="9">
        <f>SUMIFS('Bill Wise'!I:I,'Bill Wise'!C:C,B131,'Bill Wise'!H:H,"151-180 Days")</f>
        <v>186261.3</v>
      </c>
      <c r="N131" s="9">
        <f>SUMIFS('Bill Wise'!I:I,'Bill Wise'!C:C,B131,'Bill Wise'!H:H,"181-365 Days")</f>
        <v>0</v>
      </c>
      <c r="O131" s="9">
        <f>SUMIFS('Bill Wise'!I:I,'Bill Wise'!C:C,B131,'Bill Wise'!H:H,"Above 365 Days")</f>
        <v>0</v>
      </c>
      <c r="P131" s="9">
        <f t="shared" ref="P131:P162" si="8">SUM(H131:O131)</f>
        <v>623635.12</v>
      </c>
      <c r="Q131" s="9">
        <f t="shared" ref="Q131:Q162" si="9">G131-P131</f>
        <v>0</v>
      </c>
    </row>
    <row r="132" spans="1:17" s="17" customFormat="1" x14ac:dyDescent="0.25">
      <c r="A132" s="7">
        <v>127</v>
      </c>
      <c r="B132" s="8" t="s">
        <v>98</v>
      </c>
      <c r="C132" s="8" t="s">
        <v>306</v>
      </c>
      <c r="D132" s="8" t="s">
        <v>995</v>
      </c>
      <c r="E132" s="8" t="s">
        <v>995</v>
      </c>
      <c r="F132" s="8"/>
      <c r="G132" s="9">
        <f>IFERROR(SUMIFS(TB!C:C,TB!A:A,B132)-SUMIFS(TB!B:B,TB!A:A,B132),0)</f>
        <v>627771.51</v>
      </c>
      <c r="H132" s="9">
        <f>SUMIFS('Bill Wise'!I:I,'Bill Wise'!C:C,B132,'Bill Wise'!H:H,"0-30 Days")</f>
        <v>0</v>
      </c>
      <c r="I132" s="9">
        <f>SUMIFS('Bill Wise'!I:I,'Bill Wise'!C:C,B132,'Bill Wise'!H:H,"31-60 Days")</f>
        <v>0</v>
      </c>
      <c r="J132" s="9">
        <f>SUMIFS('Bill Wise'!I:I,'Bill Wise'!C:C,B132,'Bill Wise'!H:H,"61-90 Days")</f>
        <v>0</v>
      </c>
      <c r="K132" s="9">
        <f>SUMIFS('Bill Wise'!I:I,'Bill Wise'!C:C,B132,'Bill Wise'!H:H,"91-120 Days")</f>
        <v>0</v>
      </c>
      <c r="L132" s="9">
        <f>SUMIFS('Bill Wise'!I:I,'Bill Wise'!C:C,B132,'Bill Wise'!H:H,"121-150 Days")</f>
        <v>0</v>
      </c>
      <c r="M132" s="9">
        <f>SUMIFS('Bill Wise'!I:I,'Bill Wise'!C:C,B132,'Bill Wise'!H:H,"151-180 Days")</f>
        <v>0</v>
      </c>
      <c r="N132" s="9">
        <f>SUMIFS('Bill Wise'!I:I,'Bill Wise'!C:C,B132,'Bill Wise'!H:H,"181-365 Days")</f>
        <v>627771.51</v>
      </c>
      <c r="O132" s="9">
        <f>SUMIFS('Bill Wise'!I:I,'Bill Wise'!C:C,B132,'Bill Wise'!H:H,"Above 365 Days")</f>
        <v>0</v>
      </c>
      <c r="P132" s="9">
        <f t="shared" si="8"/>
        <v>627771.51</v>
      </c>
      <c r="Q132" s="9">
        <f t="shared" si="9"/>
        <v>0</v>
      </c>
    </row>
    <row r="133" spans="1:17" s="17" customFormat="1" x14ac:dyDescent="0.25">
      <c r="A133" s="7">
        <v>128</v>
      </c>
      <c r="B133" s="8" t="s">
        <v>78</v>
      </c>
      <c r="C133" s="8" t="s">
        <v>312</v>
      </c>
      <c r="D133" s="8" t="s">
        <v>974</v>
      </c>
      <c r="E133" s="8" t="s">
        <v>975</v>
      </c>
      <c r="F133" s="8"/>
      <c r="G133" s="9">
        <f>IFERROR(SUMIFS(TB!C:C,TB!A:A,B133)-SUMIFS(TB!B:B,TB!A:A,B133),0)</f>
        <v>646998.80000000005</v>
      </c>
      <c r="H133" s="9">
        <f>SUMIFS('Bill Wise'!I:I,'Bill Wise'!C:C,B133,'Bill Wise'!H:H,"0-30 Days")</f>
        <v>632732.9</v>
      </c>
      <c r="I133" s="9">
        <f>SUMIFS('Bill Wise'!I:I,'Bill Wise'!C:C,B133,'Bill Wise'!H:H,"31-60 Days")</f>
        <v>0</v>
      </c>
      <c r="J133" s="9">
        <f>SUMIFS('Bill Wise'!I:I,'Bill Wise'!C:C,B133,'Bill Wise'!H:H,"61-90 Days")</f>
        <v>0</v>
      </c>
      <c r="K133" s="9">
        <f>SUMIFS('Bill Wise'!I:I,'Bill Wise'!C:C,B133,'Bill Wise'!H:H,"91-120 Days")</f>
        <v>0</v>
      </c>
      <c r="L133" s="9">
        <f>SUMIFS('Bill Wise'!I:I,'Bill Wise'!C:C,B133,'Bill Wise'!H:H,"121-150 Days")</f>
        <v>0</v>
      </c>
      <c r="M133" s="9">
        <f>SUMIFS('Bill Wise'!I:I,'Bill Wise'!C:C,B133,'Bill Wise'!H:H,"151-180 Days")</f>
        <v>0</v>
      </c>
      <c r="N133" s="9">
        <f>SUMIFS('Bill Wise'!I:I,'Bill Wise'!C:C,B133,'Bill Wise'!H:H,"181-365 Days")</f>
        <v>14265.9</v>
      </c>
      <c r="O133" s="9">
        <f>SUMIFS('Bill Wise'!I:I,'Bill Wise'!C:C,B133,'Bill Wise'!H:H,"Above 365 Days")</f>
        <v>0</v>
      </c>
      <c r="P133" s="9">
        <f t="shared" si="8"/>
        <v>646998.80000000005</v>
      </c>
      <c r="Q133" s="9">
        <f t="shared" si="9"/>
        <v>0</v>
      </c>
    </row>
    <row r="134" spans="1:17" s="17" customFormat="1" x14ac:dyDescent="0.25">
      <c r="A134" s="7">
        <v>129</v>
      </c>
      <c r="B134" s="8" t="s">
        <v>13</v>
      </c>
      <c r="C134" s="8" t="s">
        <v>970</v>
      </c>
      <c r="D134" s="8" t="s">
        <v>971</v>
      </c>
      <c r="E134" s="8" t="s">
        <v>976</v>
      </c>
      <c r="F134" s="8"/>
      <c r="G134" s="9">
        <f>IFERROR(SUMIFS(TB!C:C,TB!A:A,B134)-SUMIFS(TB!B:B,TB!A:A,B134),0)</f>
        <v>655797.07999999996</v>
      </c>
      <c r="H134" s="9">
        <f>SUMIFS('Bill Wise'!I:I,'Bill Wise'!C:C,B134,'Bill Wise'!H:H,"0-30 Days")</f>
        <v>454244.93</v>
      </c>
      <c r="I134" s="9">
        <f>SUMIFS('Bill Wise'!I:I,'Bill Wise'!C:C,B134,'Bill Wise'!H:H,"31-60 Days")</f>
        <v>190932.15</v>
      </c>
      <c r="J134" s="9">
        <f>SUMIFS('Bill Wise'!I:I,'Bill Wise'!C:C,B134,'Bill Wise'!H:H,"61-90 Days")</f>
        <v>0</v>
      </c>
      <c r="K134" s="9">
        <f>SUMIFS('Bill Wise'!I:I,'Bill Wise'!C:C,B134,'Bill Wise'!H:H,"91-120 Days")</f>
        <v>10620</v>
      </c>
      <c r="L134" s="9">
        <f>SUMIFS('Bill Wise'!I:I,'Bill Wise'!C:C,B134,'Bill Wise'!H:H,"121-150 Days")</f>
        <v>0</v>
      </c>
      <c r="M134" s="9">
        <f>SUMIFS('Bill Wise'!I:I,'Bill Wise'!C:C,B134,'Bill Wise'!H:H,"151-180 Days")</f>
        <v>0</v>
      </c>
      <c r="N134" s="9">
        <f>SUMIFS('Bill Wise'!I:I,'Bill Wise'!C:C,B134,'Bill Wise'!H:H,"181-365 Days")</f>
        <v>0</v>
      </c>
      <c r="O134" s="9">
        <f>SUMIFS('Bill Wise'!I:I,'Bill Wise'!C:C,B134,'Bill Wise'!H:H,"Above 365 Days")</f>
        <v>0</v>
      </c>
      <c r="P134" s="9">
        <f t="shared" si="8"/>
        <v>655797.07999999996</v>
      </c>
      <c r="Q134" s="9">
        <f t="shared" si="9"/>
        <v>0</v>
      </c>
    </row>
    <row r="135" spans="1:17" s="17" customFormat="1" x14ac:dyDescent="0.25">
      <c r="A135" s="7">
        <v>130</v>
      </c>
      <c r="B135" s="8" t="s">
        <v>193</v>
      </c>
      <c r="C135" s="8" t="s">
        <v>332</v>
      </c>
      <c r="D135" s="8" t="s">
        <v>971</v>
      </c>
      <c r="E135" s="8" t="s">
        <v>990</v>
      </c>
      <c r="F135" s="8"/>
      <c r="G135" s="9">
        <f>IFERROR(SUMIFS(TB!C:C,TB!A:A,B135)-SUMIFS(TB!B:B,TB!A:A,B135),0)</f>
        <v>666028.64</v>
      </c>
      <c r="H135" s="9">
        <f>SUMIFS('Bill Wise'!I:I,'Bill Wise'!C:C,B135,'Bill Wise'!H:H,"0-30 Days")</f>
        <v>0</v>
      </c>
      <c r="I135" s="9">
        <f>SUMIFS('Bill Wise'!I:I,'Bill Wise'!C:C,B135,'Bill Wise'!H:H,"31-60 Days")</f>
        <v>0</v>
      </c>
      <c r="J135" s="9">
        <f>SUMIFS('Bill Wise'!I:I,'Bill Wise'!C:C,B135,'Bill Wise'!H:H,"61-90 Days")</f>
        <v>0</v>
      </c>
      <c r="K135" s="9">
        <f>SUMIFS('Bill Wise'!I:I,'Bill Wise'!C:C,B135,'Bill Wise'!H:H,"91-120 Days")</f>
        <v>0</v>
      </c>
      <c r="L135" s="9">
        <f>SUMIFS('Bill Wise'!I:I,'Bill Wise'!C:C,B135,'Bill Wise'!H:H,"121-150 Days")</f>
        <v>114935.62</v>
      </c>
      <c r="M135" s="9">
        <f>SUMIFS('Bill Wise'!I:I,'Bill Wise'!C:C,B135,'Bill Wise'!H:H,"151-180 Days")</f>
        <v>0</v>
      </c>
      <c r="N135" s="9">
        <f>SUMIFS('Bill Wise'!I:I,'Bill Wise'!C:C,B135,'Bill Wise'!H:H,"181-365 Days")</f>
        <v>125155.8</v>
      </c>
      <c r="O135" s="9">
        <f>SUMIFS('Bill Wise'!I:I,'Bill Wise'!C:C,B135,'Bill Wise'!H:H,"Above 365 Days")</f>
        <v>425937.22</v>
      </c>
      <c r="P135" s="9">
        <f t="shared" si="8"/>
        <v>666028.6399999999</v>
      </c>
      <c r="Q135" s="9">
        <f t="shared" si="9"/>
        <v>0</v>
      </c>
    </row>
    <row r="136" spans="1:17" s="17" customFormat="1" x14ac:dyDescent="0.25">
      <c r="A136" s="7">
        <v>131</v>
      </c>
      <c r="B136" s="8" t="s">
        <v>110</v>
      </c>
      <c r="C136" s="8" t="s">
        <v>280</v>
      </c>
      <c r="D136" s="8" t="s">
        <v>971</v>
      </c>
      <c r="E136" s="8" t="s">
        <v>1000</v>
      </c>
      <c r="F136" s="8"/>
      <c r="G136" s="9">
        <f>IFERROR(SUMIFS(TB!C:C,TB!A:A,B136)-SUMIFS(TB!B:B,TB!A:A,B136),0)</f>
        <v>669710</v>
      </c>
      <c r="H136" s="9">
        <f>SUMIFS('Bill Wise'!I:I,'Bill Wise'!C:C,B136,'Bill Wise'!H:H,"0-30 Days")</f>
        <v>669710</v>
      </c>
      <c r="I136" s="9">
        <f>SUMIFS('Bill Wise'!I:I,'Bill Wise'!C:C,B136,'Bill Wise'!H:H,"31-60 Days")</f>
        <v>0</v>
      </c>
      <c r="J136" s="9">
        <f>SUMIFS('Bill Wise'!I:I,'Bill Wise'!C:C,B136,'Bill Wise'!H:H,"61-90 Days")</f>
        <v>0</v>
      </c>
      <c r="K136" s="9">
        <f>SUMIFS('Bill Wise'!I:I,'Bill Wise'!C:C,B136,'Bill Wise'!H:H,"91-120 Days")</f>
        <v>0</v>
      </c>
      <c r="L136" s="9">
        <f>SUMIFS('Bill Wise'!I:I,'Bill Wise'!C:C,B136,'Bill Wise'!H:H,"121-150 Days")</f>
        <v>0</v>
      </c>
      <c r="M136" s="9">
        <f>SUMIFS('Bill Wise'!I:I,'Bill Wise'!C:C,B136,'Bill Wise'!H:H,"151-180 Days")</f>
        <v>0</v>
      </c>
      <c r="N136" s="9">
        <f>SUMIFS('Bill Wise'!I:I,'Bill Wise'!C:C,B136,'Bill Wise'!H:H,"181-365 Days")</f>
        <v>0</v>
      </c>
      <c r="O136" s="9">
        <f>SUMIFS('Bill Wise'!I:I,'Bill Wise'!C:C,B136,'Bill Wise'!H:H,"Above 365 Days")</f>
        <v>0</v>
      </c>
      <c r="P136" s="9">
        <f t="shared" si="8"/>
        <v>669710</v>
      </c>
      <c r="Q136" s="9">
        <f t="shared" si="9"/>
        <v>0</v>
      </c>
    </row>
    <row r="137" spans="1:17" s="17" customFormat="1" x14ac:dyDescent="0.25">
      <c r="A137" s="7">
        <v>132</v>
      </c>
      <c r="B137" s="8" t="s">
        <v>194</v>
      </c>
      <c r="C137" s="8" t="s">
        <v>986</v>
      </c>
      <c r="D137" s="8" t="s">
        <v>971</v>
      </c>
      <c r="E137" s="8" t="s">
        <v>972</v>
      </c>
      <c r="F137" s="8"/>
      <c r="G137" s="9">
        <f>IFERROR(SUMIFS(TB!C:C,TB!A:A,B137)-SUMIFS(TB!B:B,TB!A:A,B137),0)</f>
        <v>678850</v>
      </c>
      <c r="H137" s="9">
        <f>SUMIFS('Bill Wise'!I:I,'Bill Wise'!C:C,B137,'Bill Wise'!H:H,"0-30 Days")</f>
        <v>678850</v>
      </c>
      <c r="I137" s="9">
        <f>SUMIFS('Bill Wise'!I:I,'Bill Wise'!C:C,B137,'Bill Wise'!H:H,"31-60 Days")</f>
        <v>0</v>
      </c>
      <c r="J137" s="9">
        <f>SUMIFS('Bill Wise'!I:I,'Bill Wise'!C:C,B137,'Bill Wise'!H:H,"61-90 Days")</f>
        <v>0</v>
      </c>
      <c r="K137" s="9">
        <f>SUMIFS('Bill Wise'!I:I,'Bill Wise'!C:C,B137,'Bill Wise'!H:H,"91-120 Days")</f>
        <v>0</v>
      </c>
      <c r="L137" s="9">
        <f>SUMIFS('Bill Wise'!I:I,'Bill Wise'!C:C,B137,'Bill Wise'!H:H,"121-150 Days")</f>
        <v>0</v>
      </c>
      <c r="M137" s="9">
        <f>SUMIFS('Bill Wise'!I:I,'Bill Wise'!C:C,B137,'Bill Wise'!H:H,"151-180 Days")</f>
        <v>0</v>
      </c>
      <c r="N137" s="9">
        <f>SUMIFS('Bill Wise'!I:I,'Bill Wise'!C:C,B137,'Bill Wise'!H:H,"181-365 Days")</f>
        <v>0</v>
      </c>
      <c r="O137" s="9">
        <f>SUMIFS('Bill Wise'!I:I,'Bill Wise'!C:C,B137,'Bill Wise'!H:H,"Above 365 Days")</f>
        <v>0</v>
      </c>
      <c r="P137" s="9">
        <f t="shared" si="8"/>
        <v>678850</v>
      </c>
      <c r="Q137" s="9">
        <f t="shared" si="9"/>
        <v>0</v>
      </c>
    </row>
    <row r="138" spans="1:17" s="17" customFormat="1" x14ac:dyDescent="0.25">
      <c r="A138" s="7">
        <v>133</v>
      </c>
      <c r="B138" s="8" t="s">
        <v>199</v>
      </c>
      <c r="C138" s="8" t="s">
        <v>347</v>
      </c>
      <c r="D138" s="8" t="s">
        <v>971</v>
      </c>
      <c r="E138" s="8" t="s">
        <v>990</v>
      </c>
      <c r="F138" s="8"/>
      <c r="G138" s="9">
        <f>IFERROR(SUMIFS(TB!C:C,TB!A:A,B138)-SUMIFS(TB!B:B,TB!A:A,B138),0)</f>
        <v>718579.4</v>
      </c>
      <c r="H138" s="9">
        <f>SUMIFS('Bill Wise'!I:I,'Bill Wise'!C:C,B138,'Bill Wise'!H:H,"0-30 Days")</f>
        <v>372451.64</v>
      </c>
      <c r="I138" s="9">
        <f>SUMIFS('Bill Wise'!I:I,'Bill Wise'!C:C,B138,'Bill Wise'!H:H,"31-60 Days")</f>
        <v>0</v>
      </c>
      <c r="J138" s="9">
        <f>SUMIFS('Bill Wise'!I:I,'Bill Wise'!C:C,B138,'Bill Wise'!H:H,"61-90 Days")</f>
        <v>0</v>
      </c>
      <c r="K138" s="9">
        <f>SUMIFS('Bill Wise'!I:I,'Bill Wise'!C:C,B138,'Bill Wise'!H:H,"91-120 Days")</f>
        <v>0</v>
      </c>
      <c r="L138" s="9">
        <f>SUMIFS('Bill Wise'!I:I,'Bill Wise'!C:C,B138,'Bill Wise'!H:H,"121-150 Days")</f>
        <v>0</v>
      </c>
      <c r="M138" s="9">
        <f>SUMIFS('Bill Wise'!I:I,'Bill Wise'!C:C,B138,'Bill Wise'!H:H,"151-180 Days")</f>
        <v>0</v>
      </c>
      <c r="N138" s="9">
        <f>SUMIFS('Bill Wise'!I:I,'Bill Wise'!C:C,B138,'Bill Wise'!H:H,"181-365 Days")</f>
        <v>0</v>
      </c>
      <c r="O138" s="9">
        <f>SUMIFS('Bill Wise'!I:I,'Bill Wise'!C:C,B138,'Bill Wise'!H:H,"Above 365 Days")</f>
        <v>346127.76</v>
      </c>
      <c r="P138" s="9">
        <f t="shared" si="8"/>
        <v>718579.4</v>
      </c>
      <c r="Q138" s="9">
        <f t="shared" si="9"/>
        <v>0</v>
      </c>
    </row>
    <row r="139" spans="1:17" s="17" customFormat="1" x14ac:dyDescent="0.25">
      <c r="A139" s="7">
        <v>134</v>
      </c>
      <c r="B139" s="8" t="s">
        <v>99</v>
      </c>
      <c r="C139" s="8" t="s">
        <v>306</v>
      </c>
      <c r="D139" s="8" t="s">
        <v>971</v>
      </c>
      <c r="E139" s="8" t="s">
        <v>975</v>
      </c>
      <c r="F139" s="8"/>
      <c r="G139" s="9">
        <f>IFERROR(SUMIFS(TB!C:C,TB!A:A,B139)-SUMIFS(TB!B:B,TB!A:A,B139),0)</f>
        <v>737946.57</v>
      </c>
      <c r="H139" s="9">
        <f>SUMIFS('Bill Wise'!I:I,'Bill Wise'!C:C,B139,'Bill Wise'!H:H,"0-30 Days")</f>
        <v>737946.57000000007</v>
      </c>
      <c r="I139" s="9">
        <f>SUMIFS('Bill Wise'!I:I,'Bill Wise'!C:C,B139,'Bill Wise'!H:H,"31-60 Days")</f>
        <v>0</v>
      </c>
      <c r="J139" s="9">
        <f>SUMIFS('Bill Wise'!I:I,'Bill Wise'!C:C,B139,'Bill Wise'!H:H,"61-90 Days")</f>
        <v>0</v>
      </c>
      <c r="K139" s="9">
        <f>SUMIFS('Bill Wise'!I:I,'Bill Wise'!C:C,B139,'Bill Wise'!H:H,"91-120 Days")</f>
        <v>0</v>
      </c>
      <c r="L139" s="9">
        <f>SUMIFS('Bill Wise'!I:I,'Bill Wise'!C:C,B139,'Bill Wise'!H:H,"121-150 Days")</f>
        <v>0</v>
      </c>
      <c r="M139" s="9">
        <f>SUMIFS('Bill Wise'!I:I,'Bill Wise'!C:C,B139,'Bill Wise'!H:H,"151-180 Days")</f>
        <v>0</v>
      </c>
      <c r="N139" s="9">
        <f>SUMIFS('Bill Wise'!I:I,'Bill Wise'!C:C,B139,'Bill Wise'!H:H,"181-365 Days")</f>
        <v>0</v>
      </c>
      <c r="O139" s="9">
        <f>SUMIFS('Bill Wise'!I:I,'Bill Wise'!C:C,B139,'Bill Wise'!H:H,"Above 365 Days")</f>
        <v>0</v>
      </c>
      <c r="P139" s="9">
        <f t="shared" si="8"/>
        <v>737946.57000000007</v>
      </c>
      <c r="Q139" s="9">
        <f t="shared" si="9"/>
        <v>0</v>
      </c>
    </row>
    <row r="140" spans="1:17" s="17" customFormat="1" x14ac:dyDescent="0.25">
      <c r="A140" s="7">
        <v>135</v>
      </c>
      <c r="B140" s="8" t="s">
        <v>210</v>
      </c>
      <c r="C140" s="8" t="s">
        <v>332</v>
      </c>
      <c r="D140" s="8" t="s">
        <v>974</v>
      </c>
      <c r="E140" s="8" t="s">
        <v>975</v>
      </c>
      <c r="F140" s="8"/>
      <c r="G140" s="9">
        <f>IFERROR(SUMIFS(TB!C:C,TB!A:A,B140)-SUMIFS(TB!B:B,TB!A:A,B140),0)</f>
        <v>738390.85</v>
      </c>
      <c r="H140" s="9">
        <f>SUMIFS('Bill Wise'!I:I,'Bill Wise'!C:C,B140,'Bill Wise'!H:H,"0-30 Days")</f>
        <v>344426.04000000004</v>
      </c>
      <c r="I140" s="9">
        <f>SUMIFS('Bill Wise'!I:I,'Bill Wise'!C:C,B140,'Bill Wise'!H:H,"31-60 Days")</f>
        <v>393964.81</v>
      </c>
      <c r="J140" s="9">
        <f>SUMIFS('Bill Wise'!I:I,'Bill Wise'!C:C,B140,'Bill Wise'!H:H,"61-90 Days")</f>
        <v>0</v>
      </c>
      <c r="K140" s="9">
        <f>SUMIFS('Bill Wise'!I:I,'Bill Wise'!C:C,B140,'Bill Wise'!H:H,"91-120 Days")</f>
        <v>0</v>
      </c>
      <c r="L140" s="9">
        <f>SUMIFS('Bill Wise'!I:I,'Bill Wise'!C:C,B140,'Bill Wise'!H:H,"121-150 Days")</f>
        <v>0</v>
      </c>
      <c r="M140" s="9">
        <f>SUMIFS('Bill Wise'!I:I,'Bill Wise'!C:C,B140,'Bill Wise'!H:H,"151-180 Days")</f>
        <v>0</v>
      </c>
      <c r="N140" s="9">
        <f>SUMIFS('Bill Wise'!I:I,'Bill Wise'!C:C,B140,'Bill Wise'!H:H,"181-365 Days")</f>
        <v>0</v>
      </c>
      <c r="O140" s="9">
        <f>SUMIFS('Bill Wise'!I:I,'Bill Wise'!C:C,B140,'Bill Wise'!H:H,"Above 365 Days")</f>
        <v>0</v>
      </c>
      <c r="P140" s="9">
        <f t="shared" si="8"/>
        <v>738390.85000000009</v>
      </c>
      <c r="Q140" s="9">
        <f t="shared" si="9"/>
        <v>0</v>
      </c>
    </row>
    <row r="141" spans="1:17" s="17" customFormat="1" x14ac:dyDescent="0.25">
      <c r="A141" s="7">
        <v>136</v>
      </c>
      <c r="B141" s="8" t="s">
        <v>174</v>
      </c>
      <c r="C141" s="8" t="s">
        <v>319</v>
      </c>
      <c r="D141" s="8" t="s">
        <v>974</v>
      </c>
      <c r="E141" s="8" t="s">
        <v>975</v>
      </c>
      <c r="F141" s="8"/>
      <c r="G141" s="9">
        <f>IFERROR(SUMIFS(TB!C:C,TB!A:A,B141)-SUMIFS(TB!B:B,TB!A:A,B141),0)</f>
        <v>747040</v>
      </c>
      <c r="H141" s="9">
        <f>SUMIFS('Bill Wise'!I:I,'Bill Wise'!C:C,B141,'Bill Wise'!H:H,"0-30 Days")</f>
        <v>442540</v>
      </c>
      <c r="I141" s="9">
        <f>SUMIFS('Bill Wise'!I:I,'Bill Wise'!C:C,B141,'Bill Wise'!H:H,"31-60 Days")</f>
        <v>304500</v>
      </c>
      <c r="J141" s="9">
        <f>SUMIFS('Bill Wise'!I:I,'Bill Wise'!C:C,B141,'Bill Wise'!H:H,"61-90 Days")</f>
        <v>0</v>
      </c>
      <c r="K141" s="9">
        <f>SUMIFS('Bill Wise'!I:I,'Bill Wise'!C:C,B141,'Bill Wise'!H:H,"91-120 Days")</f>
        <v>0</v>
      </c>
      <c r="L141" s="9">
        <f>SUMIFS('Bill Wise'!I:I,'Bill Wise'!C:C,B141,'Bill Wise'!H:H,"121-150 Days")</f>
        <v>0</v>
      </c>
      <c r="M141" s="9">
        <f>SUMIFS('Bill Wise'!I:I,'Bill Wise'!C:C,B141,'Bill Wise'!H:H,"151-180 Days")</f>
        <v>0</v>
      </c>
      <c r="N141" s="9">
        <f>SUMIFS('Bill Wise'!I:I,'Bill Wise'!C:C,B141,'Bill Wise'!H:H,"181-365 Days")</f>
        <v>0</v>
      </c>
      <c r="O141" s="9">
        <f>SUMIFS('Bill Wise'!I:I,'Bill Wise'!C:C,B141,'Bill Wise'!H:H,"Above 365 Days")</f>
        <v>0</v>
      </c>
      <c r="P141" s="9">
        <f t="shared" si="8"/>
        <v>747040</v>
      </c>
      <c r="Q141" s="9">
        <f t="shared" si="9"/>
        <v>0</v>
      </c>
    </row>
    <row r="142" spans="1:17" s="17" customFormat="1" x14ac:dyDescent="0.25">
      <c r="A142" s="7">
        <v>137</v>
      </c>
      <c r="B142" s="8" t="s">
        <v>156</v>
      </c>
      <c r="C142" s="8" t="s">
        <v>306</v>
      </c>
      <c r="D142" s="8" t="s">
        <v>971</v>
      </c>
      <c r="E142" s="8" t="s">
        <v>972</v>
      </c>
      <c r="F142" s="8"/>
      <c r="G142" s="9">
        <f>IFERROR(SUMIFS(TB!C:C,TB!A:A,B142)-SUMIFS(TB!B:B,TB!A:A,B142),0)</f>
        <v>761276.68</v>
      </c>
      <c r="H142" s="9">
        <f>SUMIFS('Bill Wise'!I:I,'Bill Wise'!C:C,B142,'Bill Wise'!H:H,"0-30 Days")</f>
        <v>0</v>
      </c>
      <c r="I142" s="9">
        <f>SUMIFS('Bill Wise'!I:I,'Bill Wise'!C:C,B142,'Bill Wise'!H:H,"31-60 Days")</f>
        <v>22868.400000000001</v>
      </c>
      <c r="J142" s="9">
        <f>SUMIFS('Bill Wise'!I:I,'Bill Wise'!C:C,B142,'Bill Wise'!H:H,"61-90 Days")</f>
        <v>465351.88</v>
      </c>
      <c r="K142" s="9">
        <f>SUMIFS('Bill Wise'!I:I,'Bill Wise'!C:C,B142,'Bill Wise'!H:H,"91-120 Days")</f>
        <v>273056.40000000002</v>
      </c>
      <c r="L142" s="9">
        <f>SUMIFS('Bill Wise'!I:I,'Bill Wise'!C:C,B142,'Bill Wise'!H:H,"121-150 Days")</f>
        <v>0</v>
      </c>
      <c r="M142" s="9">
        <f>SUMIFS('Bill Wise'!I:I,'Bill Wise'!C:C,B142,'Bill Wise'!H:H,"151-180 Days")</f>
        <v>0</v>
      </c>
      <c r="N142" s="9">
        <f>SUMIFS('Bill Wise'!I:I,'Bill Wise'!C:C,B142,'Bill Wise'!H:H,"181-365 Days")</f>
        <v>0</v>
      </c>
      <c r="O142" s="9">
        <f>SUMIFS('Bill Wise'!I:I,'Bill Wise'!C:C,B142,'Bill Wise'!H:H,"Above 365 Days")</f>
        <v>0</v>
      </c>
      <c r="P142" s="9">
        <f t="shared" si="8"/>
        <v>761276.68</v>
      </c>
      <c r="Q142" s="9">
        <f t="shared" si="9"/>
        <v>0</v>
      </c>
    </row>
    <row r="143" spans="1:17" s="17" customFormat="1" x14ac:dyDescent="0.25">
      <c r="A143" s="7">
        <v>138</v>
      </c>
      <c r="B143" s="8" t="s">
        <v>101</v>
      </c>
      <c r="C143" s="8" t="s">
        <v>280</v>
      </c>
      <c r="D143" s="8" t="s">
        <v>971</v>
      </c>
      <c r="E143" s="8" t="s">
        <v>976</v>
      </c>
      <c r="F143" s="8"/>
      <c r="G143" s="9">
        <f>IFERROR(SUMIFS(TB!C:C,TB!A:A,B143)-SUMIFS(TB!B:B,TB!A:A,B143),0)</f>
        <v>767000</v>
      </c>
      <c r="H143" s="9">
        <f>SUMIFS('Bill Wise'!I:I,'Bill Wise'!C:C,B143,'Bill Wise'!H:H,"0-30 Days")</f>
        <v>767000</v>
      </c>
      <c r="I143" s="9">
        <f>SUMIFS('Bill Wise'!I:I,'Bill Wise'!C:C,B143,'Bill Wise'!H:H,"31-60 Days")</f>
        <v>0</v>
      </c>
      <c r="J143" s="9">
        <f>SUMIFS('Bill Wise'!I:I,'Bill Wise'!C:C,B143,'Bill Wise'!H:H,"61-90 Days")</f>
        <v>0</v>
      </c>
      <c r="K143" s="9">
        <f>SUMIFS('Bill Wise'!I:I,'Bill Wise'!C:C,B143,'Bill Wise'!H:H,"91-120 Days")</f>
        <v>0</v>
      </c>
      <c r="L143" s="9">
        <f>SUMIFS('Bill Wise'!I:I,'Bill Wise'!C:C,B143,'Bill Wise'!H:H,"121-150 Days")</f>
        <v>0</v>
      </c>
      <c r="M143" s="9">
        <f>SUMIFS('Bill Wise'!I:I,'Bill Wise'!C:C,B143,'Bill Wise'!H:H,"151-180 Days")</f>
        <v>0</v>
      </c>
      <c r="N143" s="9">
        <f>SUMIFS('Bill Wise'!I:I,'Bill Wise'!C:C,B143,'Bill Wise'!H:H,"181-365 Days")</f>
        <v>0</v>
      </c>
      <c r="O143" s="9">
        <f>SUMIFS('Bill Wise'!I:I,'Bill Wise'!C:C,B143,'Bill Wise'!H:H,"Above 365 Days")</f>
        <v>0</v>
      </c>
      <c r="P143" s="9">
        <f t="shared" si="8"/>
        <v>767000</v>
      </c>
      <c r="Q143" s="9">
        <f t="shared" si="9"/>
        <v>0</v>
      </c>
    </row>
    <row r="144" spans="1:17" s="17" customFormat="1" x14ac:dyDescent="0.25">
      <c r="A144" s="7">
        <v>139</v>
      </c>
      <c r="B144" s="8" t="s">
        <v>84</v>
      </c>
      <c r="C144" s="8" t="s">
        <v>306</v>
      </c>
      <c r="D144" s="8" t="s">
        <v>979</v>
      </c>
      <c r="E144" s="8" t="s">
        <v>980</v>
      </c>
      <c r="F144" s="8"/>
      <c r="G144" s="9">
        <f>IFERROR(SUMIFS(TB!C:C,TB!A:A,B144)-SUMIFS(TB!B:B,TB!A:A,B144),0)</f>
        <v>785297</v>
      </c>
      <c r="H144" s="9">
        <f>SUMIFS('Bill Wise'!I:I,'Bill Wise'!C:C,B144,'Bill Wise'!H:H,"0-30 Days")</f>
        <v>520649</v>
      </c>
      <c r="I144" s="9">
        <f>SUMIFS('Bill Wise'!I:I,'Bill Wise'!C:C,B144,'Bill Wise'!H:H,"31-60 Days")</f>
        <v>264648</v>
      </c>
      <c r="J144" s="9">
        <f>SUMIFS('Bill Wise'!I:I,'Bill Wise'!C:C,B144,'Bill Wise'!H:H,"61-90 Days")</f>
        <v>0</v>
      </c>
      <c r="K144" s="9">
        <f>SUMIFS('Bill Wise'!I:I,'Bill Wise'!C:C,B144,'Bill Wise'!H:H,"91-120 Days")</f>
        <v>0</v>
      </c>
      <c r="L144" s="9">
        <f>SUMIFS('Bill Wise'!I:I,'Bill Wise'!C:C,B144,'Bill Wise'!H:H,"121-150 Days")</f>
        <v>0</v>
      </c>
      <c r="M144" s="9">
        <f>SUMIFS('Bill Wise'!I:I,'Bill Wise'!C:C,B144,'Bill Wise'!H:H,"151-180 Days")</f>
        <v>0</v>
      </c>
      <c r="N144" s="9">
        <f>SUMIFS('Bill Wise'!I:I,'Bill Wise'!C:C,B144,'Bill Wise'!H:H,"181-365 Days")</f>
        <v>0</v>
      </c>
      <c r="O144" s="9">
        <f>SUMIFS('Bill Wise'!I:I,'Bill Wise'!C:C,B144,'Bill Wise'!H:H,"Above 365 Days")</f>
        <v>0</v>
      </c>
      <c r="P144" s="9">
        <f t="shared" si="8"/>
        <v>785297</v>
      </c>
      <c r="Q144" s="9">
        <f t="shared" si="9"/>
        <v>0</v>
      </c>
    </row>
    <row r="145" spans="1:17" s="17" customFormat="1" x14ac:dyDescent="0.25">
      <c r="A145" s="7">
        <v>140</v>
      </c>
      <c r="B145" s="8" t="s">
        <v>96</v>
      </c>
      <c r="C145" s="8" t="s">
        <v>312</v>
      </c>
      <c r="D145" s="8" t="s">
        <v>995</v>
      </c>
      <c r="E145" s="8" t="s">
        <v>995</v>
      </c>
      <c r="F145" s="8"/>
      <c r="G145" s="9">
        <f>IFERROR(SUMIFS(TB!C:C,TB!A:A,B145)-SUMIFS(TB!B:B,TB!A:A,B145),0)</f>
        <v>786935</v>
      </c>
      <c r="H145" s="9">
        <f>SUMIFS('Bill Wise'!I:I,'Bill Wise'!C:C,B145,'Bill Wise'!H:H,"0-30 Days")</f>
        <v>0</v>
      </c>
      <c r="I145" s="9">
        <f>SUMIFS('Bill Wise'!I:I,'Bill Wise'!C:C,B145,'Bill Wise'!H:H,"31-60 Days")</f>
        <v>0</v>
      </c>
      <c r="J145" s="9">
        <f>SUMIFS('Bill Wise'!I:I,'Bill Wise'!C:C,B145,'Bill Wise'!H:H,"61-90 Days")</f>
        <v>0</v>
      </c>
      <c r="K145" s="9">
        <f>SUMIFS('Bill Wise'!I:I,'Bill Wise'!C:C,B145,'Bill Wise'!H:H,"91-120 Days")</f>
        <v>0</v>
      </c>
      <c r="L145" s="9">
        <f>SUMIFS('Bill Wise'!I:I,'Bill Wise'!C:C,B145,'Bill Wise'!H:H,"121-150 Days")</f>
        <v>0</v>
      </c>
      <c r="M145" s="9">
        <f>SUMIFS('Bill Wise'!I:I,'Bill Wise'!C:C,B145,'Bill Wise'!H:H,"151-180 Days")</f>
        <v>0</v>
      </c>
      <c r="N145" s="9">
        <f>SUMIFS('Bill Wise'!I:I,'Bill Wise'!C:C,B145,'Bill Wise'!H:H,"181-365 Days")</f>
        <v>0</v>
      </c>
      <c r="O145" s="9">
        <f>SUMIFS('Bill Wise'!I:I,'Bill Wise'!C:C,B145,'Bill Wise'!H:H,"Above 365 Days")</f>
        <v>786935</v>
      </c>
      <c r="P145" s="9">
        <f t="shared" si="8"/>
        <v>786935</v>
      </c>
      <c r="Q145" s="9">
        <f t="shared" si="9"/>
        <v>0</v>
      </c>
    </row>
    <row r="146" spans="1:17" s="17" customFormat="1" x14ac:dyDescent="0.25">
      <c r="A146" s="7">
        <v>141</v>
      </c>
      <c r="B146" s="8" t="s">
        <v>53</v>
      </c>
      <c r="C146" s="8" t="s">
        <v>317</v>
      </c>
      <c r="D146" s="8" t="s">
        <v>981</v>
      </c>
      <c r="E146" s="8" t="s">
        <v>981</v>
      </c>
      <c r="F146" s="8"/>
      <c r="G146" s="9">
        <f>IFERROR(SUMIFS(TB!C:C,TB!A:A,B146)-SUMIFS(TB!B:B,TB!A:A,B146),0)</f>
        <v>827999.28</v>
      </c>
      <c r="H146" s="9">
        <f>SUMIFS('Bill Wise'!I:I,'Bill Wise'!C:C,B146,'Bill Wise'!H:H,"0-30 Days")</f>
        <v>827999.28</v>
      </c>
      <c r="I146" s="9">
        <f>SUMIFS('Bill Wise'!I:I,'Bill Wise'!C:C,B146,'Bill Wise'!H:H,"31-60 Days")</f>
        <v>0</v>
      </c>
      <c r="J146" s="9">
        <f>SUMIFS('Bill Wise'!I:I,'Bill Wise'!C:C,B146,'Bill Wise'!H:H,"61-90 Days")</f>
        <v>0</v>
      </c>
      <c r="K146" s="9">
        <f>SUMIFS('Bill Wise'!I:I,'Bill Wise'!C:C,B146,'Bill Wise'!H:H,"91-120 Days")</f>
        <v>0</v>
      </c>
      <c r="L146" s="9">
        <f>SUMIFS('Bill Wise'!I:I,'Bill Wise'!C:C,B146,'Bill Wise'!H:H,"121-150 Days")</f>
        <v>0</v>
      </c>
      <c r="M146" s="9">
        <f>SUMIFS('Bill Wise'!I:I,'Bill Wise'!C:C,B146,'Bill Wise'!H:H,"151-180 Days")</f>
        <v>0</v>
      </c>
      <c r="N146" s="9">
        <f>SUMIFS('Bill Wise'!I:I,'Bill Wise'!C:C,B146,'Bill Wise'!H:H,"181-365 Days")</f>
        <v>0</v>
      </c>
      <c r="O146" s="9">
        <f>SUMIFS('Bill Wise'!I:I,'Bill Wise'!C:C,B146,'Bill Wise'!H:H,"Above 365 Days")</f>
        <v>0</v>
      </c>
      <c r="P146" s="9">
        <f t="shared" si="8"/>
        <v>827999.28</v>
      </c>
      <c r="Q146" s="9">
        <f t="shared" si="9"/>
        <v>0</v>
      </c>
    </row>
    <row r="147" spans="1:17" s="17" customFormat="1" x14ac:dyDescent="0.25">
      <c r="A147" s="7">
        <v>142</v>
      </c>
      <c r="B147" s="8" t="s">
        <v>177</v>
      </c>
      <c r="C147" s="8" t="s">
        <v>232</v>
      </c>
      <c r="D147" s="8" t="s">
        <v>979</v>
      </c>
      <c r="E147" s="8">
        <v>0</v>
      </c>
      <c r="F147" s="8"/>
      <c r="G147" s="9">
        <f>IFERROR(SUMIFS(TB!C:C,TB!A:A,B147)-SUMIFS(TB!B:B,TB!A:A,B147),0)</f>
        <v>835462.18</v>
      </c>
      <c r="H147" s="9">
        <f>SUMIFS('Bill Wise'!I:I,'Bill Wise'!C:C,B147,'Bill Wise'!H:H,"0-30 Days")</f>
        <v>835462.18</v>
      </c>
      <c r="I147" s="9">
        <f>SUMIFS('Bill Wise'!I:I,'Bill Wise'!C:C,B147,'Bill Wise'!H:H,"31-60 Days")</f>
        <v>0</v>
      </c>
      <c r="J147" s="9">
        <f>SUMIFS('Bill Wise'!I:I,'Bill Wise'!C:C,B147,'Bill Wise'!H:H,"61-90 Days")</f>
        <v>0</v>
      </c>
      <c r="K147" s="9">
        <f>SUMIFS('Bill Wise'!I:I,'Bill Wise'!C:C,B147,'Bill Wise'!H:H,"91-120 Days")</f>
        <v>0</v>
      </c>
      <c r="L147" s="9">
        <f>SUMIFS('Bill Wise'!I:I,'Bill Wise'!C:C,B147,'Bill Wise'!H:H,"121-150 Days")</f>
        <v>0</v>
      </c>
      <c r="M147" s="9">
        <f>SUMIFS('Bill Wise'!I:I,'Bill Wise'!C:C,B147,'Bill Wise'!H:H,"151-180 Days")</f>
        <v>0</v>
      </c>
      <c r="N147" s="9">
        <f>SUMIFS('Bill Wise'!I:I,'Bill Wise'!C:C,B147,'Bill Wise'!H:H,"181-365 Days")</f>
        <v>0</v>
      </c>
      <c r="O147" s="9">
        <f>SUMIFS('Bill Wise'!I:I,'Bill Wise'!C:C,B147,'Bill Wise'!H:H,"Above 365 Days")</f>
        <v>0</v>
      </c>
      <c r="P147" s="9">
        <f t="shared" si="8"/>
        <v>835462.18</v>
      </c>
      <c r="Q147" s="9">
        <f t="shared" si="9"/>
        <v>0</v>
      </c>
    </row>
    <row r="148" spans="1:17" s="17" customFormat="1" x14ac:dyDescent="0.25">
      <c r="A148" s="7">
        <v>143</v>
      </c>
      <c r="B148" s="8" t="s">
        <v>20</v>
      </c>
      <c r="C148" s="8" t="s">
        <v>332</v>
      </c>
      <c r="D148" s="8" t="s">
        <v>979</v>
      </c>
      <c r="E148" s="8" t="s">
        <v>980</v>
      </c>
      <c r="F148" s="8"/>
      <c r="G148" s="9">
        <f>IFERROR(SUMIFS(TB!C:C,TB!A:A,B148)-SUMIFS(TB!B:B,TB!A:A,B148),0)</f>
        <v>848978.08</v>
      </c>
      <c r="H148" s="9">
        <f>SUMIFS('Bill Wise'!I:I,'Bill Wise'!C:C,B148,'Bill Wise'!H:H,"0-30 Days")</f>
        <v>848978.08</v>
      </c>
      <c r="I148" s="9">
        <f>SUMIFS('Bill Wise'!I:I,'Bill Wise'!C:C,B148,'Bill Wise'!H:H,"31-60 Days")</f>
        <v>0</v>
      </c>
      <c r="J148" s="9">
        <f>SUMIFS('Bill Wise'!I:I,'Bill Wise'!C:C,B148,'Bill Wise'!H:H,"61-90 Days")</f>
        <v>0</v>
      </c>
      <c r="K148" s="9">
        <f>SUMIFS('Bill Wise'!I:I,'Bill Wise'!C:C,B148,'Bill Wise'!H:H,"91-120 Days")</f>
        <v>0</v>
      </c>
      <c r="L148" s="9">
        <f>SUMIFS('Bill Wise'!I:I,'Bill Wise'!C:C,B148,'Bill Wise'!H:H,"121-150 Days")</f>
        <v>0</v>
      </c>
      <c r="M148" s="9">
        <f>SUMIFS('Bill Wise'!I:I,'Bill Wise'!C:C,B148,'Bill Wise'!H:H,"151-180 Days")</f>
        <v>0</v>
      </c>
      <c r="N148" s="9">
        <f>SUMIFS('Bill Wise'!I:I,'Bill Wise'!C:C,B148,'Bill Wise'!H:H,"181-365 Days")</f>
        <v>0</v>
      </c>
      <c r="O148" s="9">
        <f>SUMIFS('Bill Wise'!I:I,'Bill Wise'!C:C,B148,'Bill Wise'!H:H,"Above 365 Days")</f>
        <v>0</v>
      </c>
      <c r="P148" s="9">
        <f t="shared" si="8"/>
        <v>848978.08</v>
      </c>
      <c r="Q148" s="9">
        <f t="shared" si="9"/>
        <v>0</v>
      </c>
    </row>
    <row r="149" spans="1:17" s="17" customFormat="1" x14ac:dyDescent="0.25">
      <c r="A149" s="7">
        <v>144</v>
      </c>
      <c r="B149" s="8" t="s">
        <v>120</v>
      </c>
      <c r="C149" s="8" t="s">
        <v>598</v>
      </c>
      <c r="D149" s="8" t="s">
        <v>979</v>
      </c>
      <c r="E149" s="8" t="s">
        <v>985</v>
      </c>
      <c r="F149" s="8"/>
      <c r="G149" s="9">
        <f>IFERROR(SUMIFS(TB!C:C,TB!A:A,B149)-SUMIFS(TB!B:B,TB!A:A,B149),0)</f>
        <v>866710</v>
      </c>
      <c r="H149" s="9">
        <f>SUMIFS('Bill Wise'!I:I,'Bill Wise'!C:C,B149,'Bill Wise'!H:H,"0-30 Days")</f>
        <v>406510</v>
      </c>
      <c r="I149" s="9">
        <f>SUMIFS('Bill Wise'!I:I,'Bill Wise'!C:C,B149,'Bill Wise'!H:H,"31-60 Days")</f>
        <v>0</v>
      </c>
      <c r="J149" s="9">
        <f>SUMIFS('Bill Wise'!I:I,'Bill Wise'!C:C,B149,'Bill Wise'!H:H,"61-90 Days")</f>
        <v>460200</v>
      </c>
      <c r="K149" s="9">
        <f>SUMIFS('Bill Wise'!I:I,'Bill Wise'!C:C,B149,'Bill Wise'!H:H,"91-120 Days")</f>
        <v>0</v>
      </c>
      <c r="L149" s="9">
        <f>SUMIFS('Bill Wise'!I:I,'Bill Wise'!C:C,B149,'Bill Wise'!H:H,"121-150 Days")</f>
        <v>0</v>
      </c>
      <c r="M149" s="9">
        <f>SUMIFS('Bill Wise'!I:I,'Bill Wise'!C:C,B149,'Bill Wise'!H:H,"151-180 Days")</f>
        <v>0</v>
      </c>
      <c r="N149" s="9">
        <f>SUMIFS('Bill Wise'!I:I,'Bill Wise'!C:C,B149,'Bill Wise'!H:H,"181-365 Days")</f>
        <v>0</v>
      </c>
      <c r="O149" s="9">
        <f>SUMIFS('Bill Wise'!I:I,'Bill Wise'!C:C,B149,'Bill Wise'!H:H,"Above 365 Days")</f>
        <v>0</v>
      </c>
      <c r="P149" s="9">
        <f t="shared" si="8"/>
        <v>866710</v>
      </c>
      <c r="Q149" s="9">
        <f t="shared" si="9"/>
        <v>0</v>
      </c>
    </row>
    <row r="150" spans="1:17" s="17" customFormat="1" x14ac:dyDescent="0.25">
      <c r="A150" s="7">
        <v>145</v>
      </c>
      <c r="B150" s="8" t="s">
        <v>82</v>
      </c>
      <c r="C150" s="8" t="s">
        <v>977</v>
      </c>
      <c r="D150" s="8" t="s">
        <v>971</v>
      </c>
      <c r="E150" s="8" t="s">
        <v>975</v>
      </c>
      <c r="F150" s="8"/>
      <c r="G150" s="9">
        <f>IFERROR(SUMIFS(TB!C:C,TB!A:A,B150)-SUMIFS(TB!B:B,TB!A:A,B150),0)</f>
        <v>899181</v>
      </c>
      <c r="H150" s="9">
        <f>SUMIFS('Bill Wise'!I:I,'Bill Wise'!C:C,B150,'Bill Wise'!H:H,"0-30 Days")</f>
        <v>899181</v>
      </c>
      <c r="I150" s="9">
        <f>SUMIFS('Bill Wise'!I:I,'Bill Wise'!C:C,B150,'Bill Wise'!H:H,"31-60 Days")</f>
        <v>0</v>
      </c>
      <c r="J150" s="9">
        <f>SUMIFS('Bill Wise'!I:I,'Bill Wise'!C:C,B150,'Bill Wise'!H:H,"61-90 Days")</f>
        <v>0</v>
      </c>
      <c r="K150" s="9">
        <f>SUMIFS('Bill Wise'!I:I,'Bill Wise'!C:C,B150,'Bill Wise'!H:H,"91-120 Days")</f>
        <v>0</v>
      </c>
      <c r="L150" s="9">
        <f>SUMIFS('Bill Wise'!I:I,'Bill Wise'!C:C,B150,'Bill Wise'!H:H,"121-150 Days")</f>
        <v>0</v>
      </c>
      <c r="M150" s="9">
        <f>SUMIFS('Bill Wise'!I:I,'Bill Wise'!C:C,B150,'Bill Wise'!H:H,"151-180 Days")</f>
        <v>0</v>
      </c>
      <c r="N150" s="9">
        <f>SUMIFS('Bill Wise'!I:I,'Bill Wise'!C:C,B150,'Bill Wise'!H:H,"181-365 Days")</f>
        <v>0</v>
      </c>
      <c r="O150" s="9">
        <f>SUMIFS('Bill Wise'!I:I,'Bill Wise'!C:C,B150,'Bill Wise'!H:H,"Above 365 Days")</f>
        <v>0</v>
      </c>
      <c r="P150" s="9">
        <f t="shared" si="8"/>
        <v>899181</v>
      </c>
      <c r="Q150" s="9">
        <f t="shared" si="9"/>
        <v>0</v>
      </c>
    </row>
    <row r="151" spans="1:17" s="17" customFormat="1" x14ac:dyDescent="0.25">
      <c r="A151" s="7">
        <v>146</v>
      </c>
      <c r="B151" s="8" t="s">
        <v>131</v>
      </c>
      <c r="C151" s="8" t="s">
        <v>306</v>
      </c>
      <c r="D151" s="8" t="s">
        <v>995</v>
      </c>
      <c r="E151" s="8" t="s">
        <v>995</v>
      </c>
      <c r="F151" s="8"/>
      <c r="G151" s="9">
        <f>IFERROR(SUMIFS(TB!C:C,TB!A:A,B151)-SUMIFS(TB!B:B,TB!A:A,B151),0)</f>
        <v>913160</v>
      </c>
      <c r="H151" s="9">
        <f>SUMIFS('Bill Wise'!I:I,'Bill Wise'!C:C,B151,'Bill Wise'!H:H,"0-30 Days")</f>
        <v>0</v>
      </c>
      <c r="I151" s="9">
        <f>SUMIFS('Bill Wise'!I:I,'Bill Wise'!C:C,B151,'Bill Wise'!H:H,"31-60 Days")</f>
        <v>0</v>
      </c>
      <c r="J151" s="9">
        <f>SUMIFS('Bill Wise'!I:I,'Bill Wise'!C:C,B151,'Bill Wise'!H:H,"61-90 Days")</f>
        <v>0</v>
      </c>
      <c r="K151" s="9">
        <f>SUMIFS('Bill Wise'!I:I,'Bill Wise'!C:C,B151,'Bill Wise'!H:H,"91-120 Days")</f>
        <v>0</v>
      </c>
      <c r="L151" s="9">
        <f>SUMIFS('Bill Wise'!I:I,'Bill Wise'!C:C,B151,'Bill Wise'!H:H,"121-150 Days")</f>
        <v>0</v>
      </c>
      <c r="M151" s="9">
        <f>SUMIFS('Bill Wise'!I:I,'Bill Wise'!C:C,B151,'Bill Wise'!H:H,"151-180 Days")</f>
        <v>0</v>
      </c>
      <c r="N151" s="9">
        <f>SUMIFS('Bill Wise'!I:I,'Bill Wise'!C:C,B151,'Bill Wise'!H:H,"181-365 Days")</f>
        <v>0</v>
      </c>
      <c r="O151" s="9">
        <f>SUMIFS('Bill Wise'!I:I,'Bill Wise'!C:C,B151,'Bill Wise'!H:H,"Above 365 Days")</f>
        <v>913160</v>
      </c>
      <c r="P151" s="9">
        <f t="shared" si="8"/>
        <v>913160</v>
      </c>
      <c r="Q151" s="9">
        <f t="shared" si="9"/>
        <v>0</v>
      </c>
    </row>
    <row r="152" spans="1:17" s="17" customFormat="1" x14ac:dyDescent="0.25">
      <c r="A152" s="7">
        <v>147</v>
      </c>
      <c r="B152" s="8" t="s">
        <v>32</v>
      </c>
      <c r="C152" s="8" t="s">
        <v>319</v>
      </c>
      <c r="D152" s="8" t="s">
        <v>974</v>
      </c>
      <c r="E152" s="8" t="s">
        <v>975</v>
      </c>
      <c r="F152" s="8"/>
      <c r="G152" s="9">
        <f>IFERROR(SUMIFS(TB!C:C,TB!A:A,B152)-SUMIFS(TB!B:B,TB!A:A,B152),0)</f>
        <v>968310</v>
      </c>
      <c r="H152" s="9">
        <f>SUMIFS('Bill Wise'!I:I,'Bill Wise'!C:C,B152,'Bill Wise'!H:H,"0-30 Days")</f>
        <v>558250</v>
      </c>
      <c r="I152" s="9">
        <f>SUMIFS('Bill Wise'!I:I,'Bill Wise'!C:C,B152,'Bill Wise'!H:H,"31-60 Days")</f>
        <v>410060</v>
      </c>
      <c r="J152" s="9">
        <f>SUMIFS('Bill Wise'!I:I,'Bill Wise'!C:C,B152,'Bill Wise'!H:H,"61-90 Days")</f>
        <v>0</v>
      </c>
      <c r="K152" s="9">
        <f>SUMIFS('Bill Wise'!I:I,'Bill Wise'!C:C,B152,'Bill Wise'!H:H,"91-120 Days")</f>
        <v>0</v>
      </c>
      <c r="L152" s="9">
        <f>SUMIFS('Bill Wise'!I:I,'Bill Wise'!C:C,B152,'Bill Wise'!H:H,"121-150 Days")</f>
        <v>0</v>
      </c>
      <c r="M152" s="9">
        <f>SUMIFS('Bill Wise'!I:I,'Bill Wise'!C:C,B152,'Bill Wise'!H:H,"151-180 Days")</f>
        <v>0</v>
      </c>
      <c r="N152" s="9">
        <f>SUMIFS('Bill Wise'!I:I,'Bill Wise'!C:C,B152,'Bill Wise'!H:H,"181-365 Days")</f>
        <v>0</v>
      </c>
      <c r="O152" s="9">
        <f>SUMIFS('Bill Wise'!I:I,'Bill Wise'!C:C,B152,'Bill Wise'!H:H,"Above 365 Days")</f>
        <v>0</v>
      </c>
      <c r="P152" s="9">
        <f t="shared" si="8"/>
        <v>968310</v>
      </c>
      <c r="Q152" s="9">
        <f t="shared" si="9"/>
        <v>0</v>
      </c>
    </row>
    <row r="153" spans="1:17" s="17" customFormat="1" x14ac:dyDescent="0.25">
      <c r="A153" s="7">
        <v>148</v>
      </c>
      <c r="B153" s="8" t="s">
        <v>159</v>
      </c>
      <c r="C153" s="8" t="s">
        <v>517</v>
      </c>
      <c r="D153" s="8" t="s">
        <v>995</v>
      </c>
      <c r="E153" s="8" t="s">
        <v>995</v>
      </c>
      <c r="F153" s="8"/>
      <c r="G153" s="9">
        <f>IFERROR(SUMIFS(TB!C:C,TB!A:A,B153)-SUMIFS(TB!B:B,TB!A:A,B153),0)</f>
        <v>979541.18</v>
      </c>
      <c r="H153" s="9">
        <f>SUMIFS('Bill Wise'!I:I,'Bill Wise'!C:C,B153,'Bill Wise'!H:H,"0-30 Days")</f>
        <v>0</v>
      </c>
      <c r="I153" s="9">
        <f>SUMIFS('Bill Wise'!I:I,'Bill Wise'!C:C,B153,'Bill Wise'!H:H,"31-60 Days")</f>
        <v>0</v>
      </c>
      <c r="J153" s="9">
        <f>SUMIFS('Bill Wise'!I:I,'Bill Wise'!C:C,B153,'Bill Wise'!H:H,"61-90 Days")</f>
        <v>0</v>
      </c>
      <c r="K153" s="9">
        <f>SUMIFS('Bill Wise'!I:I,'Bill Wise'!C:C,B153,'Bill Wise'!H:H,"91-120 Days")</f>
        <v>55639.03</v>
      </c>
      <c r="L153" s="9">
        <f>SUMIFS('Bill Wise'!I:I,'Bill Wise'!C:C,B153,'Bill Wise'!H:H,"121-150 Days")</f>
        <v>923902.15</v>
      </c>
      <c r="M153" s="9">
        <f>SUMIFS('Bill Wise'!I:I,'Bill Wise'!C:C,B153,'Bill Wise'!H:H,"151-180 Days")</f>
        <v>0</v>
      </c>
      <c r="N153" s="9">
        <f>SUMIFS('Bill Wise'!I:I,'Bill Wise'!C:C,B153,'Bill Wise'!H:H,"181-365 Days")</f>
        <v>0</v>
      </c>
      <c r="O153" s="9">
        <f>SUMIFS('Bill Wise'!I:I,'Bill Wise'!C:C,B153,'Bill Wise'!H:H,"Above 365 Days")</f>
        <v>0</v>
      </c>
      <c r="P153" s="9">
        <f t="shared" si="8"/>
        <v>979541.18</v>
      </c>
      <c r="Q153" s="9">
        <f t="shared" si="9"/>
        <v>0</v>
      </c>
    </row>
    <row r="154" spans="1:17" s="17" customFormat="1" x14ac:dyDescent="0.25">
      <c r="A154" s="7">
        <v>149</v>
      </c>
      <c r="B154" s="8" t="s">
        <v>189</v>
      </c>
      <c r="C154" s="8" t="s">
        <v>970</v>
      </c>
      <c r="D154" s="8" t="s">
        <v>971</v>
      </c>
      <c r="E154" s="8" t="s">
        <v>975</v>
      </c>
      <c r="F154" s="8"/>
      <c r="G154" s="9">
        <f>IFERROR(SUMIFS(TB!C:C,TB!A:A,B154)-SUMIFS(TB!B:B,TB!A:A,B154),0)</f>
        <v>1013907.51</v>
      </c>
      <c r="H154" s="9">
        <f>SUMIFS('Bill Wise'!I:I,'Bill Wise'!C:C,B154,'Bill Wise'!H:H,"0-30 Days")</f>
        <v>1013907.51</v>
      </c>
      <c r="I154" s="9">
        <f>SUMIFS('Bill Wise'!I:I,'Bill Wise'!C:C,B154,'Bill Wise'!H:H,"31-60 Days")</f>
        <v>0</v>
      </c>
      <c r="J154" s="9">
        <f>SUMIFS('Bill Wise'!I:I,'Bill Wise'!C:C,B154,'Bill Wise'!H:H,"61-90 Days")</f>
        <v>0</v>
      </c>
      <c r="K154" s="9">
        <f>SUMIFS('Bill Wise'!I:I,'Bill Wise'!C:C,B154,'Bill Wise'!H:H,"91-120 Days")</f>
        <v>0</v>
      </c>
      <c r="L154" s="9">
        <f>SUMIFS('Bill Wise'!I:I,'Bill Wise'!C:C,B154,'Bill Wise'!H:H,"121-150 Days")</f>
        <v>0</v>
      </c>
      <c r="M154" s="9">
        <f>SUMIFS('Bill Wise'!I:I,'Bill Wise'!C:C,B154,'Bill Wise'!H:H,"151-180 Days")</f>
        <v>0</v>
      </c>
      <c r="N154" s="9">
        <f>SUMIFS('Bill Wise'!I:I,'Bill Wise'!C:C,B154,'Bill Wise'!H:H,"181-365 Days")</f>
        <v>0</v>
      </c>
      <c r="O154" s="9">
        <f>SUMIFS('Bill Wise'!I:I,'Bill Wise'!C:C,B154,'Bill Wise'!H:H,"Above 365 Days")</f>
        <v>0</v>
      </c>
      <c r="P154" s="9">
        <f t="shared" si="8"/>
        <v>1013907.51</v>
      </c>
      <c r="Q154" s="9">
        <f t="shared" si="9"/>
        <v>0</v>
      </c>
    </row>
    <row r="155" spans="1:17" s="17" customFormat="1" x14ac:dyDescent="0.25">
      <c r="A155" s="7">
        <v>150</v>
      </c>
      <c r="B155" s="8" t="s">
        <v>205</v>
      </c>
      <c r="C155" s="8" t="s">
        <v>284</v>
      </c>
      <c r="D155" s="8" t="s">
        <v>971</v>
      </c>
      <c r="E155" s="8" t="s">
        <v>983</v>
      </c>
      <c r="F155" s="8"/>
      <c r="G155" s="9">
        <f>IFERROR(SUMIFS(TB!C:C,TB!A:A,B155)-SUMIFS(TB!B:B,TB!A:A,B155),0)</f>
        <v>1021155.32</v>
      </c>
      <c r="H155" s="9">
        <f>SUMIFS('Bill Wise'!I:I,'Bill Wise'!C:C,B155,'Bill Wise'!H:H,"0-30 Days")</f>
        <v>0</v>
      </c>
      <c r="I155" s="9">
        <f>SUMIFS('Bill Wise'!I:I,'Bill Wise'!C:C,B155,'Bill Wise'!H:H,"31-60 Days")</f>
        <v>1021155.32</v>
      </c>
      <c r="J155" s="9">
        <f>SUMIFS('Bill Wise'!I:I,'Bill Wise'!C:C,B155,'Bill Wise'!H:H,"61-90 Days")</f>
        <v>0</v>
      </c>
      <c r="K155" s="9">
        <f>SUMIFS('Bill Wise'!I:I,'Bill Wise'!C:C,B155,'Bill Wise'!H:H,"91-120 Days")</f>
        <v>0</v>
      </c>
      <c r="L155" s="9">
        <f>SUMIFS('Bill Wise'!I:I,'Bill Wise'!C:C,B155,'Bill Wise'!H:H,"121-150 Days")</f>
        <v>0</v>
      </c>
      <c r="M155" s="9">
        <f>SUMIFS('Bill Wise'!I:I,'Bill Wise'!C:C,B155,'Bill Wise'!H:H,"151-180 Days")</f>
        <v>0</v>
      </c>
      <c r="N155" s="9">
        <f>SUMIFS('Bill Wise'!I:I,'Bill Wise'!C:C,B155,'Bill Wise'!H:H,"181-365 Days")</f>
        <v>0</v>
      </c>
      <c r="O155" s="9">
        <f>SUMIFS('Bill Wise'!I:I,'Bill Wise'!C:C,B155,'Bill Wise'!H:H,"Above 365 Days")</f>
        <v>0</v>
      </c>
      <c r="P155" s="9">
        <f t="shared" si="8"/>
        <v>1021155.32</v>
      </c>
      <c r="Q155" s="9">
        <f t="shared" si="9"/>
        <v>0</v>
      </c>
    </row>
    <row r="156" spans="1:17" s="17" customFormat="1" x14ac:dyDescent="0.25">
      <c r="A156" s="7">
        <v>151</v>
      </c>
      <c r="B156" s="8" t="s">
        <v>73</v>
      </c>
      <c r="C156" s="8" t="s">
        <v>280</v>
      </c>
      <c r="D156" s="8" t="s">
        <v>971</v>
      </c>
      <c r="E156" s="8" t="s">
        <v>976</v>
      </c>
      <c r="F156" s="8"/>
      <c r="G156" s="9">
        <f>IFERROR(SUMIFS(TB!C:C,TB!A:A,B156)-SUMIFS(TB!B:B,TB!A:A,B156),0)</f>
        <v>1035872</v>
      </c>
      <c r="H156" s="9">
        <f>SUMIFS('Bill Wise'!I:I,'Bill Wise'!C:C,B156,'Bill Wise'!H:H,"0-30 Days")</f>
        <v>1035872</v>
      </c>
      <c r="I156" s="9">
        <f>SUMIFS('Bill Wise'!I:I,'Bill Wise'!C:C,B156,'Bill Wise'!H:H,"31-60 Days")</f>
        <v>0</v>
      </c>
      <c r="J156" s="9">
        <f>SUMIFS('Bill Wise'!I:I,'Bill Wise'!C:C,B156,'Bill Wise'!H:H,"61-90 Days")</f>
        <v>0</v>
      </c>
      <c r="K156" s="9">
        <f>SUMIFS('Bill Wise'!I:I,'Bill Wise'!C:C,B156,'Bill Wise'!H:H,"91-120 Days")</f>
        <v>0</v>
      </c>
      <c r="L156" s="9">
        <f>SUMIFS('Bill Wise'!I:I,'Bill Wise'!C:C,B156,'Bill Wise'!H:H,"121-150 Days")</f>
        <v>0</v>
      </c>
      <c r="M156" s="9">
        <f>SUMIFS('Bill Wise'!I:I,'Bill Wise'!C:C,B156,'Bill Wise'!H:H,"151-180 Days")</f>
        <v>0</v>
      </c>
      <c r="N156" s="9">
        <f>SUMIFS('Bill Wise'!I:I,'Bill Wise'!C:C,B156,'Bill Wise'!H:H,"181-365 Days")</f>
        <v>0</v>
      </c>
      <c r="O156" s="9">
        <f>SUMIFS('Bill Wise'!I:I,'Bill Wise'!C:C,B156,'Bill Wise'!H:H,"Above 365 Days")</f>
        <v>0</v>
      </c>
      <c r="P156" s="9">
        <f t="shared" si="8"/>
        <v>1035872</v>
      </c>
      <c r="Q156" s="9">
        <f t="shared" si="9"/>
        <v>0</v>
      </c>
    </row>
    <row r="157" spans="1:17" s="17" customFormat="1" x14ac:dyDescent="0.25">
      <c r="A157" s="7">
        <v>152</v>
      </c>
      <c r="B157" s="8" t="s">
        <v>190</v>
      </c>
      <c r="C157" s="8" t="s">
        <v>306</v>
      </c>
      <c r="D157" s="8" t="s">
        <v>995</v>
      </c>
      <c r="E157" s="8" t="s">
        <v>995</v>
      </c>
      <c r="F157" s="8"/>
      <c r="G157" s="9">
        <f>IFERROR(SUMIFS(TB!C:C,TB!A:A,B157)-SUMIFS(TB!B:B,TB!A:A,B157),0)</f>
        <v>1114639.08</v>
      </c>
      <c r="H157" s="9">
        <f>SUMIFS('Bill Wise'!I:I,'Bill Wise'!C:C,B157,'Bill Wise'!H:H,"0-30 Days")</f>
        <v>645922.80000000005</v>
      </c>
      <c r="I157" s="9">
        <f>SUMIFS('Bill Wise'!I:I,'Bill Wise'!C:C,B157,'Bill Wise'!H:H,"31-60 Days")</f>
        <v>0</v>
      </c>
      <c r="J157" s="9">
        <f>SUMIFS('Bill Wise'!I:I,'Bill Wise'!C:C,B157,'Bill Wise'!H:H,"61-90 Days")</f>
        <v>0</v>
      </c>
      <c r="K157" s="9">
        <f>SUMIFS('Bill Wise'!I:I,'Bill Wise'!C:C,B157,'Bill Wise'!H:H,"91-120 Days")</f>
        <v>0</v>
      </c>
      <c r="L157" s="9">
        <f>SUMIFS('Bill Wise'!I:I,'Bill Wise'!C:C,B157,'Bill Wise'!H:H,"121-150 Days")</f>
        <v>468716.28</v>
      </c>
      <c r="M157" s="9">
        <f>SUMIFS('Bill Wise'!I:I,'Bill Wise'!C:C,B157,'Bill Wise'!H:H,"151-180 Days")</f>
        <v>0</v>
      </c>
      <c r="N157" s="9">
        <f>SUMIFS('Bill Wise'!I:I,'Bill Wise'!C:C,B157,'Bill Wise'!H:H,"181-365 Days")</f>
        <v>0</v>
      </c>
      <c r="O157" s="9">
        <f>SUMIFS('Bill Wise'!I:I,'Bill Wise'!C:C,B157,'Bill Wise'!H:H,"Above 365 Days")</f>
        <v>0</v>
      </c>
      <c r="P157" s="9">
        <f t="shared" si="8"/>
        <v>1114639.08</v>
      </c>
      <c r="Q157" s="9">
        <f t="shared" si="9"/>
        <v>0</v>
      </c>
    </row>
    <row r="158" spans="1:17" s="17" customFormat="1" x14ac:dyDescent="0.25">
      <c r="A158" s="7">
        <v>153</v>
      </c>
      <c r="B158" s="8" t="s">
        <v>203</v>
      </c>
      <c r="C158" s="8" t="s">
        <v>306</v>
      </c>
      <c r="D158" s="8" t="s">
        <v>995</v>
      </c>
      <c r="E158" s="8" t="s">
        <v>995</v>
      </c>
      <c r="F158" s="8"/>
      <c r="G158" s="9">
        <f>IFERROR(SUMIFS(TB!C:C,TB!A:A,B158)-SUMIFS(TB!B:B,TB!A:A,B158),0)</f>
        <v>1152750</v>
      </c>
      <c r="H158" s="9">
        <f>SUMIFS('Bill Wise'!I:I,'Bill Wise'!C:C,B158,'Bill Wise'!H:H,"0-30 Days")</f>
        <v>0</v>
      </c>
      <c r="I158" s="9">
        <f>SUMIFS('Bill Wise'!I:I,'Bill Wise'!C:C,B158,'Bill Wise'!H:H,"31-60 Days")</f>
        <v>0</v>
      </c>
      <c r="J158" s="9">
        <f>SUMIFS('Bill Wise'!I:I,'Bill Wise'!C:C,B158,'Bill Wise'!H:H,"61-90 Days")</f>
        <v>0</v>
      </c>
      <c r="K158" s="9">
        <f>SUMIFS('Bill Wise'!I:I,'Bill Wise'!C:C,B158,'Bill Wise'!H:H,"91-120 Days")</f>
        <v>1152750</v>
      </c>
      <c r="L158" s="9">
        <f>SUMIFS('Bill Wise'!I:I,'Bill Wise'!C:C,B158,'Bill Wise'!H:H,"121-150 Days")</f>
        <v>0</v>
      </c>
      <c r="M158" s="9">
        <f>SUMIFS('Bill Wise'!I:I,'Bill Wise'!C:C,B158,'Bill Wise'!H:H,"151-180 Days")</f>
        <v>0</v>
      </c>
      <c r="N158" s="9">
        <f>SUMIFS('Bill Wise'!I:I,'Bill Wise'!C:C,B158,'Bill Wise'!H:H,"181-365 Days")</f>
        <v>0</v>
      </c>
      <c r="O158" s="9">
        <f>SUMIFS('Bill Wise'!I:I,'Bill Wise'!C:C,B158,'Bill Wise'!H:H,"Above 365 Days")</f>
        <v>0</v>
      </c>
      <c r="P158" s="9">
        <f t="shared" si="8"/>
        <v>1152750</v>
      </c>
      <c r="Q158" s="9">
        <f t="shared" si="9"/>
        <v>0</v>
      </c>
    </row>
    <row r="159" spans="1:17" s="17" customFormat="1" x14ac:dyDescent="0.25">
      <c r="A159" s="7">
        <v>154</v>
      </c>
      <c r="B159" s="8" t="s">
        <v>1066</v>
      </c>
      <c r="C159" s="8" t="s">
        <v>312</v>
      </c>
      <c r="D159" s="8" t="s">
        <v>971</v>
      </c>
      <c r="E159" s="8" t="s">
        <v>1001</v>
      </c>
      <c r="F159" s="8"/>
      <c r="G159" s="9">
        <f>IFERROR(SUMIFS(TB!C:C,TB!A:A,B159)-SUMIFS(TB!B:B,TB!A:A,B159),0)</f>
        <v>1260000</v>
      </c>
      <c r="H159" s="9">
        <f>SUMIFS('Bill Wise'!I:I,'Bill Wise'!C:C,B159,'Bill Wise'!H:H,"0-30 Days")</f>
        <v>1260000</v>
      </c>
      <c r="I159" s="9">
        <f>SUMIFS('Bill Wise'!I:I,'Bill Wise'!C:C,B159,'Bill Wise'!H:H,"31-60 Days")</f>
        <v>0</v>
      </c>
      <c r="J159" s="9">
        <f>SUMIFS('Bill Wise'!I:I,'Bill Wise'!C:C,B159,'Bill Wise'!H:H,"61-90 Days")</f>
        <v>0</v>
      </c>
      <c r="K159" s="9">
        <f>SUMIFS('Bill Wise'!I:I,'Bill Wise'!C:C,B159,'Bill Wise'!H:H,"91-120 Days")</f>
        <v>0</v>
      </c>
      <c r="L159" s="9">
        <f>SUMIFS('Bill Wise'!I:I,'Bill Wise'!C:C,B159,'Bill Wise'!H:H,"121-150 Days")</f>
        <v>0</v>
      </c>
      <c r="M159" s="9">
        <f>SUMIFS('Bill Wise'!I:I,'Bill Wise'!C:C,B159,'Bill Wise'!H:H,"151-180 Days")</f>
        <v>0</v>
      </c>
      <c r="N159" s="9">
        <f>SUMIFS('Bill Wise'!I:I,'Bill Wise'!C:C,B159,'Bill Wise'!H:H,"181-365 Days")</f>
        <v>0</v>
      </c>
      <c r="O159" s="9">
        <f>SUMIFS('Bill Wise'!I:I,'Bill Wise'!C:C,B159,'Bill Wise'!H:H,"Above 365 Days")</f>
        <v>0</v>
      </c>
      <c r="P159" s="9">
        <f t="shared" si="8"/>
        <v>1260000</v>
      </c>
      <c r="Q159" s="9">
        <f t="shared" si="9"/>
        <v>0</v>
      </c>
    </row>
    <row r="160" spans="1:17" s="17" customFormat="1" x14ac:dyDescent="0.25">
      <c r="A160" s="7">
        <v>155</v>
      </c>
      <c r="B160" s="8" t="s">
        <v>212</v>
      </c>
      <c r="C160" s="8" t="s">
        <v>306</v>
      </c>
      <c r="D160" s="8" t="s">
        <v>995</v>
      </c>
      <c r="E160" s="8" t="s">
        <v>995</v>
      </c>
      <c r="F160" s="8"/>
      <c r="G160" s="9">
        <f>IFERROR(SUMIFS(TB!C:C,TB!A:A,B160)-SUMIFS(TB!B:B,TB!A:A,B160),0)</f>
        <v>1293982.6299999999</v>
      </c>
      <c r="H160" s="9">
        <f>SUMIFS('Bill Wise'!I:I,'Bill Wise'!C:C,B160,'Bill Wise'!H:H,"0-30 Days")</f>
        <v>0</v>
      </c>
      <c r="I160" s="9">
        <f>SUMIFS('Bill Wise'!I:I,'Bill Wise'!C:C,B160,'Bill Wise'!H:H,"31-60 Days")</f>
        <v>0</v>
      </c>
      <c r="J160" s="9">
        <f>SUMIFS('Bill Wise'!I:I,'Bill Wise'!C:C,B160,'Bill Wise'!H:H,"61-90 Days")</f>
        <v>0</v>
      </c>
      <c r="K160" s="9">
        <f>SUMIFS('Bill Wise'!I:I,'Bill Wise'!C:C,B160,'Bill Wise'!H:H,"91-120 Days")</f>
        <v>0</v>
      </c>
      <c r="L160" s="9">
        <f>SUMIFS('Bill Wise'!I:I,'Bill Wise'!C:C,B160,'Bill Wise'!H:H,"121-150 Days")</f>
        <v>0</v>
      </c>
      <c r="M160" s="9">
        <f>SUMIFS('Bill Wise'!I:I,'Bill Wise'!C:C,B160,'Bill Wise'!H:H,"151-180 Days")</f>
        <v>0</v>
      </c>
      <c r="N160" s="9">
        <f>SUMIFS('Bill Wise'!I:I,'Bill Wise'!C:C,B160,'Bill Wise'!H:H,"181-365 Days")</f>
        <v>474690.06</v>
      </c>
      <c r="O160" s="9">
        <f>SUMIFS('Bill Wise'!I:I,'Bill Wise'!C:C,B160,'Bill Wise'!H:H,"Above 365 Days")</f>
        <v>819292.57</v>
      </c>
      <c r="P160" s="9">
        <f t="shared" si="8"/>
        <v>1293982.6299999999</v>
      </c>
      <c r="Q160" s="9">
        <f t="shared" si="9"/>
        <v>0</v>
      </c>
    </row>
    <row r="161" spans="1:17" s="17" customFormat="1" x14ac:dyDescent="0.25">
      <c r="A161" s="7">
        <v>156</v>
      </c>
      <c r="B161" s="8" t="s">
        <v>56</v>
      </c>
      <c r="C161" s="8" t="s">
        <v>970</v>
      </c>
      <c r="D161" s="8" t="s">
        <v>971</v>
      </c>
      <c r="E161" s="8" t="s">
        <v>982</v>
      </c>
      <c r="F161" s="8"/>
      <c r="G161" s="9">
        <f>IFERROR(SUMIFS(TB!C:C,TB!A:A,B161)-SUMIFS(TB!B:B,TB!A:A,B161),0)</f>
        <v>1376713</v>
      </c>
      <c r="H161" s="9">
        <f>SUMIFS('Bill Wise'!I:I,'Bill Wise'!C:C,B161,'Bill Wise'!H:H,"0-30 Days")</f>
        <v>1376713</v>
      </c>
      <c r="I161" s="9">
        <f>SUMIFS('Bill Wise'!I:I,'Bill Wise'!C:C,B161,'Bill Wise'!H:H,"31-60 Days")</f>
        <v>0</v>
      </c>
      <c r="J161" s="9">
        <f>SUMIFS('Bill Wise'!I:I,'Bill Wise'!C:C,B161,'Bill Wise'!H:H,"61-90 Days")</f>
        <v>0</v>
      </c>
      <c r="K161" s="9">
        <f>SUMIFS('Bill Wise'!I:I,'Bill Wise'!C:C,B161,'Bill Wise'!H:H,"91-120 Days")</f>
        <v>0</v>
      </c>
      <c r="L161" s="9">
        <f>SUMIFS('Bill Wise'!I:I,'Bill Wise'!C:C,B161,'Bill Wise'!H:H,"121-150 Days")</f>
        <v>0</v>
      </c>
      <c r="M161" s="9">
        <f>SUMIFS('Bill Wise'!I:I,'Bill Wise'!C:C,B161,'Bill Wise'!H:H,"151-180 Days")</f>
        <v>0</v>
      </c>
      <c r="N161" s="9">
        <f>SUMIFS('Bill Wise'!I:I,'Bill Wise'!C:C,B161,'Bill Wise'!H:H,"181-365 Days")</f>
        <v>0</v>
      </c>
      <c r="O161" s="9">
        <f>SUMIFS('Bill Wise'!I:I,'Bill Wise'!C:C,B161,'Bill Wise'!H:H,"Above 365 Days")</f>
        <v>0</v>
      </c>
      <c r="P161" s="9">
        <f t="shared" si="8"/>
        <v>1376713</v>
      </c>
      <c r="Q161" s="9">
        <f t="shared" si="9"/>
        <v>0</v>
      </c>
    </row>
    <row r="162" spans="1:17" s="17" customFormat="1" x14ac:dyDescent="0.25">
      <c r="A162" s="7">
        <v>157</v>
      </c>
      <c r="B162" s="8" t="s">
        <v>214</v>
      </c>
      <c r="C162" s="8" t="s">
        <v>1005</v>
      </c>
      <c r="D162" s="8" t="s">
        <v>979</v>
      </c>
      <c r="E162" s="8" t="s">
        <v>1006</v>
      </c>
      <c r="F162" s="8"/>
      <c r="G162" s="9">
        <f>IFERROR(SUMIFS(TB!C:C,TB!A:A,B162)-SUMIFS(TB!B:B,TB!A:A,B162),0)</f>
        <v>1479715.28</v>
      </c>
      <c r="H162" s="9">
        <f>SUMIFS('Bill Wise'!I:I,'Bill Wise'!C:C,B162,'Bill Wise'!H:H,"0-30 Days")</f>
        <v>0</v>
      </c>
      <c r="I162" s="9">
        <f>SUMIFS('Bill Wise'!I:I,'Bill Wise'!C:C,B162,'Bill Wise'!H:H,"31-60 Days")</f>
        <v>0</v>
      </c>
      <c r="J162" s="9">
        <f>SUMIFS('Bill Wise'!I:I,'Bill Wise'!C:C,B162,'Bill Wise'!H:H,"61-90 Days")</f>
        <v>0</v>
      </c>
      <c r="K162" s="9">
        <f>SUMIFS('Bill Wise'!I:I,'Bill Wise'!C:C,B162,'Bill Wise'!H:H,"91-120 Days")</f>
        <v>773490</v>
      </c>
      <c r="L162" s="9">
        <f>SUMIFS('Bill Wise'!I:I,'Bill Wise'!C:C,B162,'Bill Wise'!H:H,"121-150 Days")</f>
        <v>706225.28</v>
      </c>
      <c r="M162" s="9">
        <f>SUMIFS('Bill Wise'!I:I,'Bill Wise'!C:C,B162,'Bill Wise'!H:H,"151-180 Days")</f>
        <v>0</v>
      </c>
      <c r="N162" s="9">
        <f>SUMIFS('Bill Wise'!I:I,'Bill Wise'!C:C,B162,'Bill Wise'!H:H,"181-365 Days")</f>
        <v>0</v>
      </c>
      <c r="O162" s="9">
        <f>SUMIFS('Bill Wise'!I:I,'Bill Wise'!C:C,B162,'Bill Wise'!H:H,"Above 365 Days")</f>
        <v>0</v>
      </c>
      <c r="P162" s="9">
        <f t="shared" si="8"/>
        <v>1479715.28</v>
      </c>
      <c r="Q162" s="9">
        <f t="shared" si="9"/>
        <v>0</v>
      </c>
    </row>
    <row r="163" spans="1:17" s="17" customFormat="1" x14ac:dyDescent="0.25">
      <c r="A163" s="7">
        <v>158</v>
      </c>
      <c r="B163" s="8" t="s">
        <v>132</v>
      </c>
      <c r="C163" s="8" t="s">
        <v>977</v>
      </c>
      <c r="D163" s="8" t="s">
        <v>979</v>
      </c>
      <c r="E163" s="8" t="s">
        <v>977</v>
      </c>
      <c r="F163" s="8"/>
      <c r="G163" s="9">
        <f>IFERROR(SUMIFS(TB!C:C,TB!A:A,B163)-SUMIFS(TB!B:B,TB!A:A,B163),0)</f>
        <v>1484381</v>
      </c>
      <c r="H163" s="9">
        <f>SUMIFS('Bill Wise'!I:I,'Bill Wise'!C:C,B163,'Bill Wise'!H:H,"0-30 Days")</f>
        <v>1484381</v>
      </c>
      <c r="I163" s="9">
        <f>SUMIFS('Bill Wise'!I:I,'Bill Wise'!C:C,B163,'Bill Wise'!H:H,"31-60 Days")</f>
        <v>0</v>
      </c>
      <c r="J163" s="9">
        <f>SUMIFS('Bill Wise'!I:I,'Bill Wise'!C:C,B163,'Bill Wise'!H:H,"61-90 Days")</f>
        <v>0</v>
      </c>
      <c r="K163" s="9">
        <f>SUMIFS('Bill Wise'!I:I,'Bill Wise'!C:C,B163,'Bill Wise'!H:H,"91-120 Days")</f>
        <v>0</v>
      </c>
      <c r="L163" s="9">
        <f>SUMIFS('Bill Wise'!I:I,'Bill Wise'!C:C,B163,'Bill Wise'!H:H,"121-150 Days")</f>
        <v>0</v>
      </c>
      <c r="M163" s="9">
        <f>SUMIFS('Bill Wise'!I:I,'Bill Wise'!C:C,B163,'Bill Wise'!H:H,"151-180 Days")</f>
        <v>0</v>
      </c>
      <c r="N163" s="9">
        <f>SUMIFS('Bill Wise'!I:I,'Bill Wise'!C:C,B163,'Bill Wise'!H:H,"181-365 Days")</f>
        <v>0</v>
      </c>
      <c r="O163" s="9">
        <f>SUMIFS('Bill Wise'!I:I,'Bill Wise'!C:C,B163,'Bill Wise'!H:H,"Above 365 Days")</f>
        <v>0</v>
      </c>
      <c r="P163" s="9">
        <f t="shared" ref="P163:P194" si="10">SUM(H163:O163)</f>
        <v>1484381</v>
      </c>
      <c r="Q163" s="9">
        <f t="shared" ref="Q163:Q194" si="11">G163-P163</f>
        <v>0</v>
      </c>
    </row>
    <row r="164" spans="1:17" s="17" customFormat="1" x14ac:dyDescent="0.25">
      <c r="A164" s="7">
        <v>159</v>
      </c>
      <c r="B164" s="8" t="s">
        <v>37</v>
      </c>
      <c r="C164" s="8" t="s">
        <v>985</v>
      </c>
      <c r="D164" s="8" t="s">
        <v>988</v>
      </c>
      <c r="E164" s="8" t="s">
        <v>977</v>
      </c>
      <c r="F164" s="8"/>
      <c r="G164" s="9">
        <f>IFERROR(SUMIFS(TB!C:C,TB!A:A,B164)-SUMIFS(TB!B:B,TB!A:A,B164),0)</f>
        <v>1610545.87</v>
      </c>
      <c r="H164" s="9">
        <f>SUMIFS('Bill Wise'!I:I,'Bill Wise'!C:C,B164,'Bill Wise'!H:H,"0-30 Days")</f>
        <v>1055077.01</v>
      </c>
      <c r="I164" s="9">
        <f>SUMIFS('Bill Wise'!I:I,'Bill Wise'!C:C,B164,'Bill Wise'!H:H,"31-60 Days")</f>
        <v>555468.86</v>
      </c>
      <c r="J164" s="9">
        <f>SUMIFS('Bill Wise'!I:I,'Bill Wise'!C:C,B164,'Bill Wise'!H:H,"61-90 Days")</f>
        <v>0</v>
      </c>
      <c r="K164" s="9">
        <f>SUMIFS('Bill Wise'!I:I,'Bill Wise'!C:C,B164,'Bill Wise'!H:H,"91-120 Days")</f>
        <v>0</v>
      </c>
      <c r="L164" s="9">
        <f>SUMIFS('Bill Wise'!I:I,'Bill Wise'!C:C,B164,'Bill Wise'!H:H,"121-150 Days")</f>
        <v>0</v>
      </c>
      <c r="M164" s="9">
        <f>SUMIFS('Bill Wise'!I:I,'Bill Wise'!C:C,B164,'Bill Wise'!H:H,"151-180 Days")</f>
        <v>0</v>
      </c>
      <c r="N164" s="9">
        <f>SUMIFS('Bill Wise'!I:I,'Bill Wise'!C:C,B164,'Bill Wise'!H:H,"181-365 Days")</f>
        <v>0</v>
      </c>
      <c r="O164" s="9">
        <f>SUMIFS('Bill Wise'!I:I,'Bill Wise'!C:C,B164,'Bill Wise'!H:H,"Above 365 Days")</f>
        <v>0</v>
      </c>
      <c r="P164" s="9">
        <f t="shared" si="10"/>
        <v>1610545.87</v>
      </c>
      <c r="Q164" s="9">
        <f t="shared" si="11"/>
        <v>0</v>
      </c>
    </row>
    <row r="165" spans="1:17" s="17" customFormat="1" x14ac:dyDescent="0.25">
      <c r="A165" s="7">
        <v>160</v>
      </c>
      <c r="B165" s="8" t="s">
        <v>161</v>
      </c>
      <c r="C165" s="8" t="s">
        <v>332</v>
      </c>
      <c r="D165" s="8" t="s">
        <v>974</v>
      </c>
      <c r="E165" s="8" t="s">
        <v>975</v>
      </c>
      <c r="F165" s="8"/>
      <c r="G165" s="9">
        <f>IFERROR(SUMIFS(TB!C:C,TB!A:A,B165)-SUMIFS(TB!B:B,TB!A:A,B165),0)</f>
        <v>1672626.29</v>
      </c>
      <c r="H165" s="9">
        <f>SUMIFS('Bill Wise'!I:I,'Bill Wise'!C:C,B165,'Bill Wise'!H:H,"0-30 Days")</f>
        <v>1196293.3900000001</v>
      </c>
      <c r="I165" s="9">
        <f>SUMIFS('Bill Wise'!I:I,'Bill Wise'!C:C,B165,'Bill Wise'!H:H,"31-60 Days")</f>
        <v>476332.9</v>
      </c>
      <c r="J165" s="9">
        <f>SUMIFS('Bill Wise'!I:I,'Bill Wise'!C:C,B165,'Bill Wise'!H:H,"61-90 Days")</f>
        <v>0</v>
      </c>
      <c r="K165" s="9">
        <f>SUMIFS('Bill Wise'!I:I,'Bill Wise'!C:C,B165,'Bill Wise'!H:H,"91-120 Days")</f>
        <v>0</v>
      </c>
      <c r="L165" s="9">
        <f>SUMIFS('Bill Wise'!I:I,'Bill Wise'!C:C,B165,'Bill Wise'!H:H,"121-150 Days")</f>
        <v>0</v>
      </c>
      <c r="M165" s="9">
        <f>SUMIFS('Bill Wise'!I:I,'Bill Wise'!C:C,B165,'Bill Wise'!H:H,"151-180 Days")</f>
        <v>0</v>
      </c>
      <c r="N165" s="9">
        <f>SUMIFS('Bill Wise'!I:I,'Bill Wise'!C:C,B165,'Bill Wise'!H:H,"181-365 Days")</f>
        <v>0</v>
      </c>
      <c r="O165" s="9">
        <f>SUMIFS('Bill Wise'!I:I,'Bill Wise'!C:C,B165,'Bill Wise'!H:H,"Above 365 Days")</f>
        <v>0</v>
      </c>
      <c r="P165" s="9">
        <f t="shared" si="10"/>
        <v>1672626.29</v>
      </c>
      <c r="Q165" s="9">
        <f t="shared" si="11"/>
        <v>0</v>
      </c>
    </row>
    <row r="166" spans="1:17" s="17" customFormat="1" x14ac:dyDescent="0.25">
      <c r="A166" s="7">
        <v>161</v>
      </c>
      <c r="B166" s="8" t="s">
        <v>70</v>
      </c>
      <c r="C166" s="8" t="s">
        <v>317</v>
      </c>
      <c r="D166" s="8" t="s">
        <v>971</v>
      </c>
      <c r="E166" s="8" t="s">
        <v>997</v>
      </c>
      <c r="F166" s="8"/>
      <c r="G166" s="9">
        <f>IFERROR(SUMIFS(TB!C:C,TB!A:A,B166)-SUMIFS(TB!B:B,TB!A:A,B166),0)</f>
        <v>1726002</v>
      </c>
      <c r="H166" s="9">
        <f>SUMIFS('Bill Wise'!I:I,'Bill Wise'!C:C,B166,'Bill Wise'!H:H,"0-30 Days")</f>
        <v>1726002</v>
      </c>
      <c r="I166" s="9">
        <f>SUMIFS('Bill Wise'!I:I,'Bill Wise'!C:C,B166,'Bill Wise'!H:H,"31-60 Days")</f>
        <v>0</v>
      </c>
      <c r="J166" s="9">
        <f>SUMIFS('Bill Wise'!I:I,'Bill Wise'!C:C,B166,'Bill Wise'!H:H,"61-90 Days")</f>
        <v>0</v>
      </c>
      <c r="K166" s="9">
        <f>SUMIFS('Bill Wise'!I:I,'Bill Wise'!C:C,B166,'Bill Wise'!H:H,"91-120 Days")</f>
        <v>0</v>
      </c>
      <c r="L166" s="9">
        <f>SUMIFS('Bill Wise'!I:I,'Bill Wise'!C:C,B166,'Bill Wise'!H:H,"121-150 Days")</f>
        <v>0</v>
      </c>
      <c r="M166" s="9">
        <f>SUMIFS('Bill Wise'!I:I,'Bill Wise'!C:C,B166,'Bill Wise'!H:H,"151-180 Days")</f>
        <v>0</v>
      </c>
      <c r="N166" s="9">
        <f>SUMIFS('Bill Wise'!I:I,'Bill Wise'!C:C,B166,'Bill Wise'!H:H,"181-365 Days")</f>
        <v>0</v>
      </c>
      <c r="O166" s="9">
        <f>SUMIFS('Bill Wise'!I:I,'Bill Wise'!C:C,B166,'Bill Wise'!H:H,"Above 365 Days")</f>
        <v>0</v>
      </c>
      <c r="P166" s="9">
        <f t="shared" si="10"/>
        <v>1726002</v>
      </c>
      <c r="Q166" s="9">
        <f t="shared" si="11"/>
        <v>0</v>
      </c>
    </row>
    <row r="167" spans="1:17" s="17" customFormat="1" x14ac:dyDescent="0.25">
      <c r="A167" s="7">
        <v>162</v>
      </c>
      <c r="B167" s="8" t="s">
        <v>107</v>
      </c>
      <c r="C167" s="8" t="s">
        <v>306</v>
      </c>
      <c r="D167" s="8" t="s">
        <v>995</v>
      </c>
      <c r="E167" s="8" t="s">
        <v>995</v>
      </c>
      <c r="F167" s="8"/>
      <c r="G167" s="9">
        <f>IFERROR(SUMIFS(TB!C:C,TB!A:A,B167)-SUMIFS(TB!B:B,TB!A:A,B167),0)</f>
        <v>1730882.4</v>
      </c>
      <c r="H167" s="9">
        <f>SUMIFS('Bill Wise'!I:I,'Bill Wise'!C:C,B167,'Bill Wise'!H:H,"0-30 Days")</f>
        <v>1730882.4</v>
      </c>
      <c r="I167" s="9">
        <f>SUMIFS('Bill Wise'!I:I,'Bill Wise'!C:C,B167,'Bill Wise'!H:H,"31-60 Days")</f>
        <v>0</v>
      </c>
      <c r="J167" s="9">
        <f>SUMIFS('Bill Wise'!I:I,'Bill Wise'!C:C,B167,'Bill Wise'!H:H,"61-90 Days")</f>
        <v>0</v>
      </c>
      <c r="K167" s="9">
        <f>SUMIFS('Bill Wise'!I:I,'Bill Wise'!C:C,B167,'Bill Wise'!H:H,"91-120 Days")</f>
        <v>0</v>
      </c>
      <c r="L167" s="9">
        <f>SUMIFS('Bill Wise'!I:I,'Bill Wise'!C:C,B167,'Bill Wise'!H:H,"121-150 Days")</f>
        <v>0</v>
      </c>
      <c r="M167" s="9">
        <f>SUMIFS('Bill Wise'!I:I,'Bill Wise'!C:C,B167,'Bill Wise'!H:H,"151-180 Days")</f>
        <v>0</v>
      </c>
      <c r="N167" s="9">
        <f>SUMIFS('Bill Wise'!I:I,'Bill Wise'!C:C,B167,'Bill Wise'!H:H,"181-365 Days")</f>
        <v>0</v>
      </c>
      <c r="O167" s="9">
        <f>SUMIFS('Bill Wise'!I:I,'Bill Wise'!C:C,B167,'Bill Wise'!H:H,"Above 365 Days")</f>
        <v>0</v>
      </c>
      <c r="P167" s="9">
        <f t="shared" si="10"/>
        <v>1730882.4</v>
      </c>
      <c r="Q167" s="9">
        <f t="shared" si="11"/>
        <v>0</v>
      </c>
    </row>
    <row r="168" spans="1:17" s="17" customFormat="1" x14ac:dyDescent="0.25">
      <c r="A168" s="7">
        <v>163</v>
      </c>
      <c r="B168" s="8" t="s">
        <v>67</v>
      </c>
      <c r="C168" s="8" t="s">
        <v>232</v>
      </c>
      <c r="D168" s="8" t="s">
        <v>971</v>
      </c>
      <c r="E168" s="8" t="s">
        <v>993</v>
      </c>
      <c r="F168" s="8"/>
      <c r="G168" s="9">
        <f>IFERROR(SUMIFS(TB!C:C,TB!A:A,B168)-SUMIFS(TB!B:B,TB!A:A,B168),0)</f>
        <v>1800000</v>
      </c>
      <c r="H168" s="9">
        <f>SUMIFS('Bill Wise'!I:I,'Bill Wise'!C:C,B168,'Bill Wise'!H:H,"0-30 Days")</f>
        <v>0</v>
      </c>
      <c r="I168" s="9">
        <f>SUMIFS('Bill Wise'!I:I,'Bill Wise'!C:C,B168,'Bill Wise'!H:H,"31-60 Days")</f>
        <v>0</v>
      </c>
      <c r="J168" s="9">
        <f>SUMIFS('Bill Wise'!I:I,'Bill Wise'!C:C,B168,'Bill Wise'!H:H,"61-90 Days")</f>
        <v>0</v>
      </c>
      <c r="K168" s="9">
        <f>SUMIFS('Bill Wise'!I:I,'Bill Wise'!C:C,B168,'Bill Wise'!H:H,"91-120 Days")</f>
        <v>0</v>
      </c>
      <c r="L168" s="9">
        <f>SUMIFS('Bill Wise'!I:I,'Bill Wise'!C:C,B168,'Bill Wise'!H:H,"121-150 Days")</f>
        <v>0</v>
      </c>
      <c r="M168" s="9">
        <f>SUMIFS('Bill Wise'!I:I,'Bill Wise'!C:C,B168,'Bill Wise'!H:H,"151-180 Days")</f>
        <v>0</v>
      </c>
      <c r="N168" s="9">
        <f>SUMIFS('Bill Wise'!I:I,'Bill Wise'!C:C,B168,'Bill Wise'!H:H,"181-365 Days")</f>
        <v>0</v>
      </c>
      <c r="O168" s="9">
        <f>SUMIFS('Bill Wise'!I:I,'Bill Wise'!C:C,B168,'Bill Wise'!H:H,"Above 365 Days")</f>
        <v>1800000</v>
      </c>
      <c r="P168" s="9">
        <f t="shared" si="10"/>
        <v>1800000</v>
      </c>
      <c r="Q168" s="9">
        <f t="shared" si="11"/>
        <v>0</v>
      </c>
    </row>
    <row r="169" spans="1:17" s="17" customFormat="1" x14ac:dyDescent="0.25">
      <c r="A169" s="7">
        <v>164</v>
      </c>
      <c r="B169" s="8" t="s">
        <v>86</v>
      </c>
      <c r="C169" s="8" t="s">
        <v>332</v>
      </c>
      <c r="D169" s="8" t="s">
        <v>980</v>
      </c>
      <c r="E169" s="8" t="s">
        <v>980</v>
      </c>
      <c r="F169" s="8"/>
      <c r="G169" s="9">
        <f>IFERROR(SUMIFS(TB!C:C,TB!A:A,B169)-SUMIFS(TB!B:B,TB!A:A,B169),0)</f>
        <v>1817209.47</v>
      </c>
      <c r="H169" s="9">
        <f>SUMIFS('Bill Wise'!I:I,'Bill Wise'!C:C,B169,'Bill Wise'!H:H,"0-30 Days")</f>
        <v>220907.66999999998</v>
      </c>
      <c r="I169" s="9">
        <f>SUMIFS('Bill Wise'!I:I,'Bill Wise'!C:C,B169,'Bill Wise'!H:H,"31-60 Days")</f>
        <v>741641.09</v>
      </c>
      <c r="J169" s="9">
        <f>SUMIFS('Bill Wise'!I:I,'Bill Wise'!C:C,B169,'Bill Wise'!H:H,"61-90 Days")</f>
        <v>854660.71</v>
      </c>
      <c r="K169" s="9">
        <f>SUMIFS('Bill Wise'!I:I,'Bill Wise'!C:C,B169,'Bill Wise'!H:H,"91-120 Days")</f>
        <v>0</v>
      </c>
      <c r="L169" s="9">
        <f>SUMIFS('Bill Wise'!I:I,'Bill Wise'!C:C,B169,'Bill Wise'!H:H,"121-150 Days")</f>
        <v>0</v>
      </c>
      <c r="M169" s="9">
        <f>SUMIFS('Bill Wise'!I:I,'Bill Wise'!C:C,B169,'Bill Wise'!H:H,"151-180 Days")</f>
        <v>0</v>
      </c>
      <c r="N169" s="9">
        <f>SUMIFS('Bill Wise'!I:I,'Bill Wise'!C:C,B169,'Bill Wise'!H:H,"181-365 Days")</f>
        <v>0</v>
      </c>
      <c r="O169" s="9">
        <f>SUMIFS('Bill Wise'!I:I,'Bill Wise'!C:C,B169,'Bill Wise'!H:H,"Above 365 Days")</f>
        <v>0</v>
      </c>
      <c r="P169" s="9">
        <f t="shared" si="10"/>
        <v>1817209.47</v>
      </c>
      <c r="Q169" s="9">
        <f t="shared" si="11"/>
        <v>0</v>
      </c>
    </row>
    <row r="170" spans="1:17" s="17" customFormat="1" x14ac:dyDescent="0.25">
      <c r="A170" s="7">
        <v>165</v>
      </c>
      <c r="B170" s="8" t="s">
        <v>1067</v>
      </c>
      <c r="C170" s="8" t="s">
        <v>317</v>
      </c>
      <c r="D170" s="8" t="s">
        <v>971</v>
      </c>
      <c r="E170" s="8" t="s">
        <v>1001</v>
      </c>
      <c r="F170" s="8"/>
      <c r="G170" s="9">
        <f>IFERROR(SUMIFS(TB!C:C,TB!A:A,B170)-SUMIFS(TB!B:B,TB!A:A,B170),0)</f>
        <v>1879470</v>
      </c>
      <c r="H170" s="9">
        <f>SUMIFS('Bill Wise'!I:I,'Bill Wise'!C:C,B170,'Bill Wise'!H:H,"0-30 Days")</f>
        <v>1879470</v>
      </c>
      <c r="I170" s="9">
        <f>SUMIFS('Bill Wise'!I:I,'Bill Wise'!C:C,B170,'Bill Wise'!H:H,"31-60 Days")</f>
        <v>0</v>
      </c>
      <c r="J170" s="9">
        <f>SUMIFS('Bill Wise'!I:I,'Bill Wise'!C:C,B170,'Bill Wise'!H:H,"61-90 Days")</f>
        <v>0</v>
      </c>
      <c r="K170" s="9">
        <f>SUMIFS('Bill Wise'!I:I,'Bill Wise'!C:C,B170,'Bill Wise'!H:H,"91-120 Days")</f>
        <v>0</v>
      </c>
      <c r="L170" s="9">
        <f>SUMIFS('Bill Wise'!I:I,'Bill Wise'!C:C,B170,'Bill Wise'!H:H,"121-150 Days")</f>
        <v>0</v>
      </c>
      <c r="M170" s="9">
        <f>SUMIFS('Bill Wise'!I:I,'Bill Wise'!C:C,B170,'Bill Wise'!H:H,"151-180 Days")</f>
        <v>0</v>
      </c>
      <c r="N170" s="9">
        <f>SUMIFS('Bill Wise'!I:I,'Bill Wise'!C:C,B170,'Bill Wise'!H:H,"181-365 Days")</f>
        <v>0</v>
      </c>
      <c r="O170" s="9">
        <f>SUMIFS('Bill Wise'!I:I,'Bill Wise'!C:C,B170,'Bill Wise'!H:H,"Above 365 Days")</f>
        <v>0</v>
      </c>
      <c r="P170" s="9">
        <f t="shared" si="10"/>
        <v>1879470</v>
      </c>
      <c r="Q170" s="9">
        <f t="shared" si="11"/>
        <v>0</v>
      </c>
    </row>
    <row r="171" spans="1:17" s="17" customFormat="1" x14ac:dyDescent="0.25">
      <c r="A171" s="7">
        <v>166</v>
      </c>
      <c r="B171" s="8" t="s">
        <v>209</v>
      </c>
      <c r="C171" s="8" t="s">
        <v>332</v>
      </c>
      <c r="D171" s="8" t="s">
        <v>971</v>
      </c>
      <c r="E171" s="8" t="s">
        <v>975</v>
      </c>
      <c r="F171" s="8"/>
      <c r="G171" s="9">
        <f>IFERROR(SUMIFS(TB!C:C,TB!A:A,B171)-SUMIFS(TB!B:B,TB!A:A,B171),0)</f>
        <v>2047137.84</v>
      </c>
      <c r="H171" s="9">
        <f>SUMIFS('Bill Wise'!I:I,'Bill Wise'!C:C,B171,'Bill Wise'!H:H,"0-30 Days")</f>
        <v>2047137.84</v>
      </c>
      <c r="I171" s="9">
        <f>SUMIFS('Bill Wise'!I:I,'Bill Wise'!C:C,B171,'Bill Wise'!H:H,"31-60 Days")</f>
        <v>0</v>
      </c>
      <c r="J171" s="9">
        <f>SUMIFS('Bill Wise'!I:I,'Bill Wise'!C:C,B171,'Bill Wise'!H:H,"61-90 Days")</f>
        <v>0</v>
      </c>
      <c r="K171" s="9">
        <f>SUMIFS('Bill Wise'!I:I,'Bill Wise'!C:C,B171,'Bill Wise'!H:H,"91-120 Days")</f>
        <v>0</v>
      </c>
      <c r="L171" s="9">
        <f>SUMIFS('Bill Wise'!I:I,'Bill Wise'!C:C,B171,'Bill Wise'!H:H,"121-150 Days")</f>
        <v>0</v>
      </c>
      <c r="M171" s="9">
        <f>SUMIFS('Bill Wise'!I:I,'Bill Wise'!C:C,B171,'Bill Wise'!H:H,"151-180 Days")</f>
        <v>0</v>
      </c>
      <c r="N171" s="9">
        <f>SUMIFS('Bill Wise'!I:I,'Bill Wise'!C:C,B171,'Bill Wise'!H:H,"181-365 Days")</f>
        <v>0</v>
      </c>
      <c r="O171" s="9">
        <f>SUMIFS('Bill Wise'!I:I,'Bill Wise'!C:C,B171,'Bill Wise'!H:H,"Above 365 Days")</f>
        <v>0</v>
      </c>
      <c r="P171" s="9">
        <f t="shared" si="10"/>
        <v>2047137.84</v>
      </c>
      <c r="Q171" s="9">
        <f t="shared" si="11"/>
        <v>0</v>
      </c>
    </row>
    <row r="172" spans="1:17" s="17" customFormat="1" x14ac:dyDescent="0.25">
      <c r="A172" s="7">
        <v>167</v>
      </c>
      <c r="B172" s="8" t="s">
        <v>171</v>
      </c>
      <c r="C172" s="8" t="s">
        <v>332</v>
      </c>
      <c r="D172" s="8" t="s">
        <v>980</v>
      </c>
      <c r="E172" s="8" t="s">
        <v>980</v>
      </c>
      <c r="F172" s="8"/>
      <c r="G172" s="9">
        <f>IFERROR(SUMIFS(TB!C:C,TB!A:A,B172)-SUMIFS(TB!B:B,TB!A:A,B172),0)</f>
        <v>2200531.83</v>
      </c>
      <c r="H172" s="9">
        <f>SUMIFS('Bill Wise'!I:I,'Bill Wise'!C:C,B172,'Bill Wise'!H:H,"0-30 Days")</f>
        <v>2200531.83</v>
      </c>
      <c r="I172" s="9">
        <f>SUMIFS('Bill Wise'!I:I,'Bill Wise'!C:C,B172,'Bill Wise'!H:H,"31-60 Days")</f>
        <v>0</v>
      </c>
      <c r="J172" s="9">
        <f>SUMIFS('Bill Wise'!I:I,'Bill Wise'!C:C,B172,'Bill Wise'!H:H,"61-90 Days")</f>
        <v>0</v>
      </c>
      <c r="K172" s="9">
        <f>SUMIFS('Bill Wise'!I:I,'Bill Wise'!C:C,B172,'Bill Wise'!H:H,"91-120 Days")</f>
        <v>0</v>
      </c>
      <c r="L172" s="9">
        <f>SUMIFS('Bill Wise'!I:I,'Bill Wise'!C:C,B172,'Bill Wise'!H:H,"121-150 Days")</f>
        <v>0</v>
      </c>
      <c r="M172" s="9">
        <f>SUMIFS('Bill Wise'!I:I,'Bill Wise'!C:C,B172,'Bill Wise'!H:H,"151-180 Days")</f>
        <v>0</v>
      </c>
      <c r="N172" s="9">
        <f>SUMIFS('Bill Wise'!I:I,'Bill Wise'!C:C,B172,'Bill Wise'!H:H,"181-365 Days")</f>
        <v>0</v>
      </c>
      <c r="O172" s="9">
        <f>SUMIFS('Bill Wise'!I:I,'Bill Wise'!C:C,B172,'Bill Wise'!H:H,"Above 365 Days")</f>
        <v>0</v>
      </c>
      <c r="P172" s="9">
        <f t="shared" si="10"/>
        <v>2200531.83</v>
      </c>
      <c r="Q172" s="9">
        <f t="shared" si="11"/>
        <v>0</v>
      </c>
    </row>
    <row r="173" spans="1:17" s="17" customFormat="1" x14ac:dyDescent="0.25">
      <c r="A173" s="7">
        <v>168</v>
      </c>
      <c r="B173" s="8" t="s">
        <v>129</v>
      </c>
      <c r="C173" s="8" t="s">
        <v>517</v>
      </c>
      <c r="D173" s="8" t="s">
        <v>971</v>
      </c>
      <c r="E173" s="8" t="s">
        <v>972</v>
      </c>
      <c r="F173" s="8"/>
      <c r="G173" s="9">
        <f>IFERROR(SUMIFS(TB!C:C,TB!A:A,B173)-SUMIFS(TB!B:B,TB!A:A,B173),0)</f>
        <v>2478146</v>
      </c>
      <c r="H173" s="9">
        <f>SUMIFS('Bill Wise'!I:I,'Bill Wise'!C:C,B173,'Bill Wise'!H:H,"0-30 Days")</f>
        <v>2246413</v>
      </c>
      <c r="I173" s="9">
        <f>SUMIFS('Bill Wise'!I:I,'Bill Wise'!C:C,B173,'Bill Wise'!H:H,"31-60 Days")</f>
        <v>0</v>
      </c>
      <c r="J173" s="9">
        <f>SUMIFS('Bill Wise'!I:I,'Bill Wise'!C:C,B173,'Bill Wise'!H:H,"61-90 Days")</f>
        <v>0</v>
      </c>
      <c r="K173" s="9">
        <f>SUMIFS('Bill Wise'!I:I,'Bill Wise'!C:C,B173,'Bill Wise'!H:H,"91-120 Days")</f>
        <v>0</v>
      </c>
      <c r="L173" s="9">
        <f>SUMIFS('Bill Wise'!I:I,'Bill Wise'!C:C,B173,'Bill Wise'!H:H,"121-150 Days")</f>
        <v>0</v>
      </c>
      <c r="M173" s="9">
        <f>SUMIFS('Bill Wise'!I:I,'Bill Wise'!C:C,B173,'Bill Wise'!H:H,"151-180 Days")</f>
        <v>0</v>
      </c>
      <c r="N173" s="9">
        <f>SUMIFS('Bill Wise'!I:I,'Bill Wise'!C:C,B173,'Bill Wise'!H:H,"181-365 Days")</f>
        <v>231733</v>
      </c>
      <c r="O173" s="9">
        <f>SUMIFS('Bill Wise'!I:I,'Bill Wise'!C:C,B173,'Bill Wise'!H:H,"Above 365 Days")</f>
        <v>0</v>
      </c>
      <c r="P173" s="9">
        <f t="shared" si="10"/>
        <v>2478146</v>
      </c>
      <c r="Q173" s="9">
        <f t="shared" si="11"/>
        <v>0</v>
      </c>
    </row>
    <row r="174" spans="1:17" s="17" customFormat="1" x14ac:dyDescent="0.25">
      <c r="A174" s="7">
        <v>169</v>
      </c>
      <c r="B174" s="8" t="s">
        <v>116</v>
      </c>
      <c r="C174" s="8" t="s">
        <v>985</v>
      </c>
      <c r="D174" s="8" t="s">
        <v>971</v>
      </c>
      <c r="E174" s="8" t="s">
        <v>972</v>
      </c>
      <c r="F174" s="8"/>
      <c r="G174" s="9">
        <f>IFERROR(SUMIFS(TB!C:C,TB!A:A,B174)-SUMIFS(TB!B:B,TB!A:A,B174),0)</f>
        <v>2489926.96</v>
      </c>
      <c r="H174" s="9">
        <f>SUMIFS('Bill Wise'!I:I,'Bill Wise'!C:C,B174,'Bill Wise'!H:H,"0-30 Days")</f>
        <v>0</v>
      </c>
      <c r="I174" s="9">
        <f>SUMIFS('Bill Wise'!I:I,'Bill Wise'!C:C,B174,'Bill Wise'!H:H,"31-60 Days")</f>
        <v>0</v>
      </c>
      <c r="J174" s="9">
        <f>SUMIFS('Bill Wise'!I:I,'Bill Wise'!C:C,B174,'Bill Wise'!H:H,"61-90 Days")</f>
        <v>818328.96</v>
      </c>
      <c r="K174" s="9">
        <f>SUMIFS('Bill Wise'!I:I,'Bill Wise'!C:C,B174,'Bill Wise'!H:H,"91-120 Days")</f>
        <v>0</v>
      </c>
      <c r="L174" s="9">
        <f>SUMIFS('Bill Wise'!I:I,'Bill Wise'!C:C,B174,'Bill Wise'!H:H,"121-150 Days")</f>
        <v>1671598</v>
      </c>
      <c r="M174" s="9">
        <f>SUMIFS('Bill Wise'!I:I,'Bill Wise'!C:C,B174,'Bill Wise'!H:H,"151-180 Days")</f>
        <v>0</v>
      </c>
      <c r="N174" s="9">
        <f>SUMIFS('Bill Wise'!I:I,'Bill Wise'!C:C,B174,'Bill Wise'!H:H,"181-365 Days")</f>
        <v>0</v>
      </c>
      <c r="O174" s="9">
        <f>SUMIFS('Bill Wise'!I:I,'Bill Wise'!C:C,B174,'Bill Wise'!H:H,"Above 365 Days")</f>
        <v>0</v>
      </c>
      <c r="P174" s="9">
        <f t="shared" si="10"/>
        <v>2489926.96</v>
      </c>
      <c r="Q174" s="9">
        <f t="shared" si="11"/>
        <v>0</v>
      </c>
    </row>
    <row r="175" spans="1:17" s="17" customFormat="1" x14ac:dyDescent="0.25">
      <c r="A175" s="7">
        <v>170</v>
      </c>
      <c r="B175" s="8" t="s">
        <v>216</v>
      </c>
      <c r="C175" s="8" t="s">
        <v>347</v>
      </c>
      <c r="D175" s="8" t="s">
        <v>974</v>
      </c>
      <c r="E175" s="8" t="s">
        <v>975</v>
      </c>
      <c r="F175" s="8"/>
      <c r="G175" s="9">
        <f>IFERROR(SUMIFS(TB!C:C,TB!A:A,B175)-SUMIFS(TB!B:B,TB!A:A,B175),0)</f>
        <v>2788222.5</v>
      </c>
      <c r="H175" s="9">
        <f>SUMIFS('Bill Wise'!I:I,'Bill Wise'!C:C,B175,'Bill Wise'!H:H,"0-30 Days")</f>
        <v>1299357.5</v>
      </c>
      <c r="I175" s="9">
        <f>SUMIFS('Bill Wise'!I:I,'Bill Wise'!C:C,B175,'Bill Wise'!H:H,"31-60 Days")</f>
        <v>303555</v>
      </c>
      <c r="J175" s="9">
        <f>SUMIFS('Bill Wise'!I:I,'Bill Wise'!C:C,B175,'Bill Wise'!H:H,"61-90 Days")</f>
        <v>1185310</v>
      </c>
      <c r="K175" s="9">
        <f>SUMIFS('Bill Wise'!I:I,'Bill Wise'!C:C,B175,'Bill Wise'!H:H,"91-120 Days")</f>
        <v>0</v>
      </c>
      <c r="L175" s="9">
        <f>SUMIFS('Bill Wise'!I:I,'Bill Wise'!C:C,B175,'Bill Wise'!H:H,"121-150 Days")</f>
        <v>0</v>
      </c>
      <c r="M175" s="9">
        <f>SUMIFS('Bill Wise'!I:I,'Bill Wise'!C:C,B175,'Bill Wise'!H:H,"151-180 Days")</f>
        <v>0</v>
      </c>
      <c r="N175" s="9">
        <f>SUMIFS('Bill Wise'!I:I,'Bill Wise'!C:C,B175,'Bill Wise'!H:H,"181-365 Days")</f>
        <v>0</v>
      </c>
      <c r="O175" s="9">
        <f>SUMIFS('Bill Wise'!I:I,'Bill Wise'!C:C,B175,'Bill Wise'!H:H,"Above 365 Days")</f>
        <v>0</v>
      </c>
      <c r="P175" s="9">
        <f t="shared" si="10"/>
        <v>2788222.5</v>
      </c>
      <c r="Q175" s="9">
        <f t="shared" si="11"/>
        <v>0</v>
      </c>
    </row>
    <row r="176" spans="1:17" s="17" customFormat="1" x14ac:dyDescent="0.25">
      <c r="A176" s="7">
        <v>171</v>
      </c>
      <c r="B176" s="8" t="s">
        <v>173</v>
      </c>
      <c r="C176" s="8" t="s">
        <v>985</v>
      </c>
      <c r="D176" s="8" t="s">
        <v>974</v>
      </c>
      <c r="E176" s="8" t="s">
        <v>975</v>
      </c>
      <c r="F176" s="8"/>
      <c r="G176" s="9">
        <f>IFERROR(SUMIFS(TB!C:C,TB!A:A,B176)-SUMIFS(TB!B:B,TB!A:A,B176),0)</f>
        <v>2882670</v>
      </c>
      <c r="H176" s="9">
        <f>SUMIFS('Bill Wise'!I:I,'Bill Wise'!C:C,B176,'Bill Wise'!H:H,"0-30 Days")</f>
        <v>561540</v>
      </c>
      <c r="I176" s="9">
        <f>SUMIFS('Bill Wise'!I:I,'Bill Wise'!C:C,B176,'Bill Wise'!H:H,"31-60 Days")</f>
        <v>340550</v>
      </c>
      <c r="J176" s="9">
        <f>SUMIFS('Bill Wise'!I:I,'Bill Wise'!C:C,B176,'Bill Wise'!H:H,"61-90 Days")</f>
        <v>526750</v>
      </c>
      <c r="K176" s="9">
        <f>SUMIFS('Bill Wise'!I:I,'Bill Wise'!C:C,B176,'Bill Wise'!H:H,"91-120 Days")</f>
        <v>212660</v>
      </c>
      <c r="L176" s="9">
        <f>SUMIFS('Bill Wise'!I:I,'Bill Wise'!C:C,B176,'Bill Wise'!H:H,"121-150 Days")</f>
        <v>1241170</v>
      </c>
      <c r="M176" s="9">
        <f>SUMIFS('Bill Wise'!I:I,'Bill Wise'!C:C,B176,'Bill Wise'!H:H,"151-180 Days")</f>
        <v>0</v>
      </c>
      <c r="N176" s="9">
        <f>SUMIFS('Bill Wise'!I:I,'Bill Wise'!C:C,B176,'Bill Wise'!H:H,"181-365 Days")</f>
        <v>0</v>
      </c>
      <c r="O176" s="9">
        <f>SUMIFS('Bill Wise'!I:I,'Bill Wise'!C:C,B176,'Bill Wise'!H:H,"Above 365 Days")</f>
        <v>0</v>
      </c>
      <c r="P176" s="9">
        <f t="shared" si="10"/>
        <v>2882670</v>
      </c>
      <c r="Q176" s="9">
        <f t="shared" si="11"/>
        <v>0</v>
      </c>
    </row>
    <row r="177" spans="1:17" s="17" customFormat="1" x14ac:dyDescent="0.25">
      <c r="A177" s="7">
        <v>172</v>
      </c>
      <c r="B177" s="8" t="s">
        <v>197</v>
      </c>
      <c r="C177" s="8" t="s">
        <v>319</v>
      </c>
      <c r="D177" s="8" t="s">
        <v>974</v>
      </c>
      <c r="E177" s="8" t="s">
        <v>975</v>
      </c>
      <c r="F177" s="8"/>
      <c r="G177" s="9">
        <f>IFERROR(SUMIFS(TB!C:C,TB!A:A,B177)-SUMIFS(TB!B:B,TB!A:A,B177),0)</f>
        <v>2982435.3</v>
      </c>
      <c r="H177" s="9">
        <f>SUMIFS('Bill Wise'!I:I,'Bill Wise'!C:C,B177,'Bill Wise'!H:H,"0-30 Days")</f>
        <v>1224978.2</v>
      </c>
      <c r="I177" s="9">
        <f>SUMIFS('Bill Wise'!I:I,'Bill Wise'!C:C,B177,'Bill Wise'!H:H,"31-60 Days")</f>
        <v>507627.6</v>
      </c>
      <c r="J177" s="9">
        <f>SUMIFS('Bill Wise'!I:I,'Bill Wise'!C:C,B177,'Bill Wise'!H:H,"61-90 Days")</f>
        <v>788814</v>
      </c>
      <c r="K177" s="9">
        <f>SUMIFS('Bill Wise'!I:I,'Bill Wise'!C:C,B177,'Bill Wise'!H:H,"91-120 Days")</f>
        <v>461015.5</v>
      </c>
      <c r="L177" s="9">
        <f>SUMIFS('Bill Wise'!I:I,'Bill Wise'!C:C,B177,'Bill Wise'!H:H,"121-150 Days")</f>
        <v>0</v>
      </c>
      <c r="M177" s="9">
        <f>SUMIFS('Bill Wise'!I:I,'Bill Wise'!C:C,B177,'Bill Wise'!H:H,"151-180 Days")</f>
        <v>0</v>
      </c>
      <c r="N177" s="9">
        <f>SUMIFS('Bill Wise'!I:I,'Bill Wise'!C:C,B177,'Bill Wise'!H:H,"181-365 Days")</f>
        <v>0</v>
      </c>
      <c r="O177" s="9">
        <f>SUMIFS('Bill Wise'!I:I,'Bill Wise'!C:C,B177,'Bill Wise'!H:H,"Above 365 Days")</f>
        <v>0</v>
      </c>
      <c r="P177" s="9">
        <f t="shared" si="10"/>
        <v>2982435.3</v>
      </c>
      <c r="Q177" s="9">
        <f t="shared" si="11"/>
        <v>0</v>
      </c>
    </row>
    <row r="178" spans="1:17" s="17" customFormat="1" x14ac:dyDescent="0.25">
      <c r="A178" s="7">
        <v>173</v>
      </c>
      <c r="B178" s="8" t="s">
        <v>43</v>
      </c>
      <c r="C178" s="8" t="s">
        <v>321</v>
      </c>
      <c r="D178" s="8" t="s">
        <v>988</v>
      </c>
      <c r="E178" s="8" t="s">
        <v>991</v>
      </c>
      <c r="F178" s="8"/>
      <c r="G178" s="9">
        <f>IFERROR(SUMIFS(TB!C:C,TB!A:A,B178)-SUMIFS(TB!B:B,TB!A:A,B178),0)</f>
        <v>3897886</v>
      </c>
      <c r="H178" s="9">
        <f>SUMIFS('Bill Wise'!I:I,'Bill Wise'!C:C,B178,'Bill Wise'!H:H,"0-30 Days")</f>
        <v>2508933</v>
      </c>
      <c r="I178" s="9">
        <f>SUMIFS('Bill Wise'!I:I,'Bill Wise'!C:C,B178,'Bill Wise'!H:H,"31-60 Days")</f>
        <v>1388953</v>
      </c>
      <c r="J178" s="9">
        <f>SUMIFS('Bill Wise'!I:I,'Bill Wise'!C:C,B178,'Bill Wise'!H:H,"61-90 Days")</f>
        <v>0</v>
      </c>
      <c r="K178" s="9">
        <f>SUMIFS('Bill Wise'!I:I,'Bill Wise'!C:C,B178,'Bill Wise'!H:H,"91-120 Days")</f>
        <v>0</v>
      </c>
      <c r="L178" s="9">
        <f>SUMIFS('Bill Wise'!I:I,'Bill Wise'!C:C,B178,'Bill Wise'!H:H,"121-150 Days")</f>
        <v>0</v>
      </c>
      <c r="M178" s="9">
        <f>SUMIFS('Bill Wise'!I:I,'Bill Wise'!C:C,B178,'Bill Wise'!H:H,"151-180 Days")</f>
        <v>0</v>
      </c>
      <c r="N178" s="9">
        <f>SUMIFS('Bill Wise'!I:I,'Bill Wise'!C:C,B178,'Bill Wise'!H:H,"181-365 Days")</f>
        <v>0</v>
      </c>
      <c r="O178" s="9">
        <f>SUMIFS('Bill Wise'!I:I,'Bill Wise'!C:C,B178,'Bill Wise'!H:H,"Above 365 Days")</f>
        <v>0</v>
      </c>
      <c r="P178" s="9">
        <f t="shared" si="10"/>
        <v>3897886</v>
      </c>
      <c r="Q178" s="9">
        <f t="shared" si="11"/>
        <v>0</v>
      </c>
    </row>
    <row r="179" spans="1:17" s="17" customFormat="1" x14ac:dyDescent="0.25">
      <c r="A179" s="7">
        <v>174</v>
      </c>
      <c r="B179" s="8" t="s">
        <v>104</v>
      </c>
      <c r="C179" s="8" t="s">
        <v>977</v>
      </c>
      <c r="D179" s="8" t="s">
        <v>974</v>
      </c>
      <c r="E179" s="8" t="s">
        <v>975</v>
      </c>
      <c r="F179" s="8"/>
      <c r="G179" s="9">
        <f>IFERROR(SUMIFS(TB!C:C,TB!A:A,B179)-SUMIFS(TB!B:B,TB!A:A,B179),0)</f>
        <v>4647481.5199999996</v>
      </c>
      <c r="H179" s="9">
        <f>SUMIFS('Bill Wise'!I:I,'Bill Wise'!C:C,B179,'Bill Wise'!H:H,"0-30 Days")</f>
        <v>4647480.82</v>
      </c>
      <c r="I179" s="9">
        <f>SUMIFS('Bill Wise'!I:I,'Bill Wise'!C:C,B179,'Bill Wise'!H:H,"31-60 Days")</f>
        <v>0</v>
      </c>
      <c r="J179" s="9">
        <f>SUMIFS('Bill Wise'!I:I,'Bill Wise'!C:C,B179,'Bill Wise'!H:H,"61-90 Days")</f>
        <v>0.4</v>
      </c>
      <c r="K179" s="9">
        <f>SUMIFS('Bill Wise'!I:I,'Bill Wise'!C:C,B179,'Bill Wise'!H:H,"91-120 Days")</f>
        <v>0.3</v>
      </c>
      <c r="L179" s="9">
        <f>SUMIFS('Bill Wise'!I:I,'Bill Wise'!C:C,B179,'Bill Wise'!H:H,"121-150 Days")</f>
        <v>0</v>
      </c>
      <c r="M179" s="9">
        <f>SUMIFS('Bill Wise'!I:I,'Bill Wise'!C:C,B179,'Bill Wise'!H:H,"151-180 Days")</f>
        <v>0</v>
      </c>
      <c r="N179" s="9">
        <f>SUMIFS('Bill Wise'!I:I,'Bill Wise'!C:C,B179,'Bill Wise'!H:H,"181-365 Days")</f>
        <v>0</v>
      </c>
      <c r="O179" s="9">
        <f>SUMIFS('Bill Wise'!I:I,'Bill Wise'!C:C,B179,'Bill Wise'!H:H,"Above 365 Days")</f>
        <v>0</v>
      </c>
      <c r="P179" s="9">
        <f t="shared" si="10"/>
        <v>4647481.5200000005</v>
      </c>
      <c r="Q179" s="9">
        <f t="shared" si="11"/>
        <v>0</v>
      </c>
    </row>
    <row r="180" spans="1:17" s="17" customFormat="1" x14ac:dyDescent="0.25">
      <c r="A180" s="7">
        <v>175</v>
      </c>
      <c r="B180" s="8" t="s">
        <v>44</v>
      </c>
      <c r="C180" s="8" t="s">
        <v>319</v>
      </c>
      <c r="D180" s="8" t="s">
        <v>974</v>
      </c>
      <c r="E180" s="8" t="s">
        <v>975</v>
      </c>
      <c r="F180" s="8"/>
      <c r="G180" s="9">
        <f>IFERROR(SUMIFS(TB!C:C,TB!A:A,B180)-SUMIFS(TB!B:B,TB!A:A,B180),0)</f>
        <v>5095578.4000000004</v>
      </c>
      <c r="H180" s="9">
        <f>SUMIFS('Bill Wise'!I:I,'Bill Wise'!C:C,B180,'Bill Wise'!H:H,"0-30 Days")</f>
        <v>997182.4</v>
      </c>
      <c r="I180" s="9">
        <f>SUMIFS('Bill Wise'!I:I,'Bill Wise'!C:C,B180,'Bill Wise'!H:H,"31-60 Days")</f>
        <v>402172</v>
      </c>
      <c r="J180" s="9">
        <f>SUMIFS('Bill Wise'!I:I,'Bill Wise'!C:C,B180,'Bill Wise'!H:H,"61-90 Days")</f>
        <v>116580</v>
      </c>
      <c r="K180" s="9">
        <f>SUMIFS('Bill Wise'!I:I,'Bill Wise'!C:C,B180,'Bill Wise'!H:H,"91-120 Days")</f>
        <v>646700</v>
      </c>
      <c r="L180" s="9">
        <f>SUMIFS('Bill Wise'!I:I,'Bill Wise'!C:C,B180,'Bill Wise'!H:H,"121-150 Days")</f>
        <v>2932944</v>
      </c>
      <c r="M180" s="9">
        <f>SUMIFS('Bill Wise'!I:I,'Bill Wise'!C:C,B180,'Bill Wise'!H:H,"151-180 Days")</f>
        <v>0</v>
      </c>
      <c r="N180" s="9">
        <f>SUMIFS('Bill Wise'!I:I,'Bill Wise'!C:C,B180,'Bill Wise'!H:H,"181-365 Days")</f>
        <v>0</v>
      </c>
      <c r="O180" s="9">
        <f>SUMIFS('Bill Wise'!I:I,'Bill Wise'!C:C,B180,'Bill Wise'!H:H,"Above 365 Days")</f>
        <v>0</v>
      </c>
      <c r="P180" s="9">
        <f t="shared" si="10"/>
        <v>5095578.4000000004</v>
      </c>
      <c r="Q180" s="9">
        <f t="shared" si="11"/>
        <v>0</v>
      </c>
    </row>
    <row r="181" spans="1:17" s="17" customFormat="1" x14ac:dyDescent="0.25">
      <c r="A181" s="7">
        <v>176</v>
      </c>
      <c r="B181" s="8" t="s">
        <v>202</v>
      </c>
      <c r="C181" s="8" t="s">
        <v>517</v>
      </c>
      <c r="D181" s="8" t="s">
        <v>974</v>
      </c>
      <c r="E181" s="8" t="s">
        <v>975</v>
      </c>
      <c r="F181" s="8"/>
      <c r="G181" s="9">
        <f>IFERROR(SUMIFS(TB!C:C,TB!A:A,B181)-SUMIFS(TB!B:B,TB!A:A,B181),0)</f>
        <v>5978886.5199999996</v>
      </c>
      <c r="H181" s="9">
        <f>SUMIFS('Bill Wise'!I:I,'Bill Wise'!C:C,B181,'Bill Wise'!H:H,"0-30 Days")</f>
        <v>1248249.52</v>
      </c>
      <c r="I181" s="9">
        <f>SUMIFS('Bill Wise'!I:I,'Bill Wise'!C:C,B181,'Bill Wise'!H:H,"31-60 Days")</f>
        <v>1422715</v>
      </c>
      <c r="J181" s="9">
        <f>SUMIFS('Bill Wise'!I:I,'Bill Wise'!C:C,B181,'Bill Wise'!H:H,"61-90 Days")</f>
        <v>0</v>
      </c>
      <c r="K181" s="9">
        <f>SUMIFS('Bill Wise'!I:I,'Bill Wise'!C:C,B181,'Bill Wise'!H:H,"91-120 Days")</f>
        <v>1464610</v>
      </c>
      <c r="L181" s="9">
        <f>SUMIFS('Bill Wise'!I:I,'Bill Wise'!C:C,B181,'Bill Wise'!H:H,"121-150 Days")</f>
        <v>1843312</v>
      </c>
      <c r="M181" s="9">
        <f>SUMIFS('Bill Wise'!I:I,'Bill Wise'!C:C,B181,'Bill Wise'!H:H,"151-180 Days")</f>
        <v>0</v>
      </c>
      <c r="N181" s="9">
        <f>SUMIFS('Bill Wise'!I:I,'Bill Wise'!C:C,B181,'Bill Wise'!H:H,"181-365 Days")</f>
        <v>0</v>
      </c>
      <c r="O181" s="9">
        <f>SUMIFS('Bill Wise'!I:I,'Bill Wise'!C:C,B181,'Bill Wise'!H:H,"Above 365 Days")</f>
        <v>0</v>
      </c>
      <c r="P181" s="9">
        <f t="shared" si="10"/>
        <v>5978886.5199999996</v>
      </c>
      <c r="Q181" s="9">
        <f t="shared" si="11"/>
        <v>0</v>
      </c>
    </row>
    <row r="182" spans="1:17" s="17" customFormat="1" x14ac:dyDescent="0.25">
      <c r="A182" s="7">
        <v>177</v>
      </c>
      <c r="B182" s="8" t="s">
        <v>26</v>
      </c>
      <c r="C182" s="8" t="s">
        <v>306</v>
      </c>
      <c r="D182" s="8" t="s">
        <v>974</v>
      </c>
      <c r="E182" s="8" t="s">
        <v>975</v>
      </c>
      <c r="F182" s="8"/>
      <c r="G182" s="9">
        <f>IFERROR(SUMIFS(TB!C:C,TB!A:A,B182)-SUMIFS(TB!B:B,TB!A:A,B182),0)</f>
        <v>6959753.4900000002</v>
      </c>
      <c r="H182" s="9">
        <f>SUMIFS('Bill Wise'!I:I,'Bill Wise'!C:C,B182,'Bill Wise'!H:H,"0-30 Days")</f>
        <v>3900038.439999999</v>
      </c>
      <c r="I182" s="9">
        <f>SUMIFS('Bill Wise'!I:I,'Bill Wise'!C:C,B182,'Bill Wise'!H:H,"31-60 Days")</f>
        <v>881620.06</v>
      </c>
      <c r="J182" s="9">
        <f>SUMIFS('Bill Wise'!I:I,'Bill Wise'!C:C,B182,'Bill Wise'!H:H,"61-90 Days")</f>
        <v>2178094.9899999998</v>
      </c>
      <c r="K182" s="9">
        <f>SUMIFS('Bill Wise'!I:I,'Bill Wise'!C:C,B182,'Bill Wise'!H:H,"91-120 Days")</f>
        <v>0</v>
      </c>
      <c r="L182" s="9">
        <f>SUMIFS('Bill Wise'!I:I,'Bill Wise'!C:C,B182,'Bill Wise'!H:H,"121-150 Days")</f>
        <v>0</v>
      </c>
      <c r="M182" s="9">
        <f>SUMIFS('Bill Wise'!I:I,'Bill Wise'!C:C,B182,'Bill Wise'!H:H,"151-180 Days")</f>
        <v>0</v>
      </c>
      <c r="N182" s="9">
        <f>SUMIFS('Bill Wise'!I:I,'Bill Wise'!C:C,B182,'Bill Wise'!H:H,"181-365 Days")</f>
        <v>0</v>
      </c>
      <c r="O182" s="9">
        <f>SUMIFS('Bill Wise'!I:I,'Bill Wise'!C:C,B182,'Bill Wise'!H:H,"Above 365 Days")</f>
        <v>0</v>
      </c>
      <c r="P182" s="9">
        <f t="shared" si="10"/>
        <v>6959753.4899999984</v>
      </c>
      <c r="Q182" s="9">
        <f t="shared" si="11"/>
        <v>0</v>
      </c>
    </row>
    <row r="183" spans="1:17" s="17" customFormat="1" x14ac:dyDescent="0.25">
      <c r="A183" s="7">
        <v>178</v>
      </c>
      <c r="B183" s="8" t="s">
        <v>29</v>
      </c>
      <c r="C183" s="8" t="s">
        <v>232</v>
      </c>
      <c r="D183" s="8" t="s">
        <v>979</v>
      </c>
      <c r="E183" s="8" t="s">
        <v>985</v>
      </c>
      <c r="F183" s="8"/>
      <c r="G183" s="9">
        <f>IFERROR(SUMIFS(TB!C:C,TB!A:A,B183)-SUMIFS(TB!B:B,TB!A:A,B183),0)</f>
        <v>7521130.2000000002</v>
      </c>
      <c r="H183" s="9">
        <f>SUMIFS('Bill Wise'!I:I,'Bill Wise'!C:C,B183,'Bill Wise'!H:H,"0-30 Days")</f>
        <v>0</v>
      </c>
      <c r="I183" s="9">
        <f>SUMIFS('Bill Wise'!I:I,'Bill Wise'!C:C,B183,'Bill Wise'!H:H,"31-60 Days")</f>
        <v>0</v>
      </c>
      <c r="J183" s="9">
        <f>SUMIFS('Bill Wise'!I:I,'Bill Wise'!C:C,B183,'Bill Wise'!H:H,"61-90 Days")</f>
        <v>0</v>
      </c>
      <c r="K183" s="9">
        <f>SUMIFS('Bill Wise'!I:I,'Bill Wise'!C:C,B183,'Bill Wise'!H:H,"91-120 Days")</f>
        <v>0</v>
      </c>
      <c r="L183" s="9">
        <f>SUMIFS('Bill Wise'!I:I,'Bill Wise'!C:C,B183,'Bill Wise'!H:H,"121-150 Days")</f>
        <v>832278</v>
      </c>
      <c r="M183" s="9">
        <f>SUMIFS('Bill Wise'!I:I,'Bill Wise'!C:C,B183,'Bill Wise'!H:H,"151-180 Days")</f>
        <v>1167810</v>
      </c>
      <c r="N183" s="9">
        <f>SUMIFS('Bill Wise'!I:I,'Bill Wise'!C:C,B183,'Bill Wise'!H:H,"181-365 Days")</f>
        <v>5521042.2000000002</v>
      </c>
      <c r="O183" s="9">
        <f>SUMIFS('Bill Wise'!I:I,'Bill Wise'!C:C,B183,'Bill Wise'!H:H,"Above 365 Days")</f>
        <v>0</v>
      </c>
      <c r="P183" s="9">
        <f t="shared" si="10"/>
        <v>7521130.2000000002</v>
      </c>
      <c r="Q183" s="9">
        <f t="shared" si="11"/>
        <v>0</v>
      </c>
    </row>
    <row r="184" spans="1:17" s="17" customFormat="1" x14ac:dyDescent="0.25">
      <c r="A184" s="7">
        <v>179</v>
      </c>
      <c r="B184" s="8" t="s">
        <v>164</v>
      </c>
      <c r="C184" s="8" t="s">
        <v>321</v>
      </c>
      <c r="D184" s="8" t="s">
        <v>974</v>
      </c>
      <c r="E184" s="8" t="s">
        <v>975</v>
      </c>
      <c r="F184" s="8"/>
      <c r="G184" s="9">
        <f>IFERROR(SUMIFS(TB!C:C,TB!A:A,B184)-SUMIFS(TB!B:B,TB!A:A,B184),0)</f>
        <v>8146299</v>
      </c>
      <c r="H184" s="9">
        <f>SUMIFS('Bill Wise'!I:I,'Bill Wise'!C:C,B184,'Bill Wise'!H:H,"0-30 Days")</f>
        <v>1769782</v>
      </c>
      <c r="I184" s="9">
        <f>SUMIFS('Bill Wise'!I:I,'Bill Wise'!C:C,B184,'Bill Wise'!H:H,"31-60 Days")</f>
        <v>0</v>
      </c>
      <c r="J184" s="9">
        <f>SUMIFS('Bill Wise'!I:I,'Bill Wise'!C:C,B184,'Bill Wise'!H:H,"61-90 Days")</f>
        <v>792820</v>
      </c>
      <c r="K184" s="9">
        <f>SUMIFS('Bill Wise'!I:I,'Bill Wise'!C:C,B184,'Bill Wise'!H:H,"91-120 Days")</f>
        <v>1661590</v>
      </c>
      <c r="L184" s="9">
        <f>SUMIFS('Bill Wise'!I:I,'Bill Wise'!C:C,B184,'Bill Wise'!H:H,"121-150 Days")</f>
        <v>3922107</v>
      </c>
      <c r="M184" s="9">
        <f>SUMIFS('Bill Wise'!I:I,'Bill Wise'!C:C,B184,'Bill Wise'!H:H,"151-180 Days")</f>
        <v>0</v>
      </c>
      <c r="N184" s="9">
        <f>SUMIFS('Bill Wise'!I:I,'Bill Wise'!C:C,B184,'Bill Wise'!H:H,"181-365 Days")</f>
        <v>0</v>
      </c>
      <c r="O184" s="9">
        <f>SUMIFS('Bill Wise'!I:I,'Bill Wise'!C:C,B184,'Bill Wise'!H:H,"Above 365 Days")</f>
        <v>0</v>
      </c>
      <c r="P184" s="9">
        <f t="shared" si="10"/>
        <v>8146299</v>
      </c>
      <c r="Q184" s="9">
        <f t="shared" si="11"/>
        <v>0</v>
      </c>
    </row>
    <row r="185" spans="1:17" s="17" customFormat="1" x14ac:dyDescent="0.25">
      <c r="A185" s="7">
        <v>180</v>
      </c>
      <c r="B185" s="8" t="s">
        <v>18</v>
      </c>
      <c r="C185" s="8" t="s">
        <v>332</v>
      </c>
      <c r="D185" s="8" t="s">
        <v>979</v>
      </c>
      <c r="E185" s="8" t="s">
        <v>980</v>
      </c>
      <c r="F185" s="8"/>
      <c r="G185" s="9">
        <f>IFERROR(SUMIFS(TB!C:C,TB!A:A,B185)-SUMIFS(TB!B:B,TB!A:A,B185),0)</f>
        <v>8563184.5700000003</v>
      </c>
      <c r="H185" s="9">
        <f>SUMIFS('Bill Wise'!I:I,'Bill Wise'!C:C,B185,'Bill Wise'!H:H,"0-30 Days")</f>
        <v>8563184.5699999947</v>
      </c>
      <c r="I185" s="9">
        <f>SUMIFS('Bill Wise'!I:I,'Bill Wise'!C:C,B185,'Bill Wise'!H:H,"31-60 Days")</f>
        <v>0</v>
      </c>
      <c r="J185" s="9">
        <f>SUMIFS('Bill Wise'!I:I,'Bill Wise'!C:C,B185,'Bill Wise'!H:H,"61-90 Days")</f>
        <v>0</v>
      </c>
      <c r="K185" s="9">
        <f>SUMIFS('Bill Wise'!I:I,'Bill Wise'!C:C,B185,'Bill Wise'!H:H,"91-120 Days")</f>
        <v>0</v>
      </c>
      <c r="L185" s="9">
        <f>SUMIFS('Bill Wise'!I:I,'Bill Wise'!C:C,B185,'Bill Wise'!H:H,"121-150 Days")</f>
        <v>0</v>
      </c>
      <c r="M185" s="9">
        <f>SUMIFS('Bill Wise'!I:I,'Bill Wise'!C:C,B185,'Bill Wise'!H:H,"151-180 Days")</f>
        <v>0</v>
      </c>
      <c r="N185" s="9">
        <f>SUMIFS('Bill Wise'!I:I,'Bill Wise'!C:C,B185,'Bill Wise'!H:H,"181-365 Days")</f>
        <v>0</v>
      </c>
      <c r="O185" s="9">
        <f>SUMIFS('Bill Wise'!I:I,'Bill Wise'!C:C,B185,'Bill Wise'!H:H,"Above 365 Days")</f>
        <v>0</v>
      </c>
      <c r="P185" s="9">
        <f t="shared" si="10"/>
        <v>8563184.5699999947</v>
      </c>
      <c r="Q185" s="9">
        <f t="shared" si="11"/>
        <v>0</v>
      </c>
    </row>
    <row r="186" spans="1:17" s="17" customFormat="1" x14ac:dyDescent="0.25">
      <c r="A186" s="7">
        <v>181</v>
      </c>
      <c r="B186" s="8" t="s">
        <v>22</v>
      </c>
      <c r="C186" s="8" t="s">
        <v>332</v>
      </c>
      <c r="D186" s="8" t="s">
        <v>979</v>
      </c>
      <c r="E186" s="8" t="s">
        <v>980</v>
      </c>
      <c r="F186" s="8"/>
      <c r="G186" s="9">
        <f>IFERROR(SUMIFS(TB!C:C,TB!A:A,B186)-SUMIFS(TB!B:B,TB!A:A,B186),0)</f>
        <v>8639888.8000000007</v>
      </c>
      <c r="H186" s="9">
        <f>SUMIFS('Bill Wise'!I:I,'Bill Wise'!C:C,B186,'Bill Wise'!H:H,"0-30 Days")</f>
        <v>877593.77</v>
      </c>
      <c r="I186" s="9">
        <f>SUMIFS('Bill Wise'!I:I,'Bill Wise'!C:C,B186,'Bill Wise'!H:H,"31-60 Days")</f>
        <v>349132.19999999995</v>
      </c>
      <c r="J186" s="9">
        <f>SUMIFS('Bill Wise'!I:I,'Bill Wise'!C:C,B186,'Bill Wise'!H:H,"61-90 Days")</f>
        <v>452204.79</v>
      </c>
      <c r="K186" s="9">
        <f>SUMIFS('Bill Wise'!I:I,'Bill Wise'!C:C,B186,'Bill Wise'!H:H,"91-120 Days")</f>
        <v>1885930.53</v>
      </c>
      <c r="L186" s="9">
        <f>SUMIFS('Bill Wise'!I:I,'Bill Wise'!C:C,B186,'Bill Wise'!H:H,"121-150 Days")</f>
        <v>2157798.2999999998</v>
      </c>
      <c r="M186" s="9">
        <f>SUMIFS('Bill Wise'!I:I,'Bill Wise'!C:C,B186,'Bill Wise'!H:H,"151-180 Days")</f>
        <v>0</v>
      </c>
      <c r="N186" s="9">
        <f>SUMIFS('Bill Wise'!I:I,'Bill Wise'!C:C,B186,'Bill Wise'!H:H,"181-365 Days")</f>
        <v>2852470.19</v>
      </c>
      <c r="O186" s="9">
        <f>SUMIFS('Bill Wise'!I:I,'Bill Wise'!C:C,B186,'Bill Wise'!H:H,"Above 365 Days")</f>
        <v>64759.02</v>
      </c>
      <c r="P186" s="9">
        <f t="shared" si="10"/>
        <v>8639888.7999999989</v>
      </c>
      <c r="Q186" s="9">
        <f t="shared" si="11"/>
        <v>0</v>
      </c>
    </row>
    <row r="187" spans="1:17" s="17" customFormat="1" x14ac:dyDescent="0.25">
      <c r="A187" s="7">
        <v>182</v>
      </c>
      <c r="B187" s="8" t="s">
        <v>188</v>
      </c>
      <c r="C187" s="8" t="s">
        <v>232</v>
      </c>
      <c r="D187" s="8" t="s">
        <v>971</v>
      </c>
      <c r="E187" s="8" t="s">
        <v>1004</v>
      </c>
      <c r="F187" s="8"/>
      <c r="G187" s="9">
        <f>IFERROR(SUMIFS(TB!C:C,TB!A:A,B187)-SUMIFS(TB!B:B,TB!A:A,B187),0)</f>
        <v>12371304.210000001</v>
      </c>
      <c r="H187" s="9">
        <f>SUMIFS('Bill Wise'!I:I,'Bill Wise'!C:C,B187,'Bill Wise'!H:H,"0-30 Days")</f>
        <v>5111777.01</v>
      </c>
      <c r="I187" s="9">
        <f>SUMIFS('Bill Wise'!I:I,'Bill Wise'!C:C,B187,'Bill Wise'!H:H,"31-60 Days")</f>
        <v>2510203</v>
      </c>
      <c r="J187" s="9">
        <f>SUMIFS('Bill Wise'!I:I,'Bill Wise'!C:C,B187,'Bill Wise'!H:H,"61-90 Days")</f>
        <v>2936732</v>
      </c>
      <c r="K187" s="9">
        <f>SUMIFS('Bill Wise'!I:I,'Bill Wise'!C:C,B187,'Bill Wise'!H:H,"91-120 Days")</f>
        <v>1640546.2</v>
      </c>
      <c r="L187" s="9">
        <f>SUMIFS('Bill Wise'!I:I,'Bill Wise'!C:C,B187,'Bill Wise'!H:H,"121-150 Days")</f>
        <v>0</v>
      </c>
      <c r="M187" s="9">
        <f>SUMIFS('Bill Wise'!I:I,'Bill Wise'!C:C,B187,'Bill Wise'!H:H,"151-180 Days")</f>
        <v>0</v>
      </c>
      <c r="N187" s="9">
        <f>SUMIFS('Bill Wise'!I:I,'Bill Wise'!C:C,B187,'Bill Wise'!H:H,"181-365 Days")</f>
        <v>0</v>
      </c>
      <c r="O187" s="9">
        <f>SUMIFS('Bill Wise'!I:I,'Bill Wise'!C:C,B187,'Bill Wise'!H:H,"Above 365 Days")</f>
        <v>172046</v>
      </c>
      <c r="P187" s="9">
        <f t="shared" si="10"/>
        <v>12371304.209999999</v>
      </c>
      <c r="Q187" s="9">
        <f t="shared" si="11"/>
        <v>0</v>
      </c>
    </row>
    <row r="188" spans="1:17" s="17" customFormat="1" x14ac:dyDescent="0.25">
      <c r="A188" s="7">
        <v>183</v>
      </c>
      <c r="B188" s="8" t="s">
        <v>45</v>
      </c>
      <c r="C188" s="8" t="s">
        <v>317</v>
      </c>
      <c r="D188" s="8" t="s">
        <v>992</v>
      </c>
      <c r="E188" s="8" t="s">
        <v>992</v>
      </c>
      <c r="F188" s="8"/>
      <c r="G188" s="9">
        <f>IFERROR(SUMIFS(TB!C:C,TB!A:A,B188)-SUMIFS(TB!B:B,TB!A:A,B188),0)</f>
        <v>32005897.48</v>
      </c>
      <c r="H188" s="9">
        <f>SUMIFS('Bill Wise'!I:I,'Bill Wise'!C:C,B188,'Bill Wise'!H:H,"0-30 Days")</f>
        <v>32005895.239999998</v>
      </c>
      <c r="I188" s="9">
        <f>SUMIFS('Bill Wise'!I:I,'Bill Wise'!C:C,B188,'Bill Wise'!H:H,"31-60 Days")</f>
        <v>0</v>
      </c>
      <c r="J188" s="9">
        <f>SUMIFS('Bill Wise'!I:I,'Bill Wise'!C:C,B188,'Bill Wise'!H:H,"61-90 Days")</f>
        <v>0</v>
      </c>
      <c r="K188" s="9">
        <f>SUMIFS('Bill Wise'!I:I,'Bill Wise'!C:C,B188,'Bill Wise'!H:H,"91-120 Days")</f>
        <v>2.2400000000000002</v>
      </c>
      <c r="L188" s="9">
        <f>SUMIFS('Bill Wise'!I:I,'Bill Wise'!C:C,B188,'Bill Wise'!H:H,"121-150 Days")</f>
        <v>0</v>
      </c>
      <c r="M188" s="9">
        <f>SUMIFS('Bill Wise'!I:I,'Bill Wise'!C:C,B188,'Bill Wise'!H:H,"151-180 Days")</f>
        <v>0</v>
      </c>
      <c r="N188" s="9">
        <f>SUMIFS('Bill Wise'!I:I,'Bill Wise'!C:C,B188,'Bill Wise'!H:H,"181-365 Days")</f>
        <v>0</v>
      </c>
      <c r="O188" s="9">
        <f>SUMIFS('Bill Wise'!I:I,'Bill Wise'!C:C,B188,'Bill Wise'!H:H,"Above 365 Days")</f>
        <v>0</v>
      </c>
      <c r="P188" s="9">
        <f t="shared" si="10"/>
        <v>32005897.479999997</v>
      </c>
      <c r="Q188" s="9">
        <f t="shared" si="11"/>
        <v>0</v>
      </c>
    </row>
    <row r="189" spans="1:17" s="17" customFormat="1" x14ac:dyDescent="0.25">
      <c r="A189" s="7"/>
      <c r="B189" s="8"/>
      <c r="C189" s="8"/>
      <c r="D189" s="8"/>
      <c r="E189" s="8"/>
      <c r="F189" s="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x14ac:dyDescent="0.25">
      <c r="A190" s="10"/>
      <c r="B190" s="11" t="s">
        <v>218</v>
      </c>
      <c r="C190" s="10"/>
      <c r="D190" s="10"/>
      <c r="E190" s="10"/>
      <c r="F190" s="10"/>
      <c r="G190" s="12">
        <f>SUM(G4:G189)</f>
        <v>182750479.76999998</v>
      </c>
      <c r="H190" s="12">
        <f>SUM(H4:H189)</f>
        <v>109325520.54000001</v>
      </c>
      <c r="I190" s="12">
        <f>SUM(I4:I189)</f>
        <v>13959869.6</v>
      </c>
      <c r="J190" s="12">
        <f>SUM(J4:J189)</f>
        <v>12910754.77</v>
      </c>
      <c r="K190" s="12">
        <f>SUM(K4:K189)</f>
        <v>10238610.199999999</v>
      </c>
      <c r="L190" s="12">
        <f>SUM(L4:L189)</f>
        <v>18449868.650000002</v>
      </c>
      <c r="M190" s="12">
        <f>SUM(M4:M189)</f>
        <v>1354071.3</v>
      </c>
      <c r="N190" s="12">
        <f>SUM(N4:N189)</f>
        <v>10572313.290000001</v>
      </c>
      <c r="O190" s="12">
        <f>SUM(O4:O189)</f>
        <v>5938810.4699999988</v>
      </c>
      <c r="P190" s="12">
        <f>SUM(P4:P189)</f>
        <v>182749818.81999999</v>
      </c>
      <c r="Q190" s="12">
        <f>SUM(Q4:Q189)</f>
        <v>660.95000000000073</v>
      </c>
    </row>
  </sheetData>
  <autoFilter ref="A4:Q190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pane xSplit="2" ySplit="4" topLeftCell="E5" activePane="bottomRight" state="frozen"/>
      <selection pane="topRight"/>
      <selection pane="bottomLeft"/>
      <selection pane="bottomRight" activeCell="A4" sqref="A4"/>
    </sheetView>
  </sheetViews>
  <sheetFormatPr defaultRowHeight="15" x14ac:dyDescent="0.25"/>
  <cols>
    <col min="1" max="1" width="6" customWidth="1"/>
    <col min="2" max="2" width="50" customWidth="1"/>
    <col min="3" max="3" width="16" customWidth="1"/>
    <col min="4" max="4" width="18" customWidth="1"/>
    <col min="5" max="5" width="22" customWidth="1"/>
    <col min="6" max="6" width="2" customWidth="1"/>
    <col min="7" max="7" width="16" customWidth="1"/>
    <col min="8" max="13" width="14" customWidth="1"/>
    <col min="14" max="14" width="14.85546875" bestFit="1" customWidth="1"/>
    <col min="15" max="16" width="16" customWidth="1"/>
    <col min="17" max="17" width="14" customWidth="1"/>
  </cols>
  <sheetData>
    <row r="1" spans="1:17" ht="21.95" customHeight="1" x14ac:dyDescent="0.25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20.100000000000001" customHeight="1" x14ac:dyDescent="0.25">
      <c r="A2" s="28" t="s">
        <v>1670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3"/>
      <c r="B3" s="4" t="s">
        <v>961</v>
      </c>
      <c r="C3" s="3"/>
      <c r="D3" s="3"/>
      <c r="E3" s="3"/>
      <c r="F3" s="3"/>
      <c r="G3" s="5">
        <f t="shared" ref="G3:Q3" si="0">SUBTOTAL(9,G5:G60)</f>
        <v>-44503458.800000004</v>
      </c>
      <c r="H3" s="5">
        <f t="shared" si="0"/>
        <v>-10773370.419999998</v>
      </c>
      <c r="I3" s="5">
        <f t="shared" si="0"/>
        <v>-257950.4</v>
      </c>
      <c r="J3" s="5">
        <f t="shared" si="0"/>
        <v>-1792541.58</v>
      </c>
      <c r="K3" s="5">
        <f t="shared" si="0"/>
        <v>-45000</v>
      </c>
      <c r="L3" s="5">
        <f t="shared" si="0"/>
        <v>-432782.7</v>
      </c>
      <c r="M3" s="5">
        <f t="shared" si="0"/>
        <v>-187920</v>
      </c>
      <c r="N3" s="5">
        <f t="shared" si="0"/>
        <v>-25658409.660000004</v>
      </c>
      <c r="O3" s="5">
        <f t="shared" si="0"/>
        <v>-5355484.04</v>
      </c>
      <c r="P3" s="5">
        <f t="shared" si="0"/>
        <v>-44503458.800000004</v>
      </c>
      <c r="Q3" s="5">
        <f t="shared" si="0"/>
        <v>0</v>
      </c>
    </row>
    <row r="4" spans="1:17" ht="32.1" customHeight="1" x14ac:dyDescent="0.25">
      <c r="A4" s="6" t="s">
        <v>962</v>
      </c>
      <c r="B4" s="6" t="s">
        <v>963</v>
      </c>
      <c r="C4" s="6" t="s">
        <v>964</v>
      </c>
      <c r="D4" s="6" t="s">
        <v>965</v>
      </c>
      <c r="E4" s="6" t="s">
        <v>966</v>
      </c>
      <c r="F4" s="6"/>
      <c r="G4" s="6" t="s">
        <v>967</v>
      </c>
      <c r="H4" s="6" t="s">
        <v>748</v>
      </c>
      <c r="I4" s="6" t="s">
        <v>659</v>
      </c>
      <c r="J4" s="6" t="s">
        <v>585</v>
      </c>
      <c r="K4" s="6" t="s">
        <v>490</v>
      </c>
      <c r="L4" s="6" t="s">
        <v>467</v>
      </c>
      <c r="M4" s="6" t="s">
        <v>435</v>
      </c>
      <c r="N4" s="6" t="s">
        <v>323</v>
      </c>
      <c r="O4" s="6" t="s">
        <v>233</v>
      </c>
      <c r="P4" s="6" t="s">
        <v>968</v>
      </c>
      <c r="Q4" s="6" t="s">
        <v>969</v>
      </c>
    </row>
    <row r="5" spans="1:17" s="17" customFormat="1" x14ac:dyDescent="0.25">
      <c r="A5" s="7"/>
      <c r="B5" s="8"/>
      <c r="C5" s="8"/>
      <c r="D5" s="8"/>
      <c r="E5" s="8"/>
      <c r="F5" s="8"/>
      <c r="G5" s="9"/>
      <c r="H5" s="9">
        <f>SUMIFS('Bill Wise'!I:I,'Bill Wise'!C:C,B5,'Bill Wise'!H:H,"0-30 Days")</f>
        <v>0</v>
      </c>
      <c r="I5" s="9">
        <f>SUMIFS('Bill Wise'!I:I,'Bill Wise'!C:C,B5,'Bill Wise'!H:H,"31-60 Days")</f>
        <v>0</v>
      </c>
      <c r="J5" s="9">
        <f>SUMIFS('Bill Wise'!I:I,'Bill Wise'!C:C,B5,'Bill Wise'!H:H,"61-90 Days")</f>
        <v>0</v>
      </c>
      <c r="K5" s="9">
        <f>SUMIFS('Bill Wise'!I:I,'Bill Wise'!C:C,B5,'Bill Wise'!H:H,"91-120 Days")</f>
        <v>0</v>
      </c>
      <c r="L5" s="9">
        <f>SUMIFS('Bill Wise'!I:I,'Bill Wise'!C:C,B5,'Bill Wise'!H:H,"121-150 Days")</f>
        <v>0</v>
      </c>
      <c r="M5" s="9">
        <f>SUMIFS('Bill Wise'!I:I,'Bill Wise'!C:C,B5,'Bill Wise'!H:H,"151-180 Days")</f>
        <v>0</v>
      </c>
      <c r="N5" s="9">
        <f>SUMIFS('Bill Wise'!I:I,'Bill Wise'!C:C,B5,'Bill Wise'!H:H,"181-365 Days")</f>
        <v>0</v>
      </c>
      <c r="O5" s="9">
        <f>SUMIFS('Bill Wise'!I:I,'Bill Wise'!C:C,B5,'Bill Wise'!H:H,"Above 365 Days")</f>
        <v>0</v>
      </c>
      <c r="P5" s="9"/>
      <c r="Q5" s="9"/>
    </row>
    <row r="6" spans="1:17" s="17" customFormat="1" x14ac:dyDescent="0.25">
      <c r="A6" s="7">
        <v>1</v>
      </c>
      <c r="B6" s="8" t="s">
        <v>52</v>
      </c>
      <c r="C6" s="8" t="s">
        <v>312</v>
      </c>
      <c r="D6" s="8" t="s">
        <v>971</v>
      </c>
      <c r="E6" s="8" t="s">
        <v>1009</v>
      </c>
      <c r="F6" s="8"/>
      <c r="G6" s="9">
        <f>IFERROR(SUMIFS(TB!C:C,TB!A:A,B6)-SUMIFS(TB!B:B,TB!A:A,B6),0)</f>
        <v>-13962953.220000001</v>
      </c>
      <c r="H6" s="9">
        <f>SUMIFS('Bill Wise'!I:I,'Bill Wise'!C:C,B6,'Bill Wise'!H:H,"0-30 Days")</f>
        <v>0</v>
      </c>
      <c r="I6" s="9">
        <f>SUMIFS('Bill Wise'!I:I,'Bill Wise'!C:C,B6,'Bill Wise'!H:H,"31-60 Days")</f>
        <v>0</v>
      </c>
      <c r="J6" s="9">
        <f>SUMIFS('Bill Wise'!I:I,'Bill Wise'!C:C,B6,'Bill Wise'!H:H,"61-90 Days")</f>
        <v>0</v>
      </c>
      <c r="K6" s="9">
        <f>SUMIFS('Bill Wise'!I:I,'Bill Wise'!C:C,B6,'Bill Wise'!H:H,"91-120 Days")</f>
        <v>0</v>
      </c>
      <c r="L6" s="9">
        <f>SUMIFS('Bill Wise'!I:I,'Bill Wise'!C:C,B6,'Bill Wise'!H:H,"121-150 Days")</f>
        <v>0</v>
      </c>
      <c r="M6" s="9">
        <f>SUMIFS('Bill Wise'!I:I,'Bill Wise'!C:C,B6,'Bill Wise'!H:H,"151-180 Days")</f>
        <v>0</v>
      </c>
      <c r="N6" s="9">
        <f>SUMIFS('Bill Wise'!I:I,'Bill Wise'!C:C,B6,'Bill Wise'!H:H,"181-365 Days")</f>
        <v>-13962953.220000001</v>
      </c>
      <c r="O6" s="9">
        <f>SUMIFS('Bill Wise'!I:I,'Bill Wise'!C:C,B6,'Bill Wise'!H:H,"Above 365 Days")</f>
        <v>0</v>
      </c>
      <c r="P6" s="9">
        <f t="shared" ref="P6:P37" si="1">SUM(H6:O6)</f>
        <v>-13962953.220000001</v>
      </c>
      <c r="Q6" s="9">
        <f t="shared" ref="Q6:Q37" si="2">G6-P6</f>
        <v>0</v>
      </c>
    </row>
    <row r="7" spans="1:17" s="17" customFormat="1" x14ac:dyDescent="0.25">
      <c r="A7" s="7">
        <v>2</v>
      </c>
      <c r="B7" s="8" t="s">
        <v>206</v>
      </c>
      <c r="C7" s="8" t="s">
        <v>312</v>
      </c>
      <c r="D7" s="8" t="s">
        <v>988</v>
      </c>
      <c r="E7" s="8" t="s">
        <v>1017</v>
      </c>
      <c r="F7" s="8"/>
      <c r="G7" s="9">
        <f>IFERROR(SUMIFS(TB!C:C,TB!A:A,B7)-SUMIFS(TB!B:B,TB!A:A,B7),0)</f>
        <v>-9481609.8000000007</v>
      </c>
      <c r="H7" s="9">
        <f>SUMIFS('Bill Wise'!I:I,'Bill Wise'!C:C,B7,'Bill Wise'!H:H,"0-30 Days")</f>
        <v>0</v>
      </c>
      <c r="I7" s="9">
        <f>SUMIFS('Bill Wise'!I:I,'Bill Wise'!C:C,B7,'Bill Wise'!H:H,"31-60 Days")</f>
        <v>0</v>
      </c>
      <c r="J7" s="9">
        <f>SUMIFS('Bill Wise'!I:I,'Bill Wise'!C:C,B7,'Bill Wise'!H:H,"61-90 Days")</f>
        <v>0</v>
      </c>
      <c r="K7" s="9">
        <f>SUMIFS('Bill Wise'!I:I,'Bill Wise'!C:C,B7,'Bill Wise'!H:H,"91-120 Days")</f>
        <v>0</v>
      </c>
      <c r="L7" s="9">
        <f>SUMIFS('Bill Wise'!I:I,'Bill Wise'!C:C,B7,'Bill Wise'!H:H,"121-150 Days")</f>
        <v>0</v>
      </c>
      <c r="M7" s="9">
        <f>SUMIFS('Bill Wise'!I:I,'Bill Wise'!C:C,B7,'Bill Wise'!H:H,"151-180 Days")</f>
        <v>0</v>
      </c>
      <c r="N7" s="9">
        <f>SUMIFS('Bill Wise'!I:I,'Bill Wise'!C:C,B7,'Bill Wise'!H:H,"181-365 Days")</f>
        <v>-9481609.8000000007</v>
      </c>
      <c r="O7" s="9">
        <f>SUMIFS('Bill Wise'!I:I,'Bill Wise'!C:C,B7,'Bill Wise'!H:H,"Above 365 Days")</f>
        <v>0</v>
      </c>
      <c r="P7" s="9">
        <f t="shared" si="1"/>
        <v>-9481609.8000000007</v>
      </c>
      <c r="Q7" s="9">
        <f t="shared" si="2"/>
        <v>0</v>
      </c>
    </row>
    <row r="8" spans="1:17" s="17" customFormat="1" x14ac:dyDescent="0.25">
      <c r="A8" s="7">
        <v>3</v>
      </c>
      <c r="B8" s="8" t="s">
        <v>76</v>
      </c>
      <c r="C8" s="8" t="s">
        <v>280</v>
      </c>
      <c r="D8" s="8" t="s">
        <v>995</v>
      </c>
      <c r="E8" s="8" t="s">
        <v>996</v>
      </c>
      <c r="F8" s="8"/>
      <c r="G8" s="9">
        <f>IFERROR(SUMIFS(TB!C:C,TB!A:A,B8)-SUMIFS(TB!B:B,TB!A:A,B8),0)</f>
        <v>-4692357</v>
      </c>
      <c r="H8" s="9">
        <f>SUMIFS('Bill Wise'!I:I,'Bill Wise'!C:C,B8,'Bill Wise'!H:H,"0-30 Days")</f>
        <v>0</v>
      </c>
      <c r="I8" s="9">
        <f>SUMIFS('Bill Wise'!I:I,'Bill Wise'!C:C,B8,'Bill Wise'!H:H,"31-60 Days")</f>
        <v>0</v>
      </c>
      <c r="J8" s="9">
        <f>SUMIFS('Bill Wise'!I:I,'Bill Wise'!C:C,B8,'Bill Wise'!H:H,"61-90 Days")</f>
        <v>0</v>
      </c>
      <c r="K8" s="9">
        <f>SUMIFS('Bill Wise'!I:I,'Bill Wise'!C:C,B8,'Bill Wise'!H:H,"91-120 Days")</f>
        <v>0</v>
      </c>
      <c r="L8" s="9">
        <f>SUMIFS('Bill Wise'!I:I,'Bill Wise'!C:C,B8,'Bill Wise'!H:H,"121-150 Days")</f>
        <v>0</v>
      </c>
      <c r="M8" s="9">
        <f>SUMIFS('Bill Wise'!I:I,'Bill Wise'!C:C,B8,'Bill Wise'!H:H,"151-180 Days")</f>
        <v>0</v>
      </c>
      <c r="N8" s="9">
        <f>SUMIFS('Bill Wise'!I:I,'Bill Wise'!C:C,B8,'Bill Wise'!H:H,"181-365 Days")</f>
        <v>0</v>
      </c>
      <c r="O8" s="9">
        <f>SUMIFS('Bill Wise'!I:I,'Bill Wise'!C:C,B8,'Bill Wise'!H:H,"Above 365 Days")</f>
        <v>-4692357</v>
      </c>
      <c r="P8" s="9">
        <f t="shared" si="1"/>
        <v>-4692357</v>
      </c>
      <c r="Q8" s="9">
        <f t="shared" si="2"/>
        <v>0</v>
      </c>
    </row>
    <row r="9" spans="1:17" s="17" customFormat="1" x14ac:dyDescent="0.25">
      <c r="A9" s="7">
        <v>4</v>
      </c>
      <c r="B9" s="8" t="s">
        <v>63</v>
      </c>
      <c r="C9" s="8" t="s">
        <v>663</v>
      </c>
      <c r="D9" s="8" t="s">
        <v>979</v>
      </c>
      <c r="E9" s="8" t="s">
        <v>1007</v>
      </c>
      <c r="F9" s="8"/>
      <c r="G9" s="9">
        <f>IFERROR(SUMIFS(TB!C:C,TB!A:A,B9)-SUMIFS(TB!B:B,TB!A:A,B9),0)</f>
        <v>-2387615</v>
      </c>
      <c r="H9" s="9">
        <f>SUMIFS('Bill Wise'!I:I,'Bill Wise'!C:C,B9,'Bill Wise'!H:H,"0-30 Days")</f>
        <v>-2387615</v>
      </c>
      <c r="I9" s="9">
        <f>SUMIFS('Bill Wise'!I:I,'Bill Wise'!C:C,B9,'Bill Wise'!H:H,"31-60 Days")</f>
        <v>0</v>
      </c>
      <c r="J9" s="9">
        <f>SUMIFS('Bill Wise'!I:I,'Bill Wise'!C:C,B9,'Bill Wise'!H:H,"61-90 Days")</f>
        <v>0</v>
      </c>
      <c r="K9" s="9">
        <f>SUMIFS('Bill Wise'!I:I,'Bill Wise'!C:C,B9,'Bill Wise'!H:H,"91-120 Days")</f>
        <v>0</v>
      </c>
      <c r="L9" s="9">
        <f>SUMIFS('Bill Wise'!I:I,'Bill Wise'!C:C,B9,'Bill Wise'!H:H,"121-150 Days")</f>
        <v>0</v>
      </c>
      <c r="M9" s="9">
        <f>SUMIFS('Bill Wise'!I:I,'Bill Wise'!C:C,B9,'Bill Wise'!H:H,"151-180 Days")</f>
        <v>0</v>
      </c>
      <c r="N9" s="9">
        <f>SUMIFS('Bill Wise'!I:I,'Bill Wise'!C:C,B9,'Bill Wise'!H:H,"181-365 Days")</f>
        <v>0</v>
      </c>
      <c r="O9" s="9">
        <f>SUMIFS('Bill Wise'!I:I,'Bill Wise'!C:C,B9,'Bill Wise'!H:H,"Above 365 Days")</f>
        <v>0</v>
      </c>
      <c r="P9" s="9">
        <f t="shared" si="1"/>
        <v>-2387615</v>
      </c>
      <c r="Q9" s="9">
        <f t="shared" si="2"/>
        <v>0</v>
      </c>
    </row>
    <row r="10" spans="1:17" s="17" customFormat="1" x14ac:dyDescent="0.25">
      <c r="A10" s="7">
        <v>5</v>
      </c>
      <c r="B10" s="8" t="s">
        <v>89</v>
      </c>
      <c r="C10" s="8" t="s">
        <v>663</v>
      </c>
      <c r="D10" s="8" t="s">
        <v>979</v>
      </c>
      <c r="E10" s="8" t="s">
        <v>1007</v>
      </c>
      <c r="F10" s="8"/>
      <c r="G10" s="9">
        <f>IFERROR(SUMIFS(TB!C:C,TB!A:A,B10)-SUMIFS(TB!B:B,TB!A:A,B10),0)</f>
        <v>-2374700</v>
      </c>
      <c r="H10" s="9">
        <f>SUMIFS('Bill Wise'!I:I,'Bill Wise'!C:C,B10,'Bill Wise'!H:H,"0-30 Days")</f>
        <v>-2374700</v>
      </c>
      <c r="I10" s="9">
        <f>SUMIFS('Bill Wise'!I:I,'Bill Wise'!C:C,B10,'Bill Wise'!H:H,"31-60 Days")</f>
        <v>0</v>
      </c>
      <c r="J10" s="9">
        <f>SUMIFS('Bill Wise'!I:I,'Bill Wise'!C:C,B10,'Bill Wise'!H:H,"61-90 Days")</f>
        <v>0</v>
      </c>
      <c r="K10" s="9">
        <f>SUMIFS('Bill Wise'!I:I,'Bill Wise'!C:C,B10,'Bill Wise'!H:H,"91-120 Days")</f>
        <v>0</v>
      </c>
      <c r="L10" s="9">
        <f>SUMIFS('Bill Wise'!I:I,'Bill Wise'!C:C,B10,'Bill Wise'!H:H,"121-150 Days")</f>
        <v>0</v>
      </c>
      <c r="M10" s="9">
        <f>SUMIFS('Bill Wise'!I:I,'Bill Wise'!C:C,B10,'Bill Wise'!H:H,"151-180 Days")</f>
        <v>0</v>
      </c>
      <c r="N10" s="9">
        <f>SUMIFS('Bill Wise'!I:I,'Bill Wise'!C:C,B10,'Bill Wise'!H:H,"181-365 Days")</f>
        <v>0</v>
      </c>
      <c r="O10" s="9">
        <f>SUMIFS('Bill Wise'!I:I,'Bill Wise'!C:C,B10,'Bill Wise'!H:H,"Above 365 Days")</f>
        <v>0</v>
      </c>
      <c r="P10" s="9">
        <f t="shared" si="1"/>
        <v>-2374700</v>
      </c>
      <c r="Q10" s="9">
        <f t="shared" si="2"/>
        <v>0</v>
      </c>
    </row>
    <row r="11" spans="1:17" s="17" customFormat="1" x14ac:dyDescent="0.25">
      <c r="A11" s="7">
        <v>6</v>
      </c>
      <c r="B11" s="8" t="s">
        <v>58</v>
      </c>
      <c r="C11" s="8" t="s">
        <v>663</v>
      </c>
      <c r="D11" s="8" t="s">
        <v>979</v>
      </c>
      <c r="E11" s="8" t="s">
        <v>1007</v>
      </c>
      <c r="F11" s="8"/>
      <c r="G11" s="9">
        <f>IFERROR(SUMIFS(TB!C:C,TB!A:A,B11)-SUMIFS(TB!B:B,TB!A:A,B11),0)</f>
        <v>-1949646.5</v>
      </c>
      <c r="H11" s="9">
        <f>SUMIFS('Bill Wise'!I:I,'Bill Wise'!C:C,B11,'Bill Wise'!H:H,"0-30 Days")</f>
        <v>-1949646.5</v>
      </c>
      <c r="I11" s="9">
        <f>SUMIFS('Bill Wise'!I:I,'Bill Wise'!C:C,B11,'Bill Wise'!H:H,"31-60 Days")</f>
        <v>0</v>
      </c>
      <c r="J11" s="9">
        <f>SUMIFS('Bill Wise'!I:I,'Bill Wise'!C:C,B11,'Bill Wise'!H:H,"61-90 Days")</f>
        <v>0</v>
      </c>
      <c r="K11" s="9">
        <f>SUMIFS('Bill Wise'!I:I,'Bill Wise'!C:C,B11,'Bill Wise'!H:H,"91-120 Days")</f>
        <v>0</v>
      </c>
      <c r="L11" s="9">
        <f>SUMIFS('Bill Wise'!I:I,'Bill Wise'!C:C,B11,'Bill Wise'!H:H,"121-150 Days")</f>
        <v>0</v>
      </c>
      <c r="M11" s="9">
        <f>SUMIFS('Bill Wise'!I:I,'Bill Wise'!C:C,B11,'Bill Wise'!H:H,"151-180 Days")</f>
        <v>0</v>
      </c>
      <c r="N11" s="9">
        <f>SUMIFS('Bill Wise'!I:I,'Bill Wise'!C:C,B11,'Bill Wise'!H:H,"181-365 Days")</f>
        <v>0</v>
      </c>
      <c r="O11" s="9">
        <f>SUMIFS('Bill Wise'!I:I,'Bill Wise'!C:C,B11,'Bill Wise'!H:H,"Above 365 Days")</f>
        <v>0</v>
      </c>
      <c r="P11" s="9">
        <f t="shared" si="1"/>
        <v>-1949646.5</v>
      </c>
      <c r="Q11" s="9">
        <f t="shared" si="2"/>
        <v>0</v>
      </c>
    </row>
    <row r="12" spans="1:17" s="17" customFormat="1" x14ac:dyDescent="0.25">
      <c r="A12" s="7">
        <v>7</v>
      </c>
      <c r="B12" s="8" t="s">
        <v>66</v>
      </c>
      <c r="C12" s="8" t="s">
        <v>306</v>
      </c>
      <c r="D12" s="8" t="s">
        <v>995</v>
      </c>
      <c r="E12" s="8" t="s">
        <v>996</v>
      </c>
      <c r="F12" s="8"/>
      <c r="G12" s="9">
        <f>IFERROR(SUMIFS(TB!C:C,TB!A:A,B12)-SUMIFS(TB!B:B,TB!A:A,B12),0)</f>
        <v>-1228000</v>
      </c>
      <c r="H12" s="9">
        <f>SUMIFS('Bill Wise'!I:I,'Bill Wise'!C:C,B12,'Bill Wise'!H:H,"0-30 Days")</f>
        <v>-1228000</v>
      </c>
      <c r="I12" s="9">
        <f>SUMIFS('Bill Wise'!I:I,'Bill Wise'!C:C,B12,'Bill Wise'!H:H,"31-60 Days")</f>
        <v>0</v>
      </c>
      <c r="J12" s="9">
        <f>SUMIFS('Bill Wise'!I:I,'Bill Wise'!C:C,B12,'Bill Wise'!H:H,"61-90 Days")</f>
        <v>0</v>
      </c>
      <c r="K12" s="9">
        <f>SUMIFS('Bill Wise'!I:I,'Bill Wise'!C:C,B12,'Bill Wise'!H:H,"91-120 Days")</f>
        <v>0</v>
      </c>
      <c r="L12" s="9">
        <f>SUMIFS('Bill Wise'!I:I,'Bill Wise'!C:C,B12,'Bill Wise'!H:H,"121-150 Days")</f>
        <v>0</v>
      </c>
      <c r="M12" s="9">
        <f>SUMIFS('Bill Wise'!I:I,'Bill Wise'!C:C,B12,'Bill Wise'!H:H,"151-180 Days")</f>
        <v>0</v>
      </c>
      <c r="N12" s="9">
        <f>SUMIFS('Bill Wise'!I:I,'Bill Wise'!C:C,B12,'Bill Wise'!H:H,"181-365 Days")</f>
        <v>0</v>
      </c>
      <c r="O12" s="9">
        <f>SUMIFS('Bill Wise'!I:I,'Bill Wise'!C:C,B12,'Bill Wise'!H:H,"Above 365 Days")</f>
        <v>0</v>
      </c>
      <c r="P12" s="9">
        <f t="shared" si="1"/>
        <v>-1228000</v>
      </c>
      <c r="Q12" s="9">
        <f t="shared" si="2"/>
        <v>0</v>
      </c>
    </row>
    <row r="13" spans="1:17" s="17" customFormat="1" x14ac:dyDescent="0.25">
      <c r="A13" s="7">
        <v>8</v>
      </c>
      <c r="B13" s="8" t="s">
        <v>113</v>
      </c>
      <c r="C13" s="8" t="s">
        <v>306</v>
      </c>
      <c r="D13" s="8" t="s">
        <v>971</v>
      </c>
      <c r="E13" s="8" t="s">
        <v>1013</v>
      </c>
      <c r="F13" s="8"/>
      <c r="G13" s="9">
        <f>IFERROR(SUMIFS(TB!C:C,TB!A:A,B13)-SUMIFS(TB!B:B,TB!A:A,B13),0)</f>
        <v>-955800</v>
      </c>
      <c r="H13" s="9">
        <f>SUMIFS('Bill Wise'!I:I,'Bill Wise'!C:C,B13,'Bill Wise'!H:H,"0-30 Days")</f>
        <v>0</v>
      </c>
      <c r="I13" s="9">
        <f>SUMIFS('Bill Wise'!I:I,'Bill Wise'!C:C,B13,'Bill Wise'!H:H,"31-60 Days")</f>
        <v>0</v>
      </c>
      <c r="J13" s="9">
        <f>SUMIFS('Bill Wise'!I:I,'Bill Wise'!C:C,B13,'Bill Wise'!H:H,"61-90 Days")</f>
        <v>-955800</v>
      </c>
      <c r="K13" s="9">
        <f>SUMIFS('Bill Wise'!I:I,'Bill Wise'!C:C,B13,'Bill Wise'!H:H,"91-120 Days")</f>
        <v>0</v>
      </c>
      <c r="L13" s="9">
        <f>SUMIFS('Bill Wise'!I:I,'Bill Wise'!C:C,B13,'Bill Wise'!H:H,"121-150 Days")</f>
        <v>0</v>
      </c>
      <c r="M13" s="9">
        <f>SUMIFS('Bill Wise'!I:I,'Bill Wise'!C:C,B13,'Bill Wise'!H:H,"151-180 Days")</f>
        <v>0</v>
      </c>
      <c r="N13" s="9">
        <f>SUMIFS('Bill Wise'!I:I,'Bill Wise'!C:C,B13,'Bill Wise'!H:H,"181-365 Days")</f>
        <v>0</v>
      </c>
      <c r="O13" s="9">
        <f>SUMIFS('Bill Wise'!I:I,'Bill Wise'!C:C,B13,'Bill Wise'!H:H,"Above 365 Days")</f>
        <v>0</v>
      </c>
      <c r="P13" s="9">
        <f t="shared" si="1"/>
        <v>-955800</v>
      </c>
      <c r="Q13" s="9">
        <f t="shared" si="2"/>
        <v>0</v>
      </c>
    </row>
    <row r="14" spans="1:17" s="17" customFormat="1" x14ac:dyDescent="0.25">
      <c r="A14" s="7">
        <v>9</v>
      </c>
      <c r="B14" s="8" t="s">
        <v>62</v>
      </c>
      <c r="C14" s="8" t="s">
        <v>317</v>
      </c>
      <c r="D14" s="8" t="s">
        <v>995</v>
      </c>
      <c r="E14" s="8" t="s">
        <v>1011</v>
      </c>
      <c r="F14" s="8"/>
      <c r="G14" s="9">
        <f>IFERROR(SUMIFS(TB!C:C,TB!A:A,B14)-SUMIFS(TB!B:B,TB!A:A,B14),0)</f>
        <v>-714140</v>
      </c>
      <c r="H14" s="9">
        <f>SUMIFS('Bill Wise'!I:I,'Bill Wise'!C:C,B14,'Bill Wise'!H:H,"0-30 Days")</f>
        <v>0</v>
      </c>
      <c r="I14" s="9">
        <f>SUMIFS('Bill Wise'!I:I,'Bill Wise'!C:C,B14,'Bill Wise'!H:H,"31-60 Days")</f>
        <v>0</v>
      </c>
      <c r="J14" s="9">
        <f>SUMIFS('Bill Wise'!I:I,'Bill Wise'!C:C,B14,'Bill Wise'!H:H,"61-90 Days")</f>
        <v>-714140</v>
      </c>
      <c r="K14" s="9">
        <f>SUMIFS('Bill Wise'!I:I,'Bill Wise'!C:C,B14,'Bill Wise'!H:H,"91-120 Days")</f>
        <v>0</v>
      </c>
      <c r="L14" s="9">
        <f>SUMIFS('Bill Wise'!I:I,'Bill Wise'!C:C,B14,'Bill Wise'!H:H,"121-150 Days")</f>
        <v>0</v>
      </c>
      <c r="M14" s="9">
        <f>SUMIFS('Bill Wise'!I:I,'Bill Wise'!C:C,B14,'Bill Wise'!H:H,"151-180 Days")</f>
        <v>0</v>
      </c>
      <c r="N14" s="9">
        <f>SUMIFS('Bill Wise'!I:I,'Bill Wise'!C:C,B14,'Bill Wise'!H:H,"181-365 Days")</f>
        <v>0</v>
      </c>
      <c r="O14" s="9">
        <f>SUMIFS('Bill Wise'!I:I,'Bill Wise'!C:C,B14,'Bill Wise'!H:H,"Above 365 Days")</f>
        <v>0</v>
      </c>
      <c r="P14" s="9">
        <f t="shared" si="1"/>
        <v>-714140</v>
      </c>
      <c r="Q14" s="9">
        <f t="shared" si="2"/>
        <v>0</v>
      </c>
    </row>
    <row r="15" spans="1:17" s="17" customFormat="1" x14ac:dyDescent="0.25">
      <c r="A15" s="7">
        <v>10</v>
      </c>
      <c r="B15" s="8" t="s">
        <v>77</v>
      </c>
      <c r="C15" s="8" t="s">
        <v>312</v>
      </c>
      <c r="D15" s="8" t="s">
        <v>974</v>
      </c>
      <c r="E15" s="8" t="s">
        <v>1012</v>
      </c>
      <c r="F15" s="8"/>
      <c r="G15" s="9">
        <f>IFERROR(SUMIFS(TB!C:C,TB!A:A,B15)-SUMIFS(TB!B:B,TB!A:A,B15),0)</f>
        <v>-653396</v>
      </c>
      <c r="H15" s="9">
        <f>SUMIFS('Bill Wise'!I:I,'Bill Wise'!C:C,B15,'Bill Wise'!H:H,"0-30 Days")</f>
        <v>0</v>
      </c>
      <c r="I15" s="9">
        <f>SUMIFS('Bill Wise'!I:I,'Bill Wise'!C:C,B15,'Bill Wise'!H:H,"31-60 Days")</f>
        <v>0</v>
      </c>
      <c r="J15" s="9">
        <f>SUMIFS('Bill Wise'!I:I,'Bill Wise'!C:C,B15,'Bill Wise'!H:H,"61-90 Days")</f>
        <v>0</v>
      </c>
      <c r="K15" s="9">
        <f>SUMIFS('Bill Wise'!I:I,'Bill Wise'!C:C,B15,'Bill Wise'!H:H,"91-120 Days")</f>
        <v>0</v>
      </c>
      <c r="L15" s="9">
        <f>SUMIFS('Bill Wise'!I:I,'Bill Wise'!C:C,B15,'Bill Wise'!H:H,"121-150 Days")</f>
        <v>0</v>
      </c>
      <c r="M15" s="9">
        <f>SUMIFS('Bill Wise'!I:I,'Bill Wise'!C:C,B15,'Bill Wise'!H:H,"151-180 Days")</f>
        <v>0</v>
      </c>
      <c r="N15" s="9">
        <f>SUMIFS('Bill Wise'!I:I,'Bill Wise'!C:C,B15,'Bill Wise'!H:H,"181-365 Days")</f>
        <v>-653396</v>
      </c>
      <c r="O15" s="9">
        <f>SUMIFS('Bill Wise'!I:I,'Bill Wise'!C:C,B15,'Bill Wise'!H:H,"Above 365 Days")</f>
        <v>0</v>
      </c>
      <c r="P15" s="9">
        <f t="shared" si="1"/>
        <v>-653396</v>
      </c>
      <c r="Q15" s="9">
        <f t="shared" si="2"/>
        <v>0</v>
      </c>
    </row>
    <row r="16" spans="1:17" s="17" customFormat="1" x14ac:dyDescent="0.25">
      <c r="A16" s="7">
        <v>11</v>
      </c>
      <c r="B16" s="8" t="s">
        <v>191</v>
      </c>
      <c r="C16" s="8" t="s">
        <v>306</v>
      </c>
      <c r="D16" s="8" t="s">
        <v>995</v>
      </c>
      <c r="E16" s="8" t="s">
        <v>996</v>
      </c>
      <c r="F16" s="8"/>
      <c r="G16" s="9">
        <f>IFERROR(SUMIFS(TB!C:C,TB!A:A,B16)-SUMIFS(TB!B:B,TB!A:A,B16),0)</f>
        <v>-650000</v>
      </c>
      <c r="H16" s="9">
        <f>SUMIFS('Bill Wise'!I:I,'Bill Wise'!C:C,B16,'Bill Wise'!H:H,"0-30 Days")</f>
        <v>0</v>
      </c>
      <c r="I16" s="9">
        <f>SUMIFS('Bill Wise'!I:I,'Bill Wise'!C:C,B16,'Bill Wise'!H:H,"31-60 Days")</f>
        <v>0</v>
      </c>
      <c r="J16" s="9">
        <f>SUMIFS('Bill Wise'!I:I,'Bill Wise'!C:C,B16,'Bill Wise'!H:H,"61-90 Days")</f>
        <v>0</v>
      </c>
      <c r="K16" s="9">
        <f>SUMIFS('Bill Wise'!I:I,'Bill Wise'!C:C,B16,'Bill Wise'!H:H,"91-120 Days")</f>
        <v>0</v>
      </c>
      <c r="L16" s="9">
        <f>SUMIFS('Bill Wise'!I:I,'Bill Wise'!C:C,B16,'Bill Wise'!H:H,"121-150 Days")</f>
        <v>0</v>
      </c>
      <c r="M16" s="9">
        <f>SUMIFS('Bill Wise'!I:I,'Bill Wise'!C:C,B16,'Bill Wise'!H:H,"151-180 Days")</f>
        <v>0</v>
      </c>
      <c r="N16" s="9">
        <f>SUMIFS('Bill Wise'!I:I,'Bill Wise'!C:C,B16,'Bill Wise'!H:H,"181-365 Days")</f>
        <v>0</v>
      </c>
      <c r="O16" s="9">
        <f>SUMIFS('Bill Wise'!I:I,'Bill Wise'!C:C,B16,'Bill Wise'!H:H,"Above 365 Days")</f>
        <v>-650000</v>
      </c>
      <c r="P16" s="9">
        <f t="shared" si="1"/>
        <v>-650000</v>
      </c>
      <c r="Q16" s="9">
        <f t="shared" si="2"/>
        <v>0</v>
      </c>
    </row>
    <row r="17" spans="1:17" s="17" customFormat="1" x14ac:dyDescent="0.25">
      <c r="A17" s="7">
        <v>12</v>
      </c>
      <c r="B17" s="8" t="s">
        <v>170</v>
      </c>
      <c r="C17" s="8" t="s">
        <v>332</v>
      </c>
      <c r="D17" s="8" t="s">
        <v>988</v>
      </c>
      <c r="E17" s="8" t="s">
        <v>1015</v>
      </c>
      <c r="F17" s="8"/>
      <c r="G17" s="9">
        <f>IFERROR(SUMIFS(TB!C:C,TB!A:A,B17)-SUMIFS(TB!B:B,TB!A:A,B17),0)</f>
        <v>-649762.84</v>
      </c>
      <c r="H17" s="9">
        <f>SUMIFS('Bill Wise'!I:I,'Bill Wise'!C:C,B17,'Bill Wise'!H:H,"0-30 Days")</f>
        <v>0</v>
      </c>
      <c r="I17" s="9">
        <f>SUMIFS('Bill Wise'!I:I,'Bill Wise'!C:C,B17,'Bill Wise'!H:H,"31-60 Days")</f>
        <v>0</v>
      </c>
      <c r="J17" s="9">
        <f>SUMIFS('Bill Wise'!I:I,'Bill Wise'!C:C,B17,'Bill Wise'!H:H,"61-90 Days")</f>
        <v>0</v>
      </c>
      <c r="K17" s="9">
        <f>SUMIFS('Bill Wise'!I:I,'Bill Wise'!C:C,B17,'Bill Wise'!H:H,"91-120 Days")</f>
        <v>0</v>
      </c>
      <c r="L17" s="9">
        <f>SUMIFS('Bill Wise'!I:I,'Bill Wise'!C:C,B17,'Bill Wise'!H:H,"121-150 Days")</f>
        <v>0</v>
      </c>
      <c r="M17" s="9">
        <f>SUMIFS('Bill Wise'!I:I,'Bill Wise'!C:C,B17,'Bill Wise'!H:H,"151-180 Days")</f>
        <v>0</v>
      </c>
      <c r="N17" s="9">
        <f>SUMIFS('Bill Wise'!I:I,'Bill Wise'!C:C,B17,'Bill Wise'!H:H,"181-365 Days")</f>
        <v>-649762.84</v>
      </c>
      <c r="O17" s="9">
        <f>SUMIFS('Bill Wise'!I:I,'Bill Wise'!C:C,B17,'Bill Wise'!H:H,"Above 365 Days")</f>
        <v>0</v>
      </c>
      <c r="P17" s="9">
        <f t="shared" si="1"/>
        <v>-649762.84</v>
      </c>
      <c r="Q17" s="9">
        <f t="shared" si="2"/>
        <v>0</v>
      </c>
    </row>
    <row r="18" spans="1:17" s="17" customFormat="1" x14ac:dyDescent="0.25">
      <c r="A18" s="7">
        <v>13</v>
      </c>
      <c r="B18" s="8" t="s">
        <v>115</v>
      </c>
      <c r="C18" s="8" t="s">
        <v>985</v>
      </c>
      <c r="D18" s="8" t="s">
        <v>971</v>
      </c>
      <c r="E18" s="8" t="s">
        <v>1014</v>
      </c>
      <c r="F18" s="8"/>
      <c r="G18" s="9">
        <f>IFERROR(SUMIFS(TB!C:C,TB!A:A,B18)-SUMIFS(TB!B:B,TB!A:A,B18),0)</f>
        <v>-600000</v>
      </c>
      <c r="H18" s="9">
        <f>SUMIFS('Bill Wise'!I:I,'Bill Wise'!C:C,B18,'Bill Wise'!H:H,"0-30 Days")</f>
        <v>0</v>
      </c>
      <c r="I18" s="9">
        <f>SUMIFS('Bill Wise'!I:I,'Bill Wise'!C:C,B18,'Bill Wise'!H:H,"31-60 Days")</f>
        <v>0</v>
      </c>
      <c r="J18" s="9">
        <f>SUMIFS('Bill Wise'!I:I,'Bill Wise'!C:C,B18,'Bill Wise'!H:H,"61-90 Days")</f>
        <v>0</v>
      </c>
      <c r="K18" s="9">
        <f>SUMIFS('Bill Wise'!I:I,'Bill Wise'!C:C,B18,'Bill Wise'!H:H,"91-120 Days")</f>
        <v>0</v>
      </c>
      <c r="L18" s="9">
        <f>SUMIFS('Bill Wise'!I:I,'Bill Wise'!C:C,B18,'Bill Wise'!H:H,"121-150 Days")</f>
        <v>0</v>
      </c>
      <c r="M18" s="9">
        <f>SUMIFS('Bill Wise'!I:I,'Bill Wise'!C:C,B18,'Bill Wise'!H:H,"151-180 Days")</f>
        <v>0</v>
      </c>
      <c r="N18" s="9">
        <f>SUMIFS('Bill Wise'!I:I,'Bill Wise'!C:C,B18,'Bill Wise'!H:H,"181-365 Days")</f>
        <v>-600000</v>
      </c>
      <c r="O18" s="9">
        <f>SUMIFS('Bill Wise'!I:I,'Bill Wise'!C:C,B18,'Bill Wise'!H:H,"Above 365 Days")</f>
        <v>0</v>
      </c>
      <c r="P18" s="9">
        <f t="shared" si="1"/>
        <v>-600000</v>
      </c>
      <c r="Q18" s="9">
        <f t="shared" si="2"/>
        <v>0</v>
      </c>
    </row>
    <row r="19" spans="1:17" s="17" customFormat="1" x14ac:dyDescent="0.25">
      <c r="A19" s="7">
        <v>14</v>
      </c>
      <c r="B19" s="8" t="s">
        <v>1019</v>
      </c>
      <c r="C19" s="8" t="s">
        <v>306</v>
      </c>
      <c r="D19" s="8" t="s">
        <v>995</v>
      </c>
      <c r="E19" s="8" t="s">
        <v>996</v>
      </c>
      <c r="F19" s="8"/>
      <c r="G19" s="9">
        <f>IFERROR(SUMIFS(TB!C:C,TB!A:A,B19)-SUMIFS(TB!B:B,TB!A:A,B19),0)</f>
        <v>-587994</v>
      </c>
      <c r="H19" s="9">
        <f>SUMIFS('Bill Wise'!I:I,'Bill Wise'!C:C,B19,'Bill Wise'!H:H,"0-30 Days")</f>
        <v>-587994</v>
      </c>
      <c r="I19" s="9">
        <f>SUMIFS('Bill Wise'!I:I,'Bill Wise'!C:C,B19,'Bill Wise'!H:H,"31-60 Days")</f>
        <v>0</v>
      </c>
      <c r="J19" s="9">
        <f>SUMIFS('Bill Wise'!I:I,'Bill Wise'!C:C,B19,'Bill Wise'!H:H,"61-90 Days")</f>
        <v>0</v>
      </c>
      <c r="K19" s="9">
        <f>SUMIFS('Bill Wise'!I:I,'Bill Wise'!C:C,B19,'Bill Wise'!H:H,"91-120 Days")</f>
        <v>0</v>
      </c>
      <c r="L19" s="9">
        <f>SUMIFS('Bill Wise'!I:I,'Bill Wise'!C:C,B19,'Bill Wise'!H:H,"121-150 Days")</f>
        <v>0</v>
      </c>
      <c r="M19" s="9">
        <f>SUMIFS('Bill Wise'!I:I,'Bill Wise'!C:C,B19,'Bill Wise'!H:H,"151-180 Days")</f>
        <v>0</v>
      </c>
      <c r="N19" s="9">
        <f>SUMIFS('Bill Wise'!I:I,'Bill Wise'!C:C,B19,'Bill Wise'!H:H,"181-365 Days")</f>
        <v>0</v>
      </c>
      <c r="O19" s="9">
        <f>SUMIFS('Bill Wise'!I:I,'Bill Wise'!C:C,B19,'Bill Wise'!H:H,"Above 365 Days")</f>
        <v>0</v>
      </c>
      <c r="P19" s="9">
        <f t="shared" si="1"/>
        <v>-587994</v>
      </c>
      <c r="Q19" s="9">
        <f t="shared" si="2"/>
        <v>0</v>
      </c>
    </row>
    <row r="20" spans="1:17" s="17" customFormat="1" x14ac:dyDescent="0.25">
      <c r="A20" s="7">
        <v>15</v>
      </c>
      <c r="B20" s="8" t="s">
        <v>19</v>
      </c>
      <c r="C20" s="8" t="s">
        <v>306</v>
      </c>
      <c r="D20" s="8" t="s">
        <v>1008</v>
      </c>
      <c r="E20" s="8" t="s">
        <v>1008</v>
      </c>
      <c r="F20" s="8"/>
      <c r="G20" s="9">
        <f>IFERROR(SUMIFS(TB!C:C,TB!A:A,B20)-SUMIFS(TB!B:B,TB!A:A,B20),0)</f>
        <v>-557957.34</v>
      </c>
      <c r="H20" s="9">
        <f>SUMIFS('Bill Wise'!I:I,'Bill Wise'!C:C,B20,'Bill Wise'!H:H,"0-30 Days")</f>
        <v>-557957.34</v>
      </c>
      <c r="I20" s="9">
        <f>SUMIFS('Bill Wise'!I:I,'Bill Wise'!C:C,B20,'Bill Wise'!H:H,"31-60 Days")</f>
        <v>0</v>
      </c>
      <c r="J20" s="9">
        <f>SUMIFS('Bill Wise'!I:I,'Bill Wise'!C:C,B20,'Bill Wise'!H:H,"61-90 Days")</f>
        <v>0</v>
      </c>
      <c r="K20" s="9">
        <f>SUMIFS('Bill Wise'!I:I,'Bill Wise'!C:C,B20,'Bill Wise'!H:H,"91-120 Days")</f>
        <v>0</v>
      </c>
      <c r="L20" s="9">
        <f>SUMIFS('Bill Wise'!I:I,'Bill Wise'!C:C,B20,'Bill Wise'!H:H,"121-150 Days")</f>
        <v>0</v>
      </c>
      <c r="M20" s="9">
        <f>SUMIFS('Bill Wise'!I:I,'Bill Wise'!C:C,B20,'Bill Wise'!H:H,"151-180 Days")</f>
        <v>0</v>
      </c>
      <c r="N20" s="9">
        <f>SUMIFS('Bill Wise'!I:I,'Bill Wise'!C:C,B20,'Bill Wise'!H:H,"181-365 Days")</f>
        <v>0</v>
      </c>
      <c r="O20" s="9">
        <f>SUMIFS('Bill Wise'!I:I,'Bill Wise'!C:C,B20,'Bill Wise'!H:H,"Above 365 Days")</f>
        <v>0</v>
      </c>
      <c r="P20" s="9">
        <f t="shared" si="1"/>
        <v>-557957.34</v>
      </c>
      <c r="Q20" s="9">
        <f t="shared" si="2"/>
        <v>0</v>
      </c>
    </row>
    <row r="21" spans="1:17" s="17" customFormat="1" x14ac:dyDescent="0.25">
      <c r="A21" s="7">
        <v>16</v>
      </c>
      <c r="B21" s="8" t="s">
        <v>1020</v>
      </c>
      <c r="C21" s="8" t="s">
        <v>973</v>
      </c>
      <c r="D21" s="8" t="s">
        <v>995</v>
      </c>
      <c r="E21" s="8" t="s">
        <v>996</v>
      </c>
      <c r="F21" s="8"/>
      <c r="G21" s="9">
        <f>IFERROR(SUMIFS(TB!C:C,TB!A:A,B21)-SUMIFS(TB!B:B,TB!A:A,B21),0)</f>
        <v>-495000</v>
      </c>
      <c r="H21" s="9">
        <f>SUMIFS('Bill Wise'!I:I,'Bill Wise'!C:C,B21,'Bill Wise'!H:H,"0-30 Days")</f>
        <v>-495000</v>
      </c>
      <c r="I21" s="9">
        <f>SUMIFS('Bill Wise'!I:I,'Bill Wise'!C:C,B21,'Bill Wise'!H:H,"31-60 Days")</f>
        <v>0</v>
      </c>
      <c r="J21" s="9">
        <f>SUMIFS('Bill Wise'!I:I,'Bill Wise'!C:C,B21,'Bill Wise'!H:H,"61-90 Days")</f>
        <v>0</v>
      </c>
      <c r="K21" s="9">
        <f>SUMIFS('Bill Wise'!I:I,'Bill Wise'!C:C,B21,'Bill Wise'!H:H,"91-120 Days")</f>
        <v>0</v>
      </c>
      <c r="L21" s="9">
        <f>SUMIFS('Bill Wise'!I:I,'Bill Wise'!C:C,B21,'Bill Wise'!H:H,"121-150 Days")</f>
        <v>0</v>
      </c>
      <c r="M21" s="9">
        <f>SUMIFS('Bill Wise'!I:I,'Bill Wise'!C:C,B21,'Bill Wise'!H:H,"151-180 Days")</f>
        <v>0</v>
      </c>
      <c r="N21" s="9">
        <f>SUMIFS('Bill Wise'!I:I,'Bill Wise'!C:C,B21,'Bill Wise'!H:H,"181-365 Days")</f>
        <v>0</v>
      </c>
      <c r="O21" s="9">
        <f>SUMIFS('Bill Wise'!I:I,'Bill Wise'!C:C,B21,'Bill Wise'!H:H,"Above 365 Days")</f>
        <v>0</v>
      </c>
      <c r="P21" s="9">
        <f t="shared" si="1"/>
        <v>-495000</v>
      </c>
      <c r="Q21" s="9">
        <f t="shared" si="2"/>
        <v>0</v>
      </c>
    </row>
    <row r="22" spans="1:17" s="17" customFormat="1" x14ac:dyDescent="0.25">
      <c r="A22" s="7">
        <v>17</v>
      </c>
      <c r="B22" s="8" t="s">
        <v>167</v>
      </c>
      <c r="C22" s="8" t="s">
        <v>306</v>
      </c>
      <c r="D22" s="8" t="s">
        <v>971</v>
      </c>
      <c r="E22" s="8" t="s">
        <v>1016</v>
      </c>
      <c r="F22" s="8"/>
      <c r="G22" s="9">
        <f>IFERROR(SUMIFS(TB!C:C,TB!A:A,B22)-SUMIFS(TB!B:B,TB!A:A,B22),0)</f>
        <v>-400000</v>
      </c>
      <c r="H22" s="9">
        <f>SUMIFS('Bill Wise'!I:I,'Bill Wise'!C:C,B22,'Bill Wise'!H:H,"0-30 Days")</f>
        <v>0</v>
      </c>
      <c r="I22" s="9">
        <f>SUMIFS('Bill Wise'!I:I,'Bill Wise'!C:C,B22,'Bill Wise'!H:H,"31-60 Days")</f>
        <v>0</v>
      </c>
      <c r="J22" s="9">
        <f>SUMIFS('Bill Wise'!I:I,'Bill Wise'!C:C,B22,'Bill Wise'!H:H,"61-90 Days")</f>
        <v>0</v>
      </c>
      <c r="K22" s="9">
        <f>SUMIFS('Bill Wise'!I:I,'Bill Wise'!C:C,B22,'Bill Wise'!H:H,"91-120 Days")</f>
        <v>0</v>
      </c>
      <c r="L22" s="9">
        <f>SUMIFS('Bill Wise'!I:I,'Bill Wise'!C:C,B22,'Bill Wise'!H:H,"121-150 Days")</f>
        <v>-400000</v>
      </c>
      <c r="M22" s="9">
        <f>SUMIFS('Bill Wise'!I:I,'Bill Wise'!C:C,B22,'Bill Wise'!H:H,"151-180 Days")</f>
        <v>0</v>
      </c>
      <c r="N22" s="9">
        <f>SUMIFS('Bill Wise'!I:I,'Bill Wise'!C:C,B22,'Bill Wise'!H:H,"181-365 Days")</f>
        <v>0</v>
      </c>
      <c r="O22" s="9">
        <f>SUMIFS('Bill Wise'!I:I,'Bill Wise'!C:C,B22,'Bill Wise'!H:H,"Above 365 Days")</f>
        <v>0</v>
      </c>
      <c r="P22" s="9">
        <f t="shared" si="1"/>
        <v>-400000</v>
      </c>
      <c r="Q22" s="9">
        <f t="shared" si="2"/>
        <v>0</v>
      </c>
    </row>
    <row r="23" spans="1:17" s="17" customFormat="1" x14ac:dyDescent="0.25">
      <c r="A23" s="7">
        <v>18</v>
      </c>
      <c r="B23" s="8" t="s">
        <v>1021</v>
      </c>
      <c r="C23" s="8" t="s">
        <v>970</v>
      </c>
      <c r="D23" s="8" t="s">
        <v>971</v>
      </c>
      <c r="E23" s="8" t="s">
        <v>1672</v>
      </c>
      <c r="F23" s="8"/>
      <c r="G23" s="9">
        <f>IFERROR(SUMIFS(TB!C:C,TB!A:A,B23)-SUMIFS(TB!B:B,TB!A:A,B23),0)</f>
        <v>-362810</v>
      </c>
      <c r="H23" s="9">
        <f>SUMIFS('Bill Wise'!I:I,'Bill Wise'!C:C,B23,'Bill Wise'!H:H,"0-30 Days")</f>
        <v>-362810</v>
      </c>
      <c r="I23" s="9">
        <f>SUMIFS('Bill Wise'!I:I,'Bill Wise'!C:C,B23,'Bill Wise'!H:H,"31-60 Days")</f>
        <v>0</v>
      </c>
      <c r="J23" s="9">
        <f>SUMIFS('Bill Wise'!I:I,'Bill Wise'!C:C,B23,'Bill Wise'!H:H,"61-90 Days")</f>
        <v>0</v>
      </c>
      <c r="K23" s="9">
        <f>SUMIFS('Bill Wise'!I:I,'Bill Wise'!C:C,B23,'Bill Wise'!H:H,"91-120 Days")</f>
        <v>0</v>
      </c>
      <c r="L23" s="9">
        <f>SUMIFS('Bill Wise'!I:I,'Bill Wise'!C:C,B23,'Bill Wise'!H:H,"121-150 Days")</f>
        <v>0</v>
      </c>
      <c r="M23" s="9">
        <f>SUMIFS('Bill Wise'!I:I,'Bill Wise'!C:C,B23,'Bill Wise'!H:H,"151-180 Days")</f>
        <v>0</v>
      </c>
      <c r="N23" s="9">
        <f>SUMIFS('Bill Wise'!I:I,'Bill Wise'!C:C,B23,'Bill Wise'!H:H,"181-365 Days")</f>
        <v>0</v>
      </c>
      <c r="O23" s="9">
        <f>SUMIFS('Bill Wise'!I:I,'Bill Wise'!C:C,B23,'Bill Wise'!H:H,"Above 365 Days")</f>
        <v>0</v>
      </c>
      <c r="P23" s="9">
        <f t="shared" si="1"/>
        <v>-362810</v>
      </c>
      <c r="Q23" s="9">
        <f t="shared" si="2"/>
        <v>0</v>
      </c>
    </row>
    <row r="24" spans="1:17" s="17" customFormat="1" x14ac:dyDescent="0.25">
      <c r="A24" s="7">
        <v>19</v>
      </c>
      <c r="B24" s="8" t="s">
        <v>74</v>
      </c>
      <c r="C24" s="8" t="s">
        <v>970</v>
      </c>
      <c r="D24" s="8" t="s">
        <v>971</v>
      </c>
      <c r="E24" s="8" t="s">
        <v>1010</v>
      </c>
      <c r="F24" s="8"/>
      <c r="G24" s="9">
        <f>IFERROR(SUMIFS(TB!C:C,TB!A:A,B24)-SUMIFS(TB!B:B,TB!A:A,B24),0)</f>
        <v>-327580.03999999998</v>
      </c>
      <c r="H24" s="9">
        <f>SUMIFS('Bill Wise'!I:I,'Bill Wise'!C:C,B24,'Bill Wise'!H:H,"0-30 Days")</f>
        <v>-327580.03999999998</v>
      </c>
      <c r="I24" s="9">
        <f>SUMIFS('Bill Wise'!I:I,'Bill Wise'!C:C,B24,'Bill Wise'!H:H,"31-60 Days")</f>
        <v>0</v>
      </c>
      <c r="J24" s="9">
        <f>SUMIFS('Bill Wise'!I:I,'Bill Wise'!C:C,B24,'Bill Wise'!H:H,"61-90 Days")</f>
        <v>0</v>
      </c>
      <c r="K24" s="9">
        <f>SUMIFS('Bill Wise'!I:I,'Bill Wise'!C:C,B24,'Bill Wise'!H:H,"91-120 Days")</f>
        <v>0</v>
      </c>
      <c r="L24" s="9">
        <f>SUMIFS('Bill Wise'!I:I,'Bill Wise'!C:C,B24,'Bill Wise'!H:H,"121-150 Days")</f>
        <v>0</v>
      </c>
      <c r="M24" s="9">
        <f>SUMIFS('Bill Wise'!I:I,'Bill Wise'!C:C,B24,'Bill Wise'!H:H,"151-180 Days")</f>
        <v>0</v>
      </c>
      <c r="N24" s="9">
        <f>SUMIFS('Bill Wise'!I:I,'Bill Wise'!C:C,B24,'Bill Wise'!H:H,"181-365 Days")</f>
        <v>0</v>
      </c>
      <c r="O24" s="9">
        <f>SUMIFS('Bill Wise'!I:I,'Bill Wise'!C:C,B24,'Bill Wise'!H:H,"Above 365 Days")</f>
        <v>0</v>
      </c>
      <c r="P24" s="9">
        <f t="shared" si="1"/>
        <v>-327580.03999999998</v>
      </c>
      <c r="Q24" s="9">
        <f t="shared" si="2"/>
        <v>0</v>
      </c>
    </row>
    <row r="25" spans="1:17" s="17" customFormat="1" x14ac:dyDescent="0.25">
      <c r="A25" s="7">
        <v>20</v>
      </c>
      <c r="B25" s="8" t="s">
        <v>162</v>
      </c>
      <c r="C25" s="8" t="s">
        <v>312</v>
      </c>
      <c r="D25" s="8" t="s">
        <v>988</v>
      </c>
      <c r="E25" s="8" t="s">
        <v>1015</v>
      </c>
      <c r="F25" s="8"/>
      <c r="G25" s="9">
        <f>IFERROR(SUMIFS(TB!C:C,TB!A:A,B25)-SUMIFS(TB!B:B,TB!A:A,B25),0)</f>
        <v>-195838.66</v>
      </c>
      <c r="H25" s="9">
        <f>SUMIFS('Bill Wise'!I:I,'Bill Wise'!C:C,B25,'Bill Wise'!H:H,"0-30 Days")</f>
        <v>-54183.66</v>
      </c>
      <c r="I25" s="9">
        <f>SUMIFS('Bill Wise'!I:I,'Bill Wise'!C:C,B25,'Bill Wise'!H:H,"31-60 Days")</f>
        <v>0</v>
      </c>
      <c r="J25" s="9">
        <f>SUMIFS('Bill Wise'!I:I,'Bill Wise'!C:C,B25,'Bill Wise'!H:H,"61-90 Days")</f>
        <v>0</v>
      </c>
      <c r="K25" s="9">
        <f>SUMIFS('Bill Wise'!I:I,'Bill Wise'!C:C,B25,'Bill Wise'!H:H,"91-120 Days")</f>
        <v>0</v>
      </c>
      <c r="L25" s="9">
        <f>SUMIFS('Bill Wise'!I:I,'Bill Wise'!C:C,B25,'Bill Wise'!H:H,"121-150 Days")</f>
        <v>0</v>
      </c>
      <c r="M25" s="9">
        <f>SUMIFS('Bill Wise'!I:I,'Bill Wise'!C:C,B25,'Bill Wise'!H:H,"151-180 Days")</f>
        <v>0</v>
      </c>
      <c r="N25" s="9">
        <f>SUMIFS('Bill Wise'!I:I,'Bill Wise'!C:C,B25,'Bill Wise'!H:H,"181-365 Days")</f>
        <v>-141655</v>
      </c>
      <c r="O25" s="9">
        <f>SUMIFS('Bill Wise'!I:I,'Bill Wise'!C:C,B25,'Bill Wise'!H:H,"Above 365 Days")</f>
        <v>0</v>
      </c>
      <c r="P25" s="9">
        <f t="shared" si="1"/>
        <v>-195838.66</v>
      </c>
      <c r="Q25" s="9">
        <f t="shared" si="2"/>
        <v>0</v>
      </c>
    </row>
    <row r="26" spans="1:17" s="17" customFormat="1" x14ac:dyDescent="0.25">
      <c r="A26" s="7">
        <v>21</v>
      </c>
      <c r="B26" s="8" t="s">
        <v>31</v>
      </c>
      <c r="C26" s="8" t="s">
        <v>306</v>
      </c>
      <c r="D26" s="8" t="s">
        <v>981</v>
      </c>
      <c r="E26" s="8" t="s">
        <v>981</v>
      </c>
      <c r="F26" s="8"/>
      <c r="G26" s="9">
        <f>IFERROR(SUMIFS(TB!C:C,TB!A:A,B26)-SUMIFS(TB!B:B,TB!A:A,B26),0)</f>
        <v>-187920</v>
      </c>
      <c r="H26" s="9">
        <f>SUMIFS('Bill Wise'!I:I,'Bill Wise'!C:C,B26,'Bill Wise'!H:H,"0-30 Days")</f>
        <v>0</v>
      </c>
      <c r="I26" s="9">
        <f>SUMIFS('Bill Wise'!I:I,'Bill Wise'!C:C,B26,'Bill Wise'!H:H,"31-60 Days")</f>
        <v>0</v>
      </c>
      <c r="J26" s="9">
        <f>SUMIFS('Bill Wise'!I:I,'Bill Wise'!C:C,B26,'Bill Wise'!H:H,"61-90 Days")</f>
        <v>0</v>
      </c>
      <c r="K26" s="9">
        <f>SUMIFS('Bill Wise'!I:I,'Bill Wise'!C:C,B26,'Bill Wise'!H:H,"91-120 Days")</f>
        <v>0</v>
      </c>
      <c r="L26" s="9">
        <f>SUMIFS('Bill Wise'!I:I,'Bill Wise'!C:C,B26,'Bill Wise'!H:H,"121-150 Days")</f>
        <v>0</v>
      </c>
      <c r="M26" s="9">
        <f>SUMIFS('Bill Wise'!I:I,'Bill Wise'!C:C,B26,'Bill Wise'!H:H,"151-180 Days")</f>
        <v>-187920</v>
      </c>
      <c r="N26" s="9">
        <f>SUMIFS('Bill Wise'!I:I,'Bill Wise'!C:C,B26,'Bill Wise'!H:H,"181-365 Days")</f>
        <v>0</v>
      </c>
      <c r="O26" s="9">
        <f>SUMIFS('Bill Wise'!I:I,'Bill Wise'!C:C,B26,'Bill Wise'!H:H,"Above 365 Days")</f>
        <v>0</v>
      </c>
      <c r="P26" s="9">
        <f t="shared" si="1"/>
        <v>-187920</v>
      </c>
      <c r="Q26" s="9">
        <f t="shared" si="2"/>
        <v>0</v>
      </c>
    </row>
    <row r="27" spans="1:17" s="17" customFormat="1" x14ac:dyDescent="0.25">
      <c r="A27" s="7">
        <v>22</v>
      </c>
      <c r="B27" s="8" t="s">
        <v>61</v>
      </c>
      <c r="C27" s="8" t="s">
        <v>332</v>
      </c>
      <c r="D27" s="8" t="s">
        <v>971</v>
      </c>
      <c r="E27" s="8" t="s">
        <v>1010</v>
      </c>
      <c r="F27" s="8"/>
      <c r="G27" s="9">
        <f>IFERROR(SUMIFS(TB!C:C,TB!A:A,B27)-SUMIFS(TB!B:B,TB!A:A,B27),0)</f>
        <v>-183000</v>
      </c>
      <c r="H27" s="9">
        <f>SUMIFS('Bill Wise'!I:I,'Bill Wise'!C:C,B27,'Bill Wise'!H:H,"0-30 Days")</f>
        <v>-183000</v>
      </c>
      <c r="I27" s="9">
        <f>SUMIFS('Bill Wise'!I:I,'Bill Wise'!C:C,B27,'Bill Wise'!H:H,"31-60 Days")</f>
        <v>0</v>
      </c>
      <c r="J27" s="9">
        <f>SUMIFS('Bill Wise'!I:I,'Bill Wise'!C:C,B27,'Bill Wise'!H:H,"61-90 Days")</f>
        <v>0</v>
      </c>
      <c r="K27" s="9">
        <f>SUMIFS('Bill Wise'!I:I,'Bill Wise'!C:C,B27,'Bill Wise'!H:H,"91-120 Days")</f>
        <v>0</v>
      </c>
      <c r="L27" s="9">
        <f>SUMIFS('Bill Wise'!I:I,'Bill Wise'!C:C,B27,'Bill Wise'!H:H,"121-150 Days")</f>
        <v>0</v>
      </c>
      <c r="M27" s="9">
        <f>SUMIFS('Bill Wise'!I:I,'Bill Wise'!C:C,B27,'Bill Wise'!H:H,"151-180 Days")</f>
        <v>0</v>
      </c>
      <c r="N27" s="9">
        <f>SUMIFS('Bill Wise'!I:I,'Bill Wise'!C:C,B27,'Bill Wise'!H:H,"181-365 Days")</f>
        <v>0</v>
      </c>
      <c r="O27" s="9">
        <f>SUMIFS('Bill Wise'!I:I,'Bill Wise'!C:C,B27,'Bill Wise'!H:H,"Above 365 Days")</f>
        <v>0</v>
      </c>
      <c r="P27" s="9">
        <f t="shared" si="1"/>
        <v>-183000</v>
      </c>
      <c r="Q27" s="9">
        <f t="shared" si="2"/>
        <v>0</v>
      </c>
    </row>
    <row r="28" spans="1:17" s="17" customFormat="1" x14ac:dyDescent="0.25">
      <c r="A28" s="7">
        <v>23</v>
      </c>
      <c r="B28" s="8" t="s">
        <v>23</v>
      </c>
      <c r="C28" s="8" t="s">
        <v>977</v>
      </c>
      <c r="D28" s="8" t="s">
        <v>1008</v>
      </c>
      <c r="E28" s="8" t="s">
        <v>1008</v>
      </c>
      <c r="F28" s="8"/>
      <c r="G28" s="9">
        <f>IFERROR(SUMIFS(TB!C:C,TB!A:A,B28)-SUMIFS(TB!B:B,TB!A:A,B28),0)</f>
        <v>-163127.04000000001</v>
      </c>
      <c r="H28" s="9">
        <f>SUMIFS('Bill Wise'!I:I,'Bill Wise'!C:C,B28,'Bill Wise'!H:H,"0-30 Days")</f>
        <v>0</v>
      </c>
      <c r="I28" s="9">
        <f>SUMIFS('Bill Wise'!I:I,'Bill Wise'!C:C,B28,'Bill Wise'!H:H,"31-60 Days")</f>
        <v>0</v>
      </c>
      <c r="J28" s="9">
        <f>SUMIFS('Bill Wise'!I:I,'Bill Wise'!C:C,B28,'Bill Wise'!H:H,"61-90 Days")</f>
        <v>0</v>
      </c>
      <c r="K28" s="9">
        <f>SUMIFS('Bill Wise'!I:I,'Bill Wise'!C:C,B28,'Bill Wise'!H:H,"91-120 Days")</f>
        <v>0</v>
      </c>
      <c r="L28" s="9">
        <f>SUMIFS('Bill Wise'!I:I,'Bill Wise'!C:C,B28,'Bill Wise'!H:H,"121-150 Days")</f>
        <v>0</v>
      </c>
      <c r="M28" s="9">
        <f>SUMIFS('Bill Wise'!I:I,'Bill Wise'!C:C,B28,'Bill Wise'!H:H,"151-180 Days")</f>
        <v>0</v>
      </c>
      <c r="N28" s="9">
        <f>SUMIFS('Bill Wise'!I:I,'Bill Wise'!C:C,B28,'Bill Wise'!H:H,"181-365 Days")</f>
        <v>-150000</v>
      </c>
      <c r="O28" s="9">
        <f>SUMIFS('Bill Wise'!I:I,'Bill Wise'!C:C,B28,'Bill Wise'!H:H,"Above 365 Days")</f>
        <v>-13127.04</v>
      </c>
      <c r="P28" s="9">
        <f t="shared" si="1"/>
        <v>-163127.04000000001</v>
      </c>
      <c r="Q28" s="9">
        <f t="shared" si="2"/>
        <v>0</v>
      </c>
    </row>
    <row r="29" spans="1:17" s="17" customFormat="1" x14ac:dyDescent="0.25">
      <c r="A29" s="7">
        <v>24</v>
      </c>
      <c r="B29" s="8" t="s">
        <v>102</v>
      </c>
      <c r="C29" s="8" t="s">
        <v>977</v>
      </c>
      <c r="D29" s="8" t="s">
        <v>979</v>
      </c>
      <c r="E29" s="8" t="s">
        <v>1673</v>
      </c>
      <c r="F29" s="8"/>
      <c r="G29" s="9">
        <f>IFERROR(SUMIFS(TB!C:C,TB!A:A,B29)-SUMIFS(TB!B:B,TB!A:A,B29),0)</f>
        <v>-108242</v>
      </c>
      <c r="H29" s="9">
        <f>SUMIFS('Bill Wise'!I:I,'Bill Wise'!C:C,B29,'Bill Wise'!H:H,"0-30 Days")</f>
        <v>0</v>
      </c>
      <c r="I29" s="9">
        <f>SUMIFS('Bill Wise'!I:I,'Bill Wise'!C:C,B29,'Bill Wise'!H:H,"31-60 Days")</f>
        <v>-108242</v>
      </c>
      <c r="J29" s="9">
        <f>SUMIFS('Bill Wise'!I:I,'Bill Wise'!C:C,B29,'Bill Wise'!H:H,"61-90 Days")</f>
        <v>0</v>
      </c>
      <c r="K29" s="9">
        <f>SUMIFS('Bill Wise'!I:I,'Bill Wise'!C:C,B29,'Bill Wise'!H:H,"91-120 Days")</f>
        <v>0</v>
      </c>
      <c r="L29" s="9">
        <f>SUMIFS('Bill Wise'!I:I,'Bill Wise'!C:C,B29,'Bill Wise'!H:H,"121-150 Days")</f>
        <v>0</v>
      </c>
      <c r="M29" s="9">
        <f>SUMIFS('Bill Wise'!I:I,'Bill Wise'!C:C,B29,'Bill Wise'!H:H,"151-180 Days")</f>
        <v>0</v>
      </c>
      <c r="N29" s="9">
        <f>SUMIFS('Bill Wise'!I:I,'Bill Wise'!C:C,B29,'Bill Wise'!H:H,"181-365 Days")</f>
        <v>0</v>
      </c>
      <c r="O29" s="9">
        <f>SUMIFS('Bill Wise'!I:I,'Bill Wise'!C:C,B29,'Bill Wise'!H:H,"Above 365 Days")</f>
        <v>0</v>
      </c>
      <c r="P29" s="9">
        <f t="shared" si="1"/>
        <v>-108242</v>
      </c>
      <c r="Q29" s="9">
        <f t="shared" si="2"/>
        <v>0</v>
      </c>
    </row>
    <row r="30" spans="1:17" s="17" customFormat="1" x14ac:dyDescent="0.25">
      <c r="A30" s="7">
        <v>25</v>
      </c>
      <c r="B30" s="8" t="s">
        <v>11</v>
      </c>
      <c r="C30" s="8" t="s">
        <v>663</v>
      </c>
      <c r="D30" s="8" t="s">
        <v>979</v>
      </c>
      <c r="E30" s="8" t="s">
        <v>1007</v>
      </c>
      <c r="F30" s="8"/>
      <c r="G30" s="9">
        <f>IFERROR(SUMIFS(TB!C:C,TB!A:A,B30)-SUMIFS(TB!B:B,TB!A:A,B30),0)</f>
        <v>-94000</v>
      </c>
      <c r="H30" s="9">
        <f>SUMIFS('Bill Wise'!I:I,'Bill Wise'!C:C,B30,'Bill Wise'!H:H,"0-30 Days")</f>
        <v>0</v>
      </c>
      <c r="I30" s="9">
        <f>SUMIFS('Bill Wise'!I:I,'Bill Wise'!C:C,B30,'Bill Wise'!H:H,"31-60 Days")</f>
        <v>-94000</v>
      </c>
      <c r="J30" s="9">
        <f>SUMIFS('Bill Wise'!I:I,'Bill Wise'!C:C,B30,'Bill Wise'!H:H,"61-90 Days")</f>
        <v>0</v>
      </c>
      <c r="K30" s="9">
        <f>SUMIFS('Bill Wise'!I:I,'Bill Wise'!C:C,B30,'Bill Wise'!H:H,"91-120 Days")</f>
        <v>0</v>
      </c>
      <c r="L30" s="9">
        <f>SUMIFS('Bill Wise'!I:I,'Bill Wise'!C:C,B30,'Bill Wise'!H:H,"121-150 Days")</f>
        <v>0</v>
      </c>
      <c r="M30" s="9">
        <f>SUMIFS('Bill Wise'!I:I,'Bill Wise'!C:C,B30,'Bill Wise'!H:H,"151-180 Days")</f>
        <v>0</v>
      </c>
      <c r="N30" s="9">
        <f>SUMIFS('Bill Wise'!I:I,'Bill Wise'!C:C,B30,'Bill Wise'!H:H,"181-365 Days")</f>
        <v>0</v>
      </c>
      <c r="O30" s="9">
        <f>SUMIFS('Bill Wise'!I:I,'Bill Wise'!C:C,B30,'Bill Wise'!H:H,"Above 365 Days")</f>
        <v>0</v>
      </c>
      <c r="P30" s="9">
        <f t="shared" si="1"/>
        <v>-94000</v>
      </c>
      <c r="Q30" s="9">
        <f t="shared" si="2"/>
        <v>0</v>
      </c>
    </row>
    <row r="31" spans="1:17" s="17" customFormat="1" x14ac:dyDescent="0.25">
      <c r="A31" s="7">
        <v>26</v>
      </c>
      <c r="B31" s="8" t="s">
        <v>1022</v>
      </c>
      <c r="C31" s="8" t="s">
        <v>280</v>
      </c>
      <c r="D31" s="8" t="s">
        <v>971</v>
      </c>
      <c r="E31" s="8" t="s">
        <v>1675</v>
      </c>
      <c r="F31" s="8"/>
      <c r="G31" s="9">
        <f>IFERROR(SUMIFS(TB!C:C,TB!A:A,B31)-SUMIFS(TB!B:B,TB!A:A,B31),0)</f>
        <v>-66000</v>
      </c>
      <c r="H31" s="9">
        <f>SUMIFS('Bill Wise'!I:I,'Bill Wise'!C:C,B31,'Bill Wise'!H:H,"0-30 Days")</f>
        <v>-66000</v>
      </c>
      <c r="I31" s="9">
        <f>SUMIFS('Bill Wise'!I:I,'Bill Wise'!C:C,B31,'Bill Wise'!H:H,"31-60 Days")</f>
        <v>0</v>
      </c>
      <c r="J31" s="9">
        <f>SUMIFS('Bill Wise'!I:I,'Bill Wise'!C:C,B31,'Bill Wise'!H:H,"61-90 Days")</f>
        <v>0</v>
      </c>
      <c r="K31" s="9">
        <f>SUMIFS('Bill Wise'!I:I,'Bill Wise'!C:C,B31,'Bill Wise'!H:H,"91-120 Days")</f>
        <v>0</v>
      </c>
      <c r="L31" s="9">
        <f>SUMIFS('Bill Wise'!I:I,'Bill Wise'!C:C,B31,'Bill Wise'!H:H,"121-150 Days")</f>
        <v>0</v>
      </c>
      <c r="M31" s="9">
        <f>SUMIFS('Bill Wise'!I:I,'Bill Wise'!C:C,B31,'Bill Wise'!H:H,"151-180 Days")</f>
        <v>0</v>
      </c>
      <c r="N31" s="9">
        <f>SUMIFS('Bill Wise'!I:I,'Bill Wise'!C:C,B31,'Bill Wise'!H:H,"181-365 Days")</f>
        <v>0</v>
      </c>
      <c r="O31" s="9">
        <f>SUMIFS('Bill Wise'!I:I,'Bill Wise'!C:C,B31,'Bill Wise'!H:H,"Above 365 Days")</f>
        <v>0</v>
      </c>
      <c r="P31" s="9">
        <f t="shared" si="1"/>
        <v>-66000</v>
      </c>
      <c r="Q31" s="9">
        <f t="shared" si="2"/>
        <v>0</v>
      </c>
    </row>
    <row r="32" spans="1:17" s="17" customFormat="1" x14ac:dyDescent="0.25">
      <c r="A32" s="7">
        <v>28</v>
      </c>
      <c r="B32" s="8" t="s">
        <v>34</v>
      </c>
      <c r="C32" s="8" t="s">
        <v>306</v>
      </c>
      <c r="D32" s="8" t="s">
        <v>971</v>
      </c>
      <c r="E32" s="8" t="s">
        <v>1013</v>
      </c>
      <c r="F32" s="8"/>
      <c r="G32" s="9">
        <f>IFERROR(SUMIFS(TB!C:C,TB!A:A,B32)-SUMIFS(TB!B:B,TB!A:A,B32),0)</f>
        <v>-37850</v>
      </c>
      <c r="H32" s="9">
        <f>SUMIFS('Bill Wise'!I:I,'Bill Wise'!C:C,B32,'Bill Wise'!H:H,"0-30 Days")</f>
        <v>-37850</v>
      </c>
      <c r="I32" s="9">
        <f>SUMIFS('Bill Wise'!I:I,'Bill Wise'!C:C,B32,'Bill Wise'!H:H,"31-60 Days")</f>
        <v>0</v>
      </c>
      <c r="J32" s="9">
        <f>SUMIFS('Bill Wise'!I:I,'Bill Wise'!C:C,B32,'Bill Wise'!H:H,"61-90 Days")</f>
        <v>0</v>
      </c>
      <c r="K32" s="9">
        <f>SUMIFS('Bill Wise'!I:I,'Bill Wise'!C:C,B32,'Bill Wise'!H:H,"91-120 Days")</f>
        <v>0</v>
      </c>
      <c r="L32" s="9">
        <f>SUMIFS('Bill Wise'!I:I,'Bill Wise'!C:C,B32,'Bill Wise'!H:H,"121-150 Days")</f>
        <v>0</v>
      </c>
      <c r="M32" s="9">
        <f>SUMIFS('Bill Wise'!I:I,'Bill Wise'!C:C,B32,'Bill Wise'!H:H,"151-180 Days")</f>
        <v>0</v>
      </c>
      <c r="N32" s="9">
        <f>SUMIFS('Bill Wise'!I:I,'Bill Wise'!C:C,B32,'Bill Wise'!H:H,"181-365 Days")</f>
        <v>0</v>
      </c>
      <c r="O32" s="9">
        <f>SUMIFS('Bill Wise'!I:I,'Bill Wise'!C:C,B32,'Bill Wise'!H:H,"Above 365 Days")</f>
        <v>0</v>
      </c>
      <c r="P32" s="9">
        <f t="shared" si="1"/>
        <v>-37850</v>
      </c>
      <c r="Q32" s="9">
        <f t="shared" si="2"/>
        <v>0</v>
      </c>
    </row>
    <row r="33" spans="1:17" s="17" customFormat="1" x14ac:dyDescent="0.25">
      <c r="A33" s="7">
        <v>29</v>
      </c>
      <c r="B33" s="8" t="s">
        <v>217</v>
      </c>
      <c r="C33" s="8" t="s">
        <v>232</v>
      </c>
      <c r="D33" s="8" t="s">
        <v>988</v>
      </c>
      <c r="E33" s="8" t="s">
        <v>1015</v>
      </c>
      <c r="F33" s="8"/>
      <c r="G33" s="9">
        <f>IFERROR(SUMIFS(TB!C:C,TB!A:A,B33)-SUMIFS(TB!B:B,TB!A:A,B33),0)</f>
        <v>-32782.699999999997</v>
      </c>
      <c r="H33" s="9">
        <f>SUMIFS('Bill Wise'!I:I,'Bill Wise'!C:C,B33,'Bill Wise'!H:H,"0-30 Days")</f>
        <v>0</v>
      </c>
      <c r="I33" s="9">
        <f>SUMIFS('Bill Wise'!I:I,'Bill Wise'!C:C,B33,'Bill Wise'!H:H,"31-60 Days")</f>
        <v>0</v>
      </c>
      <c r="J33" s="9">
        <f>SUMIFS('Bill Wise'!I:I,'Bill Wise'!C:C,B33,'Bill Wise'!H:H,"61-90 Days")</f>
        <v>0</v>
      </c>
      <c r="K33" s="9">
        <f>SUMIFS('Bill Wise'!I:I,'Bill Wise'!C:C,B33,'Bill Wise'!H:H,"91-120 Days")</f>
        <v>0</v>
      </c>
      <c r="L33" s="9">
        <f>SUMIFS('Bill Wise'!I:I,'Bill Wise'!C:C,B33,'Bill Wise'!H:H,"121-150 Days")</f>
        <v>-32782.699999999997</v>
      </c>
      <c r="M33" s="9">
        <f>SUMIFS('Bill Wise'!I:I,'Bill Wise'!C:C,B33,'Bill Wise'!H:H,"151-180 Days")</f>
        <v>0</v>
      </c>
      <c r="N33" s="9">
        <f>SUMIFS('Bill Wise'!I:I,'Bill Wise'!C:C,B33,'Bill Wise'!H:H,"181-365 Days")</f>
        <v>0</v>
      </c>
      <c r="O33" s="9">
        <f>SUMIFS('Bill Wise'!I:I,'Bill Wise'!C:C,B33,'Bill Wise'!H:H,"Above 365 Days")</f>
        <v>0</v>
      </c>
      <c r="P33" s="9">
        <f t="shared" si="1"/>
        <v>-32782.699999999997</v>
      </c>
      <c r="Q33" s="9">
        <f t="shared" si="2"/>
        <v>0</v>
      </c>
    </row>
    <row r="34" spans="1:17" s="17" customFormat="1" x14ac:dyDescent="0.25">
      <c r="A34" s="7">
        <v>30</v>
      </c>
      <c r="B34" s="8" t="s">
        <v>166</v>
      </c>
      <c r="C34" s="8" t="s">
        <v>977</v>
      </c>
      <c r="D34" s="8" t="s">
        <v>971</v>
      </c>
      <c r="E34" s="8" t="s">
        <v>981</v>
      </c>
      <c r="F34" s="8"/>
      <c r="G34" s="9">
        <f>IFERROR(SUMIFS(TB!C:C,TB!A:A,B34)-SUMIFS(TB!B:B,TB!A:A,B34),0)</f>
        <v>-30000</v>
      </c>
      <c r="H34" s="9">
        <f>SUMIFS('Bill Wise'!I:I,'Bill Wise'!C:C,B34,'Bill Wise'!H:H,"0-30 Days")</f>
        <v>0</v>
      </c>
      <c r="I34" s="9">
        <f>SUMIFS('Bill Wise'!I:I,'Bill Wise'!C:C,B34,'Bill Wise'!H:H,"31-60 Days")</f>
        <v>0</v>
      </c>
      <c r="J34" s="9">
        <f>SUMIFS('Bill Wise'!I:I,'Bill Wise'!C:C,B34,'Bill Wise'!H:H,"61-90 Days")</f>
        <v>0</v>
      </c>
      <c r="K34" s="9">
        <f>SUMIFS('Bill Wise'!I:I,'Bill Wise'!C:C,B34,'Bill Wise'!H:H,"91-120 Days")</f>
        <v>-30000</v>
      </c>
      <c r="L34" s="9">
        <f>SUMIFS('Bill Wise'!I:I,'Bill Wise'!C:C,B34,'Bill Wise'!H:H,"121-150 Days")</f>
        <v>0</v>
      </c>
      <c r="M34" s="9">
        <f>SUMIFS('Bill Wise'!I:I,'Bill Wise'!C:C,B34,'Bill Wise'!H:H,"151-180 Days")</f>
        <v>0</v>
      </c>
      <c r="N34" s="9">
        <f>SUMIFS('Bill Wise'!I:I,'Bill Wise'!C:C,B34,'Bill Wise'!H:H,"181-365 Days")</f>
        <v>0</v>
      </c>
      <c r="O34" s="9">
        <f>SUMIFS('Bill Wise'!I:I,'Bill Wise'!C:C,B34,'Bill Wise'!H:H,"Above 365 Days")</f>
        <v>0</v>
      </c>
      <c r="P34" s="9">
        <f t="shared" si="1"/>
        <v>-30000</v>
      </c>
      <c r="Q34" s="9">
        <f t="shared" si="2"/>
        <v>0</v>
      </c>
    </row>
    <row r="35" spans="1:17" s="17" customFormat="1" x14ac:dyDescent="0.25">
      <c r="A35" s="7">
        <v>31</v>
      </c>
      <c r="B35" s="8" t="s">
        <v>1023</v>
      </c>
      <c r="C35" s="8" t="s">
        <v>312</v>
      </c>
      <c r="D35" s="8" t="s">
        <v>971</v>
      </c>
      <c r="E35" s="8" t="s">
        <v>990</v>
      </c>
      <c r="F35" s="8"/>
      <c r="G35" s="9">
        <f>IFERROR(SUMIFS(TB!C:C,TB!A:A,B35)-SUMIFS(TB!B:B,TB!A:A,B35),0)</f>
        <v>-29669.94</v>
      </c>
      <c r="H35" s="9">
        <f>SUMIFS('Bill Wise'!I:I,'Bill Wise'!C:C,B35,'Bill Wise'!H:H,"0-30 Days")</f>
        <v>-29669.94</v>
      </c>
      <c r="I35" s="9">
        <f>SUMIFS('Bill Wise'!I:I,'Bill Wise'!C:C,B35,'Bill Wise'!H:H,"31-60 Days")</f>
        <v>0</v>
      </c>
      <c r="J35" s="9">
        <f>SUMIFS('Bill Wise'!I:I,'Bill Wise'!C:C,B35,'Bill Wise'!H:H,"61-90 Days")</f>
        <v>0</v>
      </c>
      <c r="K35" s="9">
        <f>SUMIFS('Bill Wise'!I:I,'Bill Wise'!C:C,B35,'Bill Wise'!H:H,"91-120 Days")</f>
        <v>0</v>
      </c>
      <c r="L35" s="9">
        <f>SUMIFS('Bill Wise'!I:I,'Bill Wise'!C:C,B35,'Bill Wise'!H:H,"121-150 Days")</f>
        <v>0</v>
      </c>
      <c r="M35" s="9">
        <f>SUMIFS('Bill Wise'!I:I,'Bill Wise'!C:C,B35,'Bill Wise'!H:H,"151-180 Days")</f>
        <v>0</v>
      </c>
      <c r="N35" s="9">
        <f>SUMIFS('Bill Wise'!I:I,'Bill Wise'!C:C,B35,'Bill Wise'!H:H,"181-365 Days")</f>
        <v>0</v>
      </c>
      <c r="O35" s="9">
        <f>SUMIFS('Bill Wise'!I:I,'Bill Wise'!C:C,B35,'Bill Wise'!H:H,"Above 365 Days")</f>
        <v>0</v>
      </c>
      <c r="P35" s="9">
        <f t="shared" si="1"/>
        <v>-29669.94</v>
      </c>
      <c r="Q35" s="9">
        <f t="shared" si="2"/>
        <v>0</v>
      </c>
    </row>
    <row r="36" spans="1:17" s="17" customFormat="1" x14ac:dyDescent="0.25">
      <c r="A36" s="7">
        <v>32</v>
      </c>
      <c r="B36" s="8" t="s">
        <v>207</v>
      </c>
      <c r="C36" s="8" t="s">
        <v>970</v>
      </c>
      <c r="D36" s="8" t="s">
        <v>988</v>
      </c>
      <c r="E36" s="8" t="s">
        <v>1010</v>
      </c>
      <c r="F36" s="8"/>
      <c r="G36" s="9">
        <f>IFERROR(SUMIFS(TB!C:C,TB!A:A,B36)-SUMIFS(TB!B:B,TB!A:A,B36),0)</f>
        <v>-28064.39</v>
      </c>
      <c r="H36" s="9">
        <f>SUMIFS('Bill Wise'!I:I,'Bill Wise'!C:C,B36,'Bill Wise'!H:H,"0-30 Days")</f>
        <v>-28064.39</v>
      </c>
      <c r="I36" s="9">
        <f>SUMIFS('Bill Wise'!I:I,'Bill Wise'!C:C,B36,'Bill Wise'!H:H,"31-60 Days")</f>
        <v>0</v>
      </c>
      <c r="J36" s="9">
        <f>SUMIFS('Bill Wise'!I:I,'Bill Wise'!C:C,B36,'Bill Wise'!H:H,"61-90 Days")</f>
        <v>0</v>
      </c>
      <c r="K36" s="9">
        <f>SUMIFS('Bill Wise'!I:I,'Bill Wise'!C:C,B36,'Bill Wise'!H:H,"91-120 Days")</f>
        <v>0</v>
      </c>
      <c r="L36" s="9">
        <f>SUMIFS('Bill Wise'!I:I,'Bill Wise'!C:C,B36,'Bill Wise'!H:H,"121-150 Days")</f>
        <v>0</v>
      </c>
      <c r="M36" s="9">
        <f>SUMIFS('Bill Wise'!I:I,'Bill Wise'!C:C,B36,'Bill Wise'!H:H,"151-180 Days")</f>
        <v>0</v>
      </c>
      <c r="N36" s="9">
        <f>SUMIFS('Bill Wise'!I:I,'Bill Wise'!C:C,B36,'Bill Wise'!H:H,"181-365 Days")</f>
        <v>0</v>
      </c>
      <c r="O36" s="9">
        <f>SUMIFS('Bill Wise'!I:I,'Bill Wise'!C:C,B36,'Bill Wise'!H:H,"Above 365 Days")</f>
        <v>0</v>
      </c>
      <c r="P36" s="9">
        <f t="shared" si="1"/>
        <v>-28064.39</v>
      </c>
      <c r="Q36" s="9">
        <f t="shared" si="2"/>
        <v>0</v>
      </c>
    </row>
    <row r="37" spans="1:17" s="17" customFormat="1" x14ac:dyDescent="0.25">
      <c r="A37" s="7">
        <v>33</v>
      </c>
      <c r="B37" s="8" t="s">
        <v>1024</v>
      </c>
      <c r="C37" s="8" t="s">
        <v>306</v>
      </c>
      <c r="D37" s="8" t="s">
        <v>971</v>
      </c>
      <c r="E37" s="8" t="s">
        <v>1674</v>
      </c>
      <c r="F37" s="8"/>
      <c r="G37" s="9">
        <f>IFERROR(SUMIFS(TB!C:C,TB!A:A,B37)-SUMIFS(TB!B:B,TB!A:A,B37),0)</f>
        <v>-26550</v>
      </c>
      <c r="H37" s="9">
        <f>SUMIFS('Bill Wise'!I:I,'Bill Wise'!C:C,B37,'Bill Wise'!H:H,"0-30 Days")</f>
        <v>-26550</v>
      </c>
      <c r="I37" s="9">
        <f>SUMIFS('Bill Wise'!I:I,'Bill Wise'!C:C,B37,'Bill Wise'!H:H,"31-60 Days")</f>
        <v>0</v>
      </c>
      <c r="J37" s="9">
        <f>SUMIFS('Bill Wise'!I:I,'Bill Wise'!C:C,B37,'Bill Wise'!H:H,"61-90 Days")</f>
        <v>0</v>
      </c>
      <c r="K37" s="9">
        <f>SUMIFS('Bill Wise'!I:I,'Bill Wise'!C:C,B37,'Bill Wise'!H:H,"91-120 Days")</f>
        <v>0</v>
      </c>
      <c r="L37" s="9">
        <f>SUMIFS('Bill Wise'!I:I,'Bill Wise'!C:C,B37,'Bill Wise'!H:H,"121-150 Days")</f>
        <v>0</v>
      </c>
      <c r="M37" s="9">
        <f>SUMIFS('Bill Wise'!I:I,'Bill Wise'!C:C,B37,'Bill Wise'!H:H,"151-180 Days")</f>
        <v>0</v>
      </c>
      <c r="N37" s="9">
        <f>SUMIFS('Bill Wise'!I:I,'Bill Wise'!C:C,B37,'Bill Wise'!H:H,"181-365 Days")</f>
        <v>0</v>
      </c>
      <c r="O37" s="9">
        <f>SUMIFS('Bill Wise'!I:I,'Bill Wise'!C:C,B37,'Bill Wise'!H:H,"Above 365 Days")</f>
        <v>0</v>
      </c>
      <c r="P37" s="9">
        <f t="shared" si="1"/>
        <v>-26550</v>
      </c>
      <c r="Q37" s="9">
        <f t="shared" si="2"/>
        <v>0</v>
      </c>
    </row>
    <row r="38" spans="1:17" s="17" customFormat="1" x14ac:dyDescent="0.25">
      <c r="A38" s="7">
        <v>34</v>
      </c>
      <c r="B38" s="8" t="s">
        <v>41</v>
      </c>
      <c r="C38" s="8" t="s">
        <v>319</v>
      </c>
      <c r="D38" s="8" t="s">
        <v>971</v>
      </c>
      <c r="E38" s="8" t="s">
        <v>981</v>
      </c>
      <c r="F38" s="8"/>
      <c r="G38" s="9">
        <f>IFERROR(SUMIFS(TB!C:C,TB!A:A,B38)-SUMIFS(TB!B:B,TB!A:A,B38),0)</f>
        <v>-25000</v>
      </c>
      <c r="H38" s="9">
        <f>SUMIFS('Bill Wise'!I:I,'Bill Wise'!C:C,B38,'Bill Wise'!H:H,"0-30 Days")</f>
        <v>0</v>
      </c>
      <c r="I38" s="9">
        <f>SUMIFS('Bill Wise'!I:I,'Bill Wise'!C:C,B38,'Bill Wise'!H:H,"31-60 Days")</f>
        <v>0</v>
      </c>
      <c r="J38" s="9">
        <f>SUMIFS('Bill Wise'!I:I,'Bill Wise'!C:C,B38,'Bill Wise'!H:H,"61-90 Days")</f>
        <v>-25000</v>
      </c>
      <c r="K38" s="9">
        <f>SUMIFS('Bill Wise'!I:I,'Bill Wise'!C:C,B38,'Bill Wise'!H:H,"91-120 Days")</f>
        <v>0</v>
      </c>
      <c r="L38" s="9">
        <f>SUMIFS('Bill Wise'!I:I,'Bill Wise'!C:C,B38,'Bill Wise'!H:H,"121-150 Days")</f>
        <v>0</v>
      </c>
      <c r="M38" s="9">
        <f>SUMIFS('Bill Wise'!I:I,'Bill Wise'!C:C,B38,'Bill Wise'!H:H,"151-180 Days")</f>
        <v>0</v>
      </c>
      <c r="N38" s="9">
        <f>SUMIFS('Bill Wise'!I:I,'Bill Wise'!C:C,B38,'Bill Wise'!H:H,"181-365 Days")</f>
        <v>0</v>
      </c>
      <c r="O38" s="9">
        <f>SUMIFS('Bill Wise'!I:I,'Bill Wise'!C:C,B38,'Bill Wise'!H:H,"Above 365 Days")</f>
        <v>0</v>
      </c>
      <c r="P38" s="9">
        <f t="shared" ref="P38:P69" si="3">SUM(H38:O38)</f>
        <v>-25000</v>
      </c>
      <c r="Q38" s="9">
        <f t="shared" ref="Q38:Q69" si="4">G38-P38</f>
        <v>0</v>
      </c>
    </row>
    <row r="39" spans="1:17" s="17" customFormat="1" x14ac:dyDescent="0.25">
      <c r="A39" s="7">
        <v>35</v>
      </c>
      <c r="B39" s="8" t="s">
        <v>136</v>
      </c>
      <c r="C39" s="8" t="s">
        <v>312</v>
      </c>
      <c r="D39" s="8" t="s">
        <v>971</v>
      </c>
      <c r="E39" s="8" t="s">
        <v>981</v>
      </c>
      <c r="F39" s="8"/>
      <c r="G39" s="9">
        <f>IFERROR(SUMIFS(TB!C:C,TB!A:A,B39)-SUMIFS(TB!B:B,TB!A:A,B39),0)</f>
        <v>-25000</v>
      </c>
      <c r="H39" s="9">
        <f>SUMIFS('Bill Wise'!I:I,'Bill Wise'!C:C,B39,'Bill Wise'!H:H,"0-30 Days")</f>
        <v>0</v>
      </c>
      <c r="I39" s="9">
        <f>SUMIFS('Bill Wise'!I:I,'Bill Wise'!C:C,B39,'Bill Wise'!H:H,"31-60 Days")</f>
        <v>-25000</v>
      </c>
      <c r="J39" s="9">
        <f>SUMIFS('Bill Wise'!I:I,'Bill Wise'!C:C,B39,'Bill Wise'!H:H,"61-90 Days")</f>
        <v>0</v>
      </c>
      <c r="K39" s="9">
        <f>SUMIFS('Bill Wise'!I:I,'Bill Wise'!C:C,B39,'Bill Wise'!H:H,"91-120 Days")</f>
        <v>0</v>
      </c>
      <c r="L39" s="9">
        <f>SUMIFS('Bill Wise'!I:I,'Bill Wise'!C:C,B39,'Bill Wise'!H:H,"121-150 Days")</f>
        <v>0</v>
      </c>
      <c r="M39" s="9">
        <f>SUMIFS('Bill Wise'!I:I,'Bill Wise'!C:C,B39,'Bill Wise'!H:H,"151-180 Days")</f>
        <v>0</v>
      </c>
      <c r="N39" s="9">
        <f>SUMIFS('Bill Wise'!I:I,'Bill Wise'!C:C,B39,'Bill Wise'!H:H,"181-365 Days")</f>
        <v>0</v>
      </c>
      <c r="O39" s="9">
        <f>SUMIFS('Bill Wise'!I:I,'Bill Wise'!C:C,B39,'Bill Wise'!H:H,"Above 365 Days")</f>
        <v>0</v>
      </c>
      <c r="P39" s="9">
        <f t="shared" si="3"/>
        <v>-25000</v>
      </c>
      <c r="Q39" s="9">
        <f t="shared" si="4"/>
        <v>0</v>
      </c>
    </row>
    <row r="40" spans="1:17" s="17" customFormat="1" x14ac:dyDescent="0.25">
      <c r="A40" s="7">
        <v>36</v>
      </c>
      <c r="B40" s="8" t="s">
        <v>46</v>
      </c>
      <c r="C40" s="8" t="s">
        <v>306</v>
      </c>
      <c r="D40" s="8" t="s">
        <v>971</v>
      </c>
      <c r="E40" s="8" t="s">
        <v>1013</v>
      </c>
      <c r="F40" s="8"/>
      <c r="G40" s="9">
        <f>IFERROR(SUMIFS(TB!C:C,TB!A:A,B40)-SUMIFS(TB!B:B,TB!A:A,B40),0)</f>
        <v>-24886</v>
      </c>
      <c r="H40" s="9">
        <f>SUMIFS('Bill Wise'!I:I,'Bill Wise'!C:C,B40,'Bill Wise'!H:H,"0-30 Days")</f>
        <v>0</v>
      </c>
      <c r="I40" s="9">
        <f>SUMIFS('Bill Wise'!I:I,'Bill Wise'!C:C,B40,'Bill Wise'!H:H,"31-60 Days")</f>
        <v>-24886</v>
      </c>
      <c r="J40" s="9">
        <f>SUMIFS('Bill Wise'!I:I,'Bill Wise'!C:C,B40,'Bill Wise'!H:H,"61-90 Days")</f>
        <v>0</v>
      </c>
      <c r="K40" s="9">
        <f>SUMIFS('Bill Wise'!I:I,'Bill Wise'!C:C,B40,'Bill Wise'!H:H,"91-120 Days")</f>
        <v>0</v>
      </c>
      <c r="L40" s="9">
        <f>SUMIFS('Bill Wise'!I:I,'Bill Wise'!C:C,B40,'Bill Wise'!H:H,"121-150 Days")</f>
        <v>0</v>
      </c>
      <c r="M40" s="9">
        <f>SUMIFS('Bill Wise'!I:I,'Bill Wise'!C:C,B40,'Bill Wise'!H:H,"151-180 Days")</f>
        <v>0</v>
      </c>
      <c r="N40" s="9">
        <f>SUMIFS('Bill Wise'!I:I,'Bill Wise'!C:C,B40,'Bill Wise'!H:H,"181-365 Days")</f>
        <v>0</v>
      </c>
      <c r="O40" s="9">
        <f>SUMIFS('Bill Wise'!I:I,'Bill Wise'!C:C,B40,'Bill Wise'!H:H,"Above 365 Days")</f>
        <v>0</v>
      </c>
      <c r="P40" s="9">
        <f t="shared" si="3"/>
        <v>-24886</v>
      </c>
      <c r="Q40" s="9">
        <f t="shared" si="4"/>
        <v>0</v>
      </c>
    </row>
    <row r="41" spans="1:17" s="17" customFormat="1" x14ac:dyDescent="0.25">
      <c r="A41" s="7">
        <v>37</v>
      </c>
      <c r="B41" s="8" t="s">
        <v>24</v>
      </c>
      <c r="C41" s="8" t="s">
        <v>317</v>
      </c>
      <c r="D41" s="8" t="s">
        <v>981</v>
      </c>
      <c r="E41" s="8" t="s">
        <v>981</v>
      </c>
      <c r="F41" s="8"/>
      <c r="G41" s="9">
        <f>IFERROR(SUMIFS(TB!C:C,TB!A:A,B41)-SUMIFS(TB!B:B,TB!A:A,B41),0)</f>
        <v>-23510</v>
      </c>
      <c r="H41" s="9">
        <f>SUMIFS('Bill Wise'!I:I,'Bill Wise'!C:C,B41,'Bill Wise'!H:H,"0-30 Days")</f>
        <v>-10</v>
      </c>
      <c r="I41" s="9">
        <f>SUMIFS('Bill Wise'!I:I,'Bill Wise'!C:C,B41,'Bill Wise'!H:H,"31-60 Days")</f>
        <v>0</v>
      </c>
      <c r="J41" s="9">
        <f>SUMIFS('Bill Wise'!I:I,'Bill Wise'!C:C,B41,'Bill Wise'!H:H,"61-90 Days")</f>
        <v>-23500</v>
      </c>
      <c r="K41" s="9">
        <f>SUMIFS('Bill Wise'!I:I,'Bill Wise'!C:C,B41,'Bill Wise'!H:H,"91-120 Days")</f>
        <v>0</v>
      </c>
      <c r="L41" s="9">
        <f>SUMIFS('Bill Wise'!I:I,'Bill Wise'!C:C,B41,'Bill Wise'!H:H,"121-150 Days")</f>
        <v>0</v>
      </c>
      <c r="M41" s="9">
        <f>SUMIFS('Bill Wise'!I:I,'Bill Wise'!C:C,B41,'Bill Wise'!H:H,"151-180 Days")</f>
        <v>0</v>
      </c>
      <c r="N41" s="9">
        <f>SUMIFS('Bill Wise'!I:I,'Bill Wise'!C:C,B41,'Bill Wise'!H:H,"181-365 Days")</f>
        <v>0</v>
      </c>
      <c r="O41" s="9">
        <f>SUMIFS('Bill Wise'!I:I,'Bill Wise'!C:C,B41,'Bill Wise'!H:H,"Above 365 Days")</f>
        <v>0</v>
      </c>
      <c r="P41" s="9">
        <f t="shared" si="3"/>
        <v>-23510</v>
      </c>
      <c r="Q41" s="9">
        <f t="shared" si="4"/>
        <v>0</v>
      </c>
    </row>
    <row r="42" spans="1:17" s="17" customFormat="1" x14ac:dyDescent="0.25">
      <c r="A42" s="7">
        <v>38</v>
      </c>
      <c r="B42" s="8" t="s">
        <v>81</v>
      </c>
      <c r="C42" s="8" t="s">
        <v>317</v>
      </c>
      <c r="D42" s="8" t="s">
        <v>981</v>
      </c>
      <c r="E42" s="8" t="s">
        <v>981</v>
      </c>
      <c r="F42" s="8"/>
      <c r="G42" s="9">
        <f>IFERROR(SUMIFS(TB!C:C,TB!A:A,B42)-SUMIFS(TB!B:B,TB!A:A,B42),0)</f>
        <v>-22480</v>
      </c>
      <c r="H42" s="9">
        <f>SUMIFS('Bill Wise'!I:I,'Bill Wise'!C:C,B42,'Bill Wise'!H:H,"0-30 Days")</f>
        <v>0</v>
      </c>
      <c r="I42" s="9">
        <f>SUMIFS('Bill Wise'!I:I,'Bill Wise'!C:C,B42,'Bill Wise'!H:H,"31-60 Days")</f>
        <v>0</v>
      </c>
      <c r="J42" s="9">
        <f>SUMIFS('Bill Wise'!I:I,'Bill Wise'!C:C,B42,'Bill Wise'!H:H,"61-90 Days")</f>
        <v>-22480</v>
      </c>
      <c r="K42" s="9">
        <f>SUMIFS('Bill Wise'!I:I,'Bill Wise'!C:C,B42,'Bill Wise'!H:H,"91-120 Days")</f>
        <v>0</v>
      </c>
      <c r="L42" s="9">
        <f>SUMIFS('Bill Wise'!I:I,'Bill Wise'!C:C,B42,'Bill Wise'!H:H,"121-150 Days")</f>
        <v>0</v>
      </c>
      <c r="M42" s="9">
        <f>SUMIFS('Bill Wise'!I:I,'Bill Wise'!C:C,B42,'Bill Wise'!H:H,"151-180 Days")</f>
        <v>0</v>
      </c>
      <c r="N42" s="9">
        <f>SUMIFS('Bill Wise'!I:I,'Bill Wise'!C:C,B42,'Bill Wise'!H:H,"181-365 Days")</f>
        <v>0</v>
      </c>
      <c r="O42" s="9">
        <f>SUMIFS('Bill Wise'!I:I,'Bill Wise'!C:C,B42,'Bill Wise'!H:H,"Above 365 Days")</f>
        <v>0</v>
      </c>
      <c r="P42" s="9">
        <f t="shared" si="3"/>
        <v>-22480</v>
      </c>
      <c r="Q42" s="9">
        <f t="shared" si="4"/>
        <v>0</v>
      </c>
    </row>
    <row r="43" spans="1:17" s="17" customFormat="1" x14ac:dyDescent="0.25">
      <c r="A43" s="7">
        <v>39</v>
      </c>
      <c r="B43" s="8" t="s">
        <v>1025</v>
      </c>
      <c r="C43" s="8" t="s">
        <v>280</v>
      </c>
      <c r="D43" s="8" t="s">
        <v>971</v>
      </c>
      <c r="E43" s="8" t="s">
        <v>1675</v>
      </c>
      <c r="F43" s="8"/>
      <c r="G43" s="9">
        <f>IFERROR(SUMIFS(TB!C:C,TB!A:A,B43)-SUMIFS(TB!B:B,TB!A:A,B43),0)</f>
        <v>-21712</v>
      </c>
      <c r="H43" s="9">
        <f>SUMIFS('Bill Wise'!I:I,'Bill Wise'!C:C,B43,'Bill Wise'!H:H,"0-30 Days")</f>
        <v>-21712</v>
      </c>
      <c r="I43" s="9">
        <f>SUMIFS('Bill Wise'!I:I,'Bill Wise'!C:C,B43,'Bill Wise'!H:H,"31-60 Days")</f>
        <v>0</v>
      </c>
      <c r="J43" s="9">
        <f>SUMIFS('Bill Wise'!I:I,'Bill Wise'!C:C,B43,'Bill Wise'!H:H,"61-90 Days")</f>
        <v>0</v>
      </c>
      <c r="K43" s="9">
        <f>SUMIFS('Bill Wise'!I:I,'Bill Wise'!C:C,B43,'Bill Wise'!H:H,"91-120 Days")</f>
        <v>0</v>
      </c>
      <c r="L43" s="9">
        <f>SUMIFS('Bill Wise'!I:I,'Bill Wise'!C:C,B43,'Bill Wise'!H:H,"121-150 Days")</f>
        <v>0</v>
      </c>
      <c r="M43" s="9">
        <f>SUMIFS('Bill Wise'!I:I,'Bill Wise'!C:C,B43,'Bill Wise'!H:H,"151-180 Days")</f>
        <v>0</v>
      </c>
      <c r="N43" s="9">
        <f>SUMIFS('Bill Wise'!I:I,'Bill Wise'!C:C,B43,'Bill Wise'!H:H,"181-365 Days")</f>
        <v>0</v>
      </c>
      <c r="O43" s="9">
        <f>SUMIFS('Bill Wise'!I:I,'Bill Wise'!C:C,B43,'Bill Wise'!H:H,"Above 365 Days")</f>
        <v>0</v>
      </c>
      <c r="P43" s="9">
        <f t="shared" si="3"/>
        <v>-21712</v>
      </c>
      <c r="Q43" s="9">
        <f t="shared" si="4"/>
        <v>0</v>
      </c>
    </row>
    <row r="44" spans="1:17" s="17" customFormat="1" x14ac:dyDescent="0.25">
      <c r="A44" s="7">
        <v>40</v>
      </c>
      <c r="B44" s="8" t="s">
        <v>1026</v>
      </c>
      <c r="C44" s="8" t="s">
        <v>317</v>
      </c>
      <c r="D44" s="8" t="s">
        <v>981</v>
      </c>
      <c r="E44" s="8" t="s">
        <v>981</v>
      </c>
      <c r="F44" s="8"/>
      <c r="G44" s="9">
        <f>IFERROR(SUMIFS(TB!C:C,TB!A:A,B44)-SUMIFS(TB!B:B,TB!A:A,B44),0)</f>
        <v>-21035</v>
      </c>
      <c r="H44" s="9">
        <f>SUMIFS('Bill Wise'!I:I,'Bill Wise'!C:C,B44,'Bill Wise'!H:H,"0-30 Days")</f>
        <v>-21035</v>
      </c>
      <c r="I44" s="9">
        <f>SUMIFS('Bill Wise'!I:I,'Bill Wise'!C:C,B44,'Bill Wise'!H:H,"31-60 Days")</f>
        <v>0</v>
      </c>
      <c r="J44" s="9">
        <f>SUMIFS('Bill Wise'!I:I,'Bill Wise'!C:C,B44,'Bill Wise'!H:H,"61-90 Days")</f>
        <v>0</v>
      </c>
      <c r="K44" s="9">
        <f>SUMIFS('Bill Wise'!I:I,'Bill Wise'!C:C,B44,'Bill Wise'!H:H,"91-120 Days")</f>
        <v>0</v>
      </c>
      <c r="L44" s="9">
        <f>SUMIFS('Bill Wise'!I:I,'Bill Wise'!C:C,B44,'Bill Wise'!H:H,"121-150 Days")</f>
        <v>0</v>
      </c>
      <c r="M44" s="9">
        <f>SUMIFS('Bill Wise'!I:I,'Bill Wise'!C:C,B44,'Bill Wise'!H:H,"151-180 Days")</f>
        <v>0</v>
      </c>
      <c r="N44" s="9">
        <f>SUMIFS('Bill Wise'!I:I,'Bill Wise'!C:C,B44,'Bill Wise'!H:H,"181-365 Days")</f>
        <v>0</v>
      </c>
      <c r="O44" s="9">
        <f>SUMIFS('Bill Wise'!I:I,'Bill Wise'!C:C,B44,'Bill Wise'!H:H,"Above 365 Days")</f>
        <v>0</v>
      </c>
      <c r="P44" s="9">
        <f t="shared" si="3"/>
        <v>-21035</v>
      </c>
      <c r="Q44" s="9">
        <f t="shared" si="4"/>
        <v>0</v>
      </c>
    </row>
    <row r="45" spans="1:17" s="17" customFormat="1" x14ac:dyDescent="0.25">
      <c r="A45" s="7">
        <v>41</v>
      </c>
      <c r="B45" s="8" t="s">
        <v>72</v>
      </c>
      <c r="C45" s="8" t="s">
        <v>232</v>
      </c>
      <c r="D45" s="8" t="s">
        <v>979</v>
      </c>
      <c r="E45" s="8" t="s">
        <v>991</v>
      </c>
      <c r="F45" s="8"/>
      <c r="G45" s="9">
        <f>IFERROR(SUMIFS(TB!C:C,TB!A:A,B45)-SUMIFS(TB!B:B,TB!A:A,B45),0)</f>
        <v>-19032.8</v>
      </c>
      <c r="H45" s="9">
        <f>SUMIFS('Bill Wise'!I:I,'Bill Wise'!C:C,B45,'Bill Wise'!H:H,"0-30 Days")</f>
        <v>0</v>
      </c>
      <c r="I45" s="9">
        <f>SUMIFS('Bill Wise'!I:I,'Bill Wise'!C:C,B45,'Bill Wise'!H:H,"31-60 Days")</f>
        <v>0</v>
      </c>
      <c r="J45" s="9">
        <f>SUMIFS('Bill Wise'!I:I,'Bill Wise'!C:C,B45,'Bill Wise'!H:H,"61-90 Days")</f>
        <v>0</v>
      </c>
      <c r="K45" s="9">
        <f>SUMIFS('Bill Wise'!I:I,'Bill Wise'!C:C,B45,'Bill Wise'!H:H,"91-120 Days")</f>
        <v>0</v>
      </c>
      <c r="L45" s="9">
        <f>SUMIFS('Bill Wise'!I:I,'Bill Wise'!C:C,B45,'Bill Wise'!H:H,"121-150 Days")</f>
        <v>0</v>
      </c>
      <c r="M45" s="9">
        <f>SUMIFS('Bill Wise'!I:I,'Bill Wise'!C:C,B45,'Bill Wise'!H:H,"151-180 Days")</f>
        <v>0</v>
      </c>
      <c r="N45" s="9">
        <f>SUMIFS('Bill Wise'!I:I,'Bill Wise'!C:C,B45,'Bill Wise'!H:H,"181-365 Days")</f>
        <v>-19032.8</v>
      </c>
      <c r="O45" s="9">
        <f>SUMIFS('Bill Wise'!I:I,'Bill Wise'!C:C,B45,'Bill Wise'!H:H,"Above 365 Days")</f>
        <v>0</v>
      </c>
      <c r="P45" s="9">
        <f t="shared" si="3"/>
        <v>-19032.8</v>
      </c>
      <c r="Q45" s="9">
        <f t="shared" si="4"/>
        <v>0</v>
      </c>
    </row>
    <row r="46" spans="1:17" s="17" customFormat="1" x14ac:dyDescent="0.25">
      <c r="A46" s="7">
        <v>42</v>
      </c>
      <c r="B46" s="8" t="s">
        <v>1027</v>
      </c>
      <c r="C46" s="8" t="s">
        <v>317</v>
      </c>
      <c r="D46" s="8" t="s">
        <v>981</v>
      </c>
      <c r="E46" s="8" t="s">
        <v>981</v>
      </c>
      <c r="F46" s="8"/>
      <c r="G46" s="9">
        <f>IFERROR(SUMIFS(TB!C:C,TB!A:A,B46)-SUMIFS(TB!B:B,TB!A:A,B46),0)</f>
        <v>-17998</v>
      </c>
      <c r="H46" s="9">
        <f>SUMIFS('Bill Wise'!I:I,'Bill Wise'!C:C,B46,'Bill Wise'!H:H,"0-30 Days")</f>
        <v>-17998</v>
      </c>
      <c r="I46" s="9">
        <f>SUMIFS('Bill Wise'!I:I,'Bill Wise'!C:C,B46,'Bill Wise'!H:H,"31-60 Days")</f>
        <v>0</v>
      </c>
      <c r="J46" s="9">
        <f>SUMIFS('Bill Wise'!I:I,'Bill Wise'!C:C,B46,'Bill Wise'!H:H,"61-90 Days")</f>
        <v>0</v>
      </c>
      <c r="K46" s="9">
        <f>SUMIFS('Bill Wise'!I:I,'Bill Wise'!C:C,B46,'Bill Wise'!H:H,"91-120 Days")</f>
        <v>0</v>
      </c>
      <c r="L46" s="9">
        <f>SUMIFS('Bill Wise'!I:I,'Bill Wise'!C:C,B46,'Bill Wise'!H:H,"121-150 Days")</f>
        <v>0</v>
      </c>
      <c r="M46" s="9">
        <f>SUMIFS('Bill Wise'!I:I,'Bill Wise'!C:C,B46,'Bill Wise'!H:H,"151-180 Days")</f>
        <v>0</v>
      </c>
      <c r="N46" s="9">
        <f>SUMIFS('Bill Wise'!I:I,'Bill Wise'!C:C,B46,'Bill Wise'!H:H,"181-365 Days")</f>
        <v>0</v>
      </c>
      <c r="O46" s="9">
        <f>SUMIFS('Bill Wise'!I:I,'Bill Wise'!C:C,B46,'Bill Wise'!H:H,"Above 365 Days")</f>
        <v>0</v>
      </c>
      <c r="P46" s="9">
        <f t="shared" si="3"/>
        <v>-17998</v>
      </c>
      <c r="Q46" s="9">
        <f t="shared" si="4"/>
        <v>0</v>
      </c>
    </row>
    <row r="47" spans="1:17" s="17" customFormat="1" x14ac:dyDescent="0.25">
      <c r="A47" s="7">
        <v>43</v>
      </c>
      <c r="B47" s="8" t="s">
        <v>187</v>
      </c>
      <c r="C47" s="8" t="s">
        <v>280</v>
      </c>
      <c r="D47" s="8" t="s">
        <v>971</v>
      </c>
      <c r="E47" s="8" t="s">
        <v>994</v>
      </c>
      <c r="F47" s="8"/>
      <c r="G47" s="9">
        <f>IFERROR(SUMIFS(TB!C:C,TB!A:A,B47)-SUMIFS(TB!B:B,TB!A:A,B47),0)</f>
        <v>-15560</v>
      </c>
      <c r="H47" s="9">
        <f>SUMIFS('Bill Wise'!I:I,'Bill Wise'!C:C,B47,'Bill Wise'!H:H,"0-30 Days")</f>
        <v>0</v>
      </c>
      <c r="I47" s="9">
        <f>SUMIFS('Bill Wise'!I:I,'Bill Wise'!C:C,B47,'Bill Wise'!H:H,"31-60 Days")</f>
        <v>0</v>
      </c>
      <c r="J47" s="9">
        <f>SUMIFS('Bill Wise'!I:I,'Bill Wise'!C:C,B47,'Bill Wise'!H:H,"61-90 Days")</f>
        <v>-15560</v>
      </c>
      <c r="K47" s="9">
        <f>SUMIFS('Bill Wise'!I:I,'Bill Wise'!C:C,B47,'Bill Wise'!H:H,"91-120 Days")</f>
        <v>0</v>
      </c>
      <c r="L47" s="9">
        <f>SUMIFS('Bill Wise'!I:I,'Bill Wise'!C:C,B47,'Bill Wise'!H:H,"121-150 Days")</f>
        <v>0</v>
      </c>
      <c r="M47" s="9">
        <f>SUMIFS('Bill Wise'!I:I,'Bill Wise'!C:C,B47,'Bill Wise'!H:H,"151-180 Days")</f>
        <v>0</v>
      </c>
      <c r="N47" s="9">
        <f>SUMIFS('Bill Wise'!I:I,'Bill Wise'!C:C,B47,'Bill Wise'!H:H,"181-365 Days")</f>
        <v>0</v>
      </c>
      <c r="O47" s="9">
        <f>SUMIFS('Bill Wise'!I:I,'Bill Wise'!C:C,B47,'Bill Wise'!H:H,"Above 365 Days")</f>
        <v>0</v>
      </c>
      <c r="P47" s="9">
        <f t="shared" si="3"/>
        <v>-15560</v>
      </c>
      <c r="Q47" s="9">
        <f t="shared" si="4"/>
        <v>0</v>
      </c>
    </row>
    <row r="48" spans="1:17" s="17" customFormat="1" x14ac:dyDescent="0.25">
      <c r="A48" s="7">
        <v>44</v>
      </c>
      <c r="B48" s="8" t="s">
        <v>1028</v>
      </c>
      <c r="C48" s="8" t="s">
        <v>317</v>
      </c>
      <c r="D48" s="8" t="s">
        <v>981</v>
      </c>
      <c r="E48" s="8" t="s">
        <v>981</v>
      </c>
      <c r="F48" s="8"/>
      <c r="G48" s="9">
        <f>IFERROR(SUMIFS(TB!C:C,TB!A:A,B48)-SUMIFS(TB!B:B,TB!A:A,B48),0)</f>
        <v>-15161</v>
      </c>
      <c r="H48" s="9">
        <f>SUMIFS('Bill Wise'!I:I,'Bill Wise'!C:C,B48,'Bill Wise'!H:H,"0-30 Days")</f>
        <v>0</v>
      </c>
      <c r="I48" s="9">
        <f>SUMIFS('Bill Wise'!I:I,'Bill Wise'!C:C,B48,'Bill Wise'!H:H,"31-60 Days")</f>
        <v>0</v>
      </c>
      <c r="J48" s="9">
        <f>SUMIFS('Bill Wise'!I:I,'Bill Wise'!C:C,B48,'Bill Wise'!H:H,"61-90 Days")</f>
        <v>-15161</v>
      </c>
      <c r="K48" s="9">
        <f>SUMIFS('Bill Wise'!I:I,'Bill Wise'!C:C,B48,'Bill Wise'!H:H,"91-120 Days")</f>
        <v>0</v>
      </c>
      <c r="L48" s="9">
        <f>SUMIFS('Bill Wise'!I:I,'Bill Wise'!C:C,B48,'Bill Wise'!H:H,"121-150 Days")</f>
        <v>0</v>
      </c>
      <c r="M48" s="9">
        <f>SUMIFS('Bill Wise'!I:I,'Bill Wise'!C:C,B48,'Bill Wise'!H:H,"151-180 Days")</f>
        <v>0</v>
      </c>
      <c r="N48" s="9">
        <f>SUMIFS('Bill Wise'!I:I,'Bill Wise'!C:C,B48,'Bill Wise'!H:H,"181-365 Days")</f>
        <v>0</v>
      </c>
      <c r="O48" s="9">
        <f>SUMIFS('Bill Wise'!I:I,'Bill Wise'!C:C,B48,'Bill Wise'!H:H,"Above 365 Days")</f>
        <v>0</v>
      </c>
      <c r="P48" s="9">
        <f t="shared" si="3"/>
        <v>-15161</v>
      </c>
      <c r="Q48" s="9">
        <f t="shared" si="4"/>
        <v>0</v>
      </c>
    </row>
    <row r="49" spans="1:17" s="17" customFormat="1" x14ac:dyDescent="0.25">
      <c r="A49" s="7">
        <v>45</v>
      </c>
      <c r="B49" s="8" t="s">
        <v>168</v>
      </c>
      <c r="C49" s="8" t="s">
        <v>317</v>
      </c>
      <c r="D49" s="8" t="s">
        <v>981</v>
      </c>
      <c r="E49" s="8" t="s">
        <v>981</v>
      </c>
      <c r="F49" s="8"/>
      <c r="G49" s="9">
        <f>IFERROR(SUMIFS(TB!C:C,TB!A:A,B49)-SUMIFS(TB!B:B,TB!A:A,B49),0)</f>
        <v>-15000</v>
      </c>
      <c r="H49" s="9">
        <f>SUMIFS('Bill Wise'!I:I,'Bill Wise'!C:C,B49,'Bill Wise'!H:H,"0-30 Days")</f>
        <v>0</v>
      </c>
      <c r="I49" s="9">
        <f>SUMIFS('Bill Wise'!I:I,'Bill Wise'!C:C,B49,'Bill Wise'!H:H,"31-60 Days")</f>
        <v>0</v>
      </c>
      <c r="J49" s="9">
        <f>SUMIFS('Bill Wise'!I:I,'Bill Wise'!C:C,B49,'Bill Wise'!H:H,"61-90 Days")</f>
        <v>-15000</v>
      </c>
      <c r="K49" s="9">
        <f>SUMIFS('Bill Wise'!I:I,'Bill Wise'!C:C,B49,'Bill Wise'!H:H,"91-120 Days")</f>
        <v>0</v>
      </c>
      <c r="L49" s="9">
        <f>SUMIFS('Bill Wise'!I:I,'Bill Wise'!C:C,B49,'Bill Wise'!H:H,"121-150 Days")</f>
        <v>0</v>
      </c>
      <c r="M49" s="9">
        <f>SUMIFS('Bill Wise'!I:I,'Bill Wise'!C:C,B49,'Bill Wise'!H:H,"151-180 Days")</f>
        <v>0</v>
      </c>
      <c r="N49" s="9">
        <f>SUMIFS('Bill Wise'!I:I,'Bill Wise'!C:C,B49,'Bill Wise'!H:H,"181-365 Days")</f>
        <v>0</v>
      </c>
      <c r="O49" s="9">
        <f>SUMIFS('Bill Wise'!I:I,'Bill Wise'!C:C,B49,'Bill Wise'!H:H,"Above 365 Days")</f>
        <v>0</v>
      </c>
      <c r="P49" s="9">
        <f t="shared" si="3"/>
        <v>-15000</v>
      </c>
      <c r="Q49" s="9">
        <f t="shared" si="4"/>
        <v>0</v>
      </c>
    </row>
    <row r="50" spans="1:17" s="17" customFormat="1" x14ac:dyDescent="0.25">
      <c r="A50" s="7">
        <v>46</v>
      </c>
      <c r="B50" s="8" t="s">
        <v>196</v>
      </c>
      <c r="C50" s="8" t="s">
        <v>970</v>
      </c>
      <c r="D50" s="8" t="s">
        <v>981</v>
      </c>
      <c r="E50" s="8" t="s">
        <v>981</v>
      </c>
      <c r="F50" s="8"/>
      <c r="G50" s="9">
        <f>IFERROR(SUMIFS(TB!C:C,TB!A:A,B50)-SUMIFS(TB!B:B,TB!A:A,B50),0)</f>
        <v>-15000</v>
      </c>
      <c r="H50" s="9">
        <f>SUMIFS('Bill Wise'!I:I,'Bill Wise'!C:C,B50,'Bill Wise'!H:H,"0-30 Days")</f>
        <v>0</v>
      </c>
      <c r="I50" s="9">
        <f>SUMIFS('Bill Wise'!I:I,'Bill Wise'!C:C,B50,'Bill Wise'!H:H,"31-60 Days")</f>
        <v>0</v>
      </c>
      <c r="J50" s="9">
        <f>SUMIFS('Bill Wise'!I:I,'Bill Wise'!C:C,B50,'Bill Wise'!H:H,"61-90 Days")</f>
        <v>0</v>
      </c>
      <c r="K50" s="9">
        <f>SUMIFS('Bill Wise'!I:I,'Bill Wise'!C:C,B50,'Bill Wise'!H:H,"91-120 Days")</f>
        <v>-15000</v>
      </c>
      <c r="L50" s="9">
        <f>SUMIFS('Bill Wise'!I:I,'Bill Wise'!C:C,B50,'Bill Wise'!H:H,"121-150 Days")</f>
        <v>0</v>
      </c>
      <c r="M50" s="9">
        <f>SUMIFS('Bill Wise'!I:I,'Bill Wise'!C:C,B50,'Bill Wise'!H:H,"151-180 Days")</f>
        <v>0</v>
      </c>
      <c r="N50" s="9">
        <f>SUMIFS('Bill Wise'!I:I,'Bill Wise'!C:C,B50,'Bill Wise'!H:H,"181-365 Days")</f>
        <v>0</v>
      </c>
      <c r="O50" s="9">
        <f>SUMIFS('Bill Wise'!I:I,'Bill Wise'!C:C,B50,'Bill Wise'!H:H,"Above 365 Days")</f>
        <v>0</v>
      </c>
      <c r="P50" s="9">
        <f t="shared" si="3"/>
        <v>-15000</v>
      </c>
      <c r="Q50" s="9">
        <f t="shared" si="4"/>
        <v>0</v>
      </c>
    </row>
    <row r="51" spans="1:17" s="17" customFormat="1" x14ac:dyDescent="0.25">
      <c r="A51" s="7">
        <v>47</v>
      </c>
      <c r="B51" s="8" t="s">
        <v>1029</v>
      </c>
      <c r="C51" s="8" t="s">
        <v>312</v>
      </c>
      <c r="D51" s="8" t="s">
        <v>971</v>
      </c>
      <c r="E51" s="8" t="s">
        <v>1675</v>
      </c>
      <c r="F51" s="8"/>
      <c r="G51" s="9">
        <f>IFERROR(SUMIFS(TB!C:C,TB!A:A,B51)-SUMIFS(TB!B:B,TB!A:A,B51),0)</f>
        <v>-6891.58</v>
      </c>
      <c r="H51" s="9">
        <f>SUMIFS('Bill Wise'!I:I,'Bill Wise'!C:C,B51,'Bill Wise'!H:H,"0-30 Days")</f>
        <v>-6891.58</v>
      </c>
      <c r="I51" s="9">
        <f>SUMIFS('Bill Wise'!I:I,'Bill Wise'!C:C,B51,'Bill Wise'!H:H,"31-60 Days")</f>
        <v>0</v>
      </c>
      <c r="J51" s="9">
        <f>SUMIFS('Bill Wise'!I:I,'Bill Wise'!C:C,B51,'Bill Wise'!H:H,"61-90 Days")</f>
        <v>0</v>
      </c>
      <c r="K51" s="9">
        <f>SUMIFS('Bill Wise'!I:I,'Bill Wise'!C:C,B51,'Bill Wise'!H:H,"91-120 Days")</f>
        <v>0</v>
      </c>
      <c r="L51" s="9">
        <f>SUMIFS('Bill Wise'!I:I,'Bill Wise'!C:C,B51,'Bill Wise'!H:H,"121-150 Days")</f>
        <v>0</v>
      </c>
      <c r="M51" s="9">
        <f>SUMIFS('Bill Wise'!I:I,'Bill Wise'!C:C,B51,'Bill Wise'!H:H,"151-180 Days")</f>
        <v>0</v>
      </c>
      <c r="N51" s="9">
        <f>SUMIFS('Bill Wise'!I:I,'Bill Wise'!C:C,B51,'Bill Wise'!H:H,"181-365 Days")</f>
        <v>0</v>
      </c>
      <c r="O51" s="9">
        <f>SUMIFS('Bill Wise'!I:I,'Bill Wise'!C:C,B51,'Bill Wise'!H:H,"Above 365 Days")</f>
        <v>0</v>
      </c>
      <c r="P51" s="9">
        <f t="shared" si="3"/>
        <v>-6891.58</v>
      </c>
      <c r="Q51" s="9">
        <f t="shared" si="4"/>
        <v>0</v>
      </c>
    </row>
    <row r="52" spans="1:17" s="17" customFormat="1" x14ac:dyDescent="0.25">
      <c r="A52" s="7">
        <v>48</v>
      </c>
      <c r="B52" s="8" t="s">
        <v>1030</v>
      </c>
      <c r="C52" s="8" t="s">
        <v>312</v>
      </c>
      <c r="D52" s="8" t="s">
        <v>971</v>
      </c>
      <c r="E52" s="8" t="s">
        <v>1013</v>
      </c>
      <c r="F52" s="8"/>
      <c r="G52" s="9">
        <f>IFERROR(SUMIFS(TB!C:C,TB!A:A,B52)-SUMIFS(TB!B:B,TB!A:A,B52),0)</f>
        <v>-6048</v>
      </c>
      <c r="H52" s="9">
        <f>SUMIFS('Bill Wise'!I:I,'Bill Wise'!C:C,B52,'Bill Wise'!H:H,"0-30 Days")</f>
        <v>-6048</v>
      </c>
      <c r="I52" s="9">
        <f>SUMIFS('Bill Wise'!I:I,'Bill Wise'!C:C,B52,'Bill Wise'!H:H,"31-60 Days")</f>
        <v>0</v>
      </c>
      <c r="J52" s="9">
        <f>SUMIFS('Bill Wise'!I:I,'Bill Wise'!C:C,B52,'Bill Wise'!H:H,"61-90 Days")</f>
        <v>0</v>
      </c>
      <c r="K52" s="9">
        <f>SUMIFS('Bill Wise'!I:I,'Bill Wise'!C:C,B52,'Bill Wise'!H:H,"91-120 Days")</f>
        <v>0</v>
      </c>
      <c r="L52" s="9">
        <f>SUMIFS('Bill Wise'!I:I,'Bill Wise'!C:C,B52,'Bill Wise'!H:H,"121-150 Days")</f>
        <v>0</v>
      </c>
      <c r="M52" s="9">
        <f>SUMIFS('Bill Wise'!I:I,'Bill Wise'!C:C,B52,'Bill Wise'!H:H,"151-180 Days")</f>
        <v>0</v>
      </c>
      <c r="N52" s="9">
        <f>SUMIFS('Bill Wise'!I:I,'Bill Wise'!C:C,B52,'Bill Wise'!H:H,"181-365 Days")</f>
        <v>0</v>
      </c>
      <c r="O52" s="9">
        <f>SUMIFS('Bill Wise'!I:I,'Bill Wise'!C:C,B52,'Bill Wise'!H:H,"Above 365 Days")</f>
        <v>0</v>
      </c>
      <c r="P52" s="9">
        <f t="shared" si="3"/>
        <v>-6048</v>
      </c>
      <c r="Q52" s="9">
        <f t="shared" si="4"/>
        <v>0</v>
      </c>
    </row>
    <row r="53" spans="1:17" s="17" customFormat="1" x14ac:dyDescent="0.25">
      <c r="A53" s="7">
        <v>49</v>
      </c>
      <c r="B53" s="8" t="s">
        <v>87</v>
      </c>
      <c r="C53" s="8" t="s">
        <v>517</v>
      </c>
      <c r="D53" s="8" t="s">
        <v>971</v>
      </c>
      <c r="E53" s="8" t="s">
        <v>1001</v>
      </c>
      <c r="F53" s="8"/>
      <c r="G53" s="9">
        <f>IFERROR(SUMIFS(TB!C:C,TB!A:A,B53)-SUMIFS(TB!B:B,TB!A:A,B53),0)</f>
        <v>-5900</v>
      </c>
      <c r="H53" s="9">
        <f>SUMIFS('Bill Wise'!I:I,'Bill Wise'!C:C,B53,'Bill Wise'!H:H,"0-30 Days")</f>
        <v>0</v>
      </c>
      <c r="I53" s="9">
        <f>SUMIFS('Bill Wise'!I:I,'Bill Wise'!C:C,B53,'Bill Wise'!H:H,"31-60 Days")</f>
        <v>0</v>
      </c>
      <c r="J53" s="9">
        <f>SUMIFS('Bill Wise'!I:I,'Bill Wise'!C:C,B53,'Bill Wise'!H:H,"61-90 Days")</f>
        <v>-5900</v>
      </c>
      <c r="K53" s="9">
        <f>SUMIFS('Bill Wise'!I:I,'Bill Wise'!C:C,B53,'Bill Wise'!H:H,"91-120 Days")</f>
        <v>0</v>
      </c>
      <c r="L53" s="9">
        <f>SUMIFS('Bill Wise'!I:I,'Bill Wise'!C:C,B53,'Bill Wise'!H:H,"121-150 Days")</f>
        <v>0</v>
      </c>
      <c r="M53" s="9">
        <f>SUMIFS('Bill Wise'!I:I,'Bill Wise'!C:C,B53,'Bill Wise'!H:H,"151-180 Days")</f>
        <v>0</v>
      </c>
      <c r="N53" s="9">
        <f>SUMIFS('Bill Wise'!I:I,'Bill Wise'!C:C,B53,'Bill Wise'!H:H,"181-365 Days")</f>
        <v>0</v>
      </c>
      <c r="O53" s="9">
        <f>SUMIFS('Bill Wise'!I:I,'Bill Wise'!C:C,B53,'Bill Wise'!H:H,"Above 365 Days")</f>
        <v>0</v>
      </c>
      <c r="P53" s="9">
        <f t="shared" si="3"/>
        <v>-5900</v>
      </c>
      <c r="Q53" s="9">
        <f t="shared" si="4"/>
        <v>0</v>
      </c>
    </row>
    <row r="54" spans="1:17" s="17" customFormat="1" x14ac:dyDescent="0.25">
      <c r="A54" s="7">
        <v>50</v>
      </c>
      <c r="B54" s="8" t="s">
        <v>94</v>
      </c>
      <c r="C54" s="8" t="s">
        <v>973</v>
      </c>
      <c r="D54" s="8" t="s">
        <v>971</v>
      </c>
      <c r="E54" s="8" t="s">
        <v>996</v>
      </c>
      <c r="F54" s="8"/>
      <c r="G54" s="9">
        <f>IFERROR(SUMIFS(TB!C:C,TB!A:A,B54)-SUMIFS(TB!B:B,TB!A:A,B54),0)</f>
        <v>-5781.9</v>
      </c>
      <c r="H54" s="9">
        <f>SUMIFS('Bill Wise'!I:I,'Bill Wise'!C:C,B54,'Bill Wise'!H:H,"0-30 Days")</f>
        <v>0</v>
      </c>
      <c r="I54" s="9">
        <f>SUMIFS('Bill Wise'!I:I,'Bill Wise'!C:C,B54,'Bill Wise'!H:H,"31-60 Days")</f>
        <v>-5781.9</v>
      </c>
      <c r="J54" s="9">
        <f>SUMIFS('Bill Wise'!I:I,'Bill Wise'!C:C,B54,'Bill Wise'!H:H,"61-90 Days")</f>
        <v>0</v>
      </c>
      <c r="K54" s="9">
        <f>SUMIFS('Bill Wise'!I:I,'Bill Wise'!C:C,B54,'Bill Wise'!H:H,"91-120 Days")</f>
        <v>0</v>
      </c>
      <c r="L54" s="9">
        <f>SUMIFS('Bill Wise'!I:I,'Bill Wise'!C:C,B54,'Bill Wise'!H:H,"121-150 Days")</f>
        <v>0</v>
      </c>
      <c r="M54" s="9">
        <f>SUMIFS('Bill Wise'!I:I,'Bill Wise'!C:C,B54,'Bill Wise'!H:H,"151-180 Days")</f>
        <v>0</v>
      </c>
      <c r="N54" s="9">
        <f>SUMIFS('Bill Wise'!I:I,'Bill Wise'!C:C,B54,'Bill Wise'!H:H,"181-365 Days")</f>
        <v>0</v>
      </c>
      <c r="O54" s="9">
        <f>SUMIFS('Bill Wise'!I:I,'Bill Wise'!C:C,B54,'Bill Wise'!H:H,"Above 365 Days")</f>
        <v>0</v>
      </c>
      <c r="P54" s="9">
        <f t="shared" si="3"/>
        <v>-5781.9</v>
      </c>
      <c r="Q54" s="9">
        <f t="shared" si="4"/>
        <v>0</v>
      </c>
    </row>
    <row r="55" spans="1:17" s="17" customFormat="1" x14ac:dyDescent="0.25">
      <c r="A55" s="7">
        <v>51</v>
      </c>
      <c r="B55" s="8" t="s">
        <v>1031</v>
      </c>
      <c r="C55" s="8" t="s">
        <v>312</v>
      </c>
      <c r="D55" s="8" t="s">
        <v>971</v>
      </c>
      <c r="E55" s="8" t="s">
        <v>994</v>
      </c>
      <c r="F55" s="8"/>
      <c r="G55" s="9">
        <f>IFERROR(SUMIFS(TB!C:C,TB!A:A,B55)-SUMIFS(TB!B:B,TB!A:A,B55),0)</f>
        <v>-1852.02</v>
      </c>
      <c r="H55" s="9">
        <f>SUMIFS('Bill Wise'!I:I,'Bill Wise'!C:C,B55,'Bill Wise'!H:H,"0-30 Days")</f>
        <v>-1852.02</v>
      </c>
      <c r="I55" s="9">
        <f>SUMIFS('Bill Wise'!I:I,'Bill Wise'!C:C,B55,'Bill Wise'!H:H,"31-60 Days")</f>
        <v>0</v>
      </c>
      <c r="J55" s="9">
        <f>SUMIFS('Bill Wise'!I:I,'Bill Wise'!C:C,B55,'Bill Wise'!H:H,"61-90 Days")</f>
        <v>0</v>
      </c>
      <c r="K55" s="9">
        <f>SUMIFS('Bill Wise'!I:I,'Bill Wise'!C:C,B55,'Bill Wise'!H:H,"91-120 Days")</f>
        <v>0</v>
      </c>
      <c r="L55" s="9">
        <f>SUMIFS('Bill Wise'!I:I,'Bill Wise'!C:C,B55,'Bill Wise'!H:H,"121-150 Days")</f>
        <v>0</v>
      </c>
      <c r="M55" s="9">
        <f>SUMIFS('Bill Wise'!I:I,'Bill Wise'!C:C,B55,'Bill Wise'!H:H,"151-180 Days")</f>
        <v>0</v>
      </c>
      <c r="N55" s="9">
        <f>SUMIFS('Bill Wise'!I:I,'Bill Wise'!C:C,B55,'Bill Wise'!H:H,"181-365 Days")</f>
        <v>0</v>
      </c>
      <c r="O55" s="9">
        <f>SUMIFS('Bill Wise'!I:I,'Bill Wise'!C:C,B55,'Bill Wise'!H:H,"Above 365 Days")</f>
        <v>0</v>
      </c>
      <c r="P55" s="9">
        <f t="shared" si="3"/>
        <v>-1852.02</v>
      </c>
      <c r="Q55" s="9">
        <f t="shared" si="4"/>
        <v>0</v>
      </c>
    </row>
    <row r="56" spans="1:17" s="17" customFormat="1" x14ac:dyDescent="0.25">
      <c r="A56" s="7">
        <v>52</v>
      </c>
      <c r="B56" s="8" t="s">
        <v>1032</v>
      </c>
      <c r="C56" s="8" t="s">
        <v>312</v>
      </c>
      <c r="D56" s="8" t="s">
        <v>971</v>
      </c>
      <c r="E56" s="8" t="s">
        <v>1674</v>
      </c>
      <c r="F56" s="8"/>
      <c r="G56" s="9">
        <f>IFERROR(SUMIFS(TB!C:C,TB!A:A,B56)-SUMIFS(TB!B:B,TB!A:A,B56),0)</f>
        <v>-1200</v>
      </c>
      <c r="H56" s="9">
        <f>SUMIFS('Bill Wise'!I:I,'Bill Wise'!C:C,B56,'Bill Wise'!H:H,"0-30 Days")</f>
        <v>-1200</v>
      </c>
      <c r="I56" s="9">
        <f>SUMIFS('Bill Wise'!I:I,'Bill Wise'!C:C,B56,'Bill Wise'!H:H,"31-60 Days")</f>
        <v>0</v>
      </c>
      <c r="J56" s="9">
        <f>SUMIFS('Bill Wise'!I:I,'Bill Wise'!C:C,B56,'Bill Wise'!H:H,"61-90 Days")</f>
        <v>0</v>
      </c>
      <c r="K56" s="9">
        <f>SUMIFS('Bill Wise'!I:I,'Bill Wise'!C:C,B56,'Bill Wise'!H:H,"91-120 Days")</f>
        <v>0</v>
      </c>
      <c r="L56" s="9">
        <f>SUMIFS('Bill Wise'!I:I,'Bill Wise'!C:C,B56,'Bill Wise'!H:H,"121-150 Days")</f>
        <v>0</v>
      </c>
      <c r="M56" s="9">
        <f>SUMIFS('Bill Wise'!I:I,'Bill Wise'!C:C,B56,'Bill Wise'!H:H,"151-180 Days")</f>
        <v>0</v>
      </c>
      <c r="N56" s="9">
        <f>SUMIFS('Bill Wise'!I:I,'Bill Wise'!C:C,B56,'Bill Wise'!H:H,"181-365 Days")</f>
        <v>0</v>
      </c>
      <c r="O56" s="9">
        <f>SUMIFS('Bill Wise'!I:I,'Bill Wise'!C:C,B56,'Bill Wise'!H:H,"Above 365 Days")</f>
        <v>0</v>
      </c>
      <c r="P56" s="9">
        <f t="shared" si="3"/>
        <v>-1200</v>
      </c>
      <c r="Q56" s="9">
        <f t="shared" si="4"/>
        <v>0</v>
      </c>
    </row>
    <row r="57" spans="1:17" s="17" customFormat="1" x14ac:dyDescent="0.25">
      <c r="A57" s="7">
        <v>53</v>
      </c>
      <c r="B57" s="8" t="s">
        <v>42</v>
      </c>
      <c r="C57" s="8" t="s">
        <v>977</v>
      </c>
      <c r="D57" s="8" t="s">
        <v>988</v>
      </c>
      <c r="E57" s="8" t="s">
        <v>977</v>
      </c>
      <c r="F57" s="8"/>
      <c r="G57" s="9">
        <f>IFERROR(SUMIFS(TB!C:C,TB!A:A,B57)-SUMIFS(TB!B:B,TB!A:A,B57),0)</f>
        <v>-40.5</v>
      </c>
      <c r="H57" s="9">
        <f>SUMIFS('Bill Wise'!I:I,'Bill Wise'!C:C,B57,'Bill Wise'!H:H,"0-30 Days")</f>
        <v>0</v>
      </c>
      <c r="I57" s="9">
        <f>SUMIFS('Bill Wise'!I:I,'Bill Wise'!C:C,B57,'Bill Wise'!H:H,"31-60 Days")</f>
        <v>-40.5</v>
      </c>
      <c r="J57" s="9">
        <f>SUMIFS('Bill Wise'!I:I,'Bill Wise'!C:C,B57,'Bill Wise'!H:H,"61-90 Days")</f>
        <v>0</v>
      </c>
      <c r="K57" s="9">
        <f>SUMIFS('Bill Wise'!I:I,'Bill Wise'!C:C,B57,'Bill Wise'!H:H,"91-120 Days")</f>
        <v>0</v>
      </c>
      <c r="L57" s="9">
        <f>SUMIFS('Bill Wise'!I:I,'Bill Wise'!C:C,B57,'Bill Wise'!H:H,"121-150 Days")</f>
        <v>0</v>
      </c>
      <c r="M57" s="9">
        <f>SUMIFS('Bill Wise'!I:I,'Bill Wise'!C:C,B57,'Bill Wise'!H:H,"151-180 Days")</f>
        <v>0</v>
      </c>
      <c r="N57" s="9">
        <f>SUMIFS('Bill Wise'!I:I,'Bill Wise'!C:C,B57,'Bill Wise'!H:H,"181-365 Days")</f>
        <v>0</v>
      </c>
      <c r="O57" s="9">
        <f>SUMIFS('Bill Wise'!I:I,'Bill Wise'!C:C,B57,'Bill Wise'!H:H,"Above 365 Days")</f>
        <v>0</v>
      </c>
      <c r="P57" s="9">
        <f t="shared" si="3"/>
        <v>-40.5</v>
      </c>
      <c r="Q57" s="9">
        <f t="shared" si="4"/>
        <v>0</v>
      </c>
    </row>
    <row r="58" spans="1:17" s="17" customFormat="1" x14ac:dyDescent="0.25">
      <c r="A58" s="7">
        <v>54</v>
      </c>
      <c r="B58" s="8" t="s">
        <v>1033</v>
      </c>
      <c r="C58" s="8" t="s">
        <v>319</v>
      </c>
      <c r="D58" s="8" t="s">
        <v>971</v>
      </c>
      <c r="E58" s="8" t="s">
        <v>1000</v>
      </c>
      <c r="F58" s="8"/>
      <c r="G58" s="9">
        <f>IFERROR(SUMIFS(TB!C:C,TB!A:A,B58)-SUMIFS(TB!B:B,TB!A:A,B58),0)</f>
        <v>-2.95</v>
      </c>
      <c r="H58" s="9">
        <f>SUMIFS('Bill Wise'!I:I,'Bill Wise'!C:C,B58,'Bill Wise'!H:H,"0-30 Days")</f>
        <v>-2.95</v>
      </c>
      <c r="I58" s="9">
        <f>SUMIFS('Bill Wise'!I:I,'Bill Wise'!C:C,B58,'Bill Wise'!H:H,"31-60 Days")</f>
        <v>0</v>
      </c>
      <c r="J58" s="9">
        <f>SUMIFS('Bill Wise'!I:I,'Bill Wise'!C:C,B58,'Bill Wise'!H:H,"61-90 Days")</f>
        <v>0</v>
      </c>
      <c r="K58" s="9">
        <f>SUMIFS('Bill Wise'!I:I,'Bill Wise'!C:C,B58,'Bill Wise'!H:H,"91-120 Days")</f>
        <v>0</v>
      </c>
      <c r="L58" s="9">
        <f>SUMIFS('Bill Wise'!I:I,'Bill Wise'!C:C,B58,'Bill Wise'!H:H,"121-150 Days")</f>
        <v>0</v>
      </c>
      <c r="M58" s="9">
        <f>SUMIFS('Bill Wise'!I:I,'Bill Wise'!C:C,B58,'Bill Wise'!H:H,"151-180 Days")</f>
        <v>0</v>
      </c>
      <c r="N58" s="9">
        <f>SUMIFS('Bill Wise'!I:I,'Bill Wise'!C:C,B58,'Bill Wise'!H:H,"181-365 Days")</f>
        <v>0</v>
      </c>
      <c r="O58" s="9">
        <f>SUMIFS('Bill Wise'!I:I,'Bill Wise'!C:C,B58,'Bill Wise'!H:H,"Above 365 Days")</f>
        <v>0</v>
      </c>
      <c r="P58" s="9">
        <f t="shared" si="3"/>
        <v>-2.95</v>
      </c>
      <c r="Q58" s="9">
        <f t="shared" si="4"/>
        <v>0</v>
      </c>
    </row>
    <row r="59" spans="1:17" s="17" customFormat="1" x14ac:dyDescent="0.25">
      <c r="A59" s="7">
        <v>55</v>
      </c>
      <c r="B59" s="8" t="s">
        <v>208</v>
      </c>
      <c r="C59" s="8" t="s">
        <v>280</v>
      </c>
      <c r="D59" s="8" t="s">
        <v>971</v>
      </c>
      <c r="E59" s="8" t="s">
        <v>972</v>
      </c>
      <c r="F59" s="8"/>
      <c r="G59" s="9">
        <f>IFERROR(SUMIFS(TB!C:C,TB!A:A,B59)-SUMIFS(TB!B:B,TB!A:A,B59),0)</f>
        <v>-0.57999999999999996</v>
      </c>
      <c r="H59" s="9">
        <f>SUMIFS('Bill Wise'!I:I,'Bill Wise'!C:C,B59,'Bill Wise'!H:H,"0-30 Days")</f>
        <v>0</v>
      </c>
      <c r="I59" s="9">
        <f>SUMIFS('Bill Wise'!I:I,'Bill Wise'!C:C,B59,'Bill Wise'!H:H,"31-60 Days")</f>
        <v>0</v>
      </c>
      <c r="J59" s="9">
        <f>SUMIFS('Bill Wise'!I:I,'Bill Wise'!C:C,B59,'Bill Wise'!H:H,"61-90 Days")</f>
        <v>-0.57999999999999996</v>
      </c>
      <c r="K59" s="9">
        <f>SUMIFS('Bill Wise'!I:I,'Bill Wise'!C:C,B59,'Bill Wise'!H:H,"91-120 Days")</f>
        <v>0</v>
      </c>
      <c r="L59" s="9">
        <f>SUMIFS('Bill Wise'!I:I,'Bill Wise'!C:C,B59,'Bill Wise'!H:H,"121-150 Days")</f>
        <v>0</v>
      </c>
      <c r="M59" s="9">
        <f>SUMIFS('Bill Wise'!I:I,'Bill Wise'!C:C,B59,'Bill Wise'!H:H,"151-180 Days")</f>
        <v>0</v>
      </c>
      <c r="N59" s="9">
        <f>SUMIFS('Bill Wise'!I:I,'Bill Wise'!C:C,B59,'Bill Wise'!H:H,"181-365 Days")</f>
        <v>0</v>
      </c>
      <c r="O59" s="9">
        <f>SUMIFS('Bill Wise'!I:I,'Bill Wise'!C:C,B59,'Bill Wise'!H:H,"Above 365 Days")</f>
        <v>0</v>
      </c>
      <c r="P59" s="9">
        <f t="shared" si="3"/>
        <v>-0.57999999999999996</v>
      </c>
      <c r="Q59" s="9">
        <f t="shared" si="4"/>
        <v>0</v>
      </c>
    </row>
    <row r="60" spans="1:17" s="17" customFormat="1" x14ac:dyDescent="0.25">
      <c r="A60" s="7"/>
      <c r="B60" s="8"/>
      <c r="C60" s="8"/>
      <c r="D60" s="8"/>
      <c r="E60" s="8"/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x14ac:dyDescent="0.25">
      <c r="A61" s="10"/>
      <c r="B61" s="11" t="s">
        <v>218</v>
      </c>
      <c r="C61" s="10"/>
      <c r="D61" s="10"/>
      <c r="E61" s="10"/>
      <c r="F61" s="10"/>
      <c r="G61" s="12">
        <f>SUM(G4:G60)</f>
        <v>-44503458.800000004</v>
      </c>
      <c r="H61" s="12">
        <f t="shared" ref="H61:Q61" si="5">SUM(H4:H60)</f>
        <v>-10773370.419999998</v>
      </c>
      <c r="I61" s="12">
        <f t="shared" si="5"/>
        <v>-257950.4</v>
      </c>
      <c r="J61" s="12">
        <f t="shared" si="5"/>
        <v>-1792541.58</v>
      </c>
      <c r="K61" s="12">
        <f t="shared" si="5"/>
        <v>-45000</v>
      </c>
      <c r="L61" s="12">
        <f t="shared" si="5"/>
        <v>-432782.7</v>
      </c>
      <c r="M61" s="12">
        <f t="shared" si="5"/>
        <v>-187920</v>
      </c>
      <c r="N61" s="12">
        <f t="shared" si="5"/>
        <v>-25658409.660000004</v>
      </c>
      <c r="O61" s="12">
        <f t="shared" si="5"/>
        <v>-5355484.04</v>
      </c>
      <c r="P61" s="12">
        <f t="shared" si="5"/>
        <v>-44503458.800000004</v>
      </c>
      <c r="Q61" s="12">
        <f t="shared" si="5"/>
        <v>0</v>
      </c>
    </row>
  </sheetData>
  <autoFilter ref="A4:Q59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2" ySplit="4" topLeftCell="C5" activePane="bottomRight" state="frozen"/>
      <selection pane="topRight"/>
      <selection pane="bottomLeft"/>
      <selection pane="bottomRight" activeCell="A4" sqref="A4"/>
    </sheetView>
  </sheetViews>
  <sheetFormatPr defaultRowHeight="15" x14ac:dyDescent="0.25"/>
  <cols>
    <col min="1" max="1" width="6" customWidth="1"/>
    <col min="2" max="2" width="50" customWidth="1"/>
    <col min="3" max="3" width="18" customWidth="1"/>
    <col min="4" max="4" width="2" customWidth="1"/>
    <col min="5" max="5" width="16" customWidth="1"/>
    <col min="6" max="12" width="14" customWidth="1"/>
    <col min="13" max="14" width="16" customWidth="1"/>
    <col min="15" max="15" width="14" customWidth="1"/>
  </cols>
  <sheetData>
    <row r="1" spans="1:15" ht="21.95" customHeight="1" x14ac:dyDescent="0.25">
      <c r="A1" s="3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20.100000000000001" customHeight="1" x14ac:dyDescent="0.25">
      <c r="A2" s="28" t="s">
        <v>1669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A3" s="3"/>
      <c r="B3" s="4" t="s">
        <v>961</v>
      </c>
      <c r="C3" s="3"/>
      <c r="D3" s="3"/>
      <c r="E3" s="5">
        <f t="shared" ref="E3:O3" si="0">SUBTOTAL(9,E5:E24)</f>
        <v>130601798.57999998</v>
      </c>
      <c r="F3" s="5">
        <f t="shared" si="0"/>
        <v>24335936.75</v>
      </c>
      <c r="G3" s="5">
        <f t="shared" si="0"/>
        <v>2729956.5999999996</v>
      </c>
      <c r="H3" s="5">
        <f t="shared" si="0"/>
        <v>3836467.5</v>
      </c>
      <c r="I3" s="5">
        <f t="shared" si="0"/>
        <v>29521126.25</v>
      </c>
      <c r="J3" s="5">
        <f t="shared" si="0"/>
        <v>11584567.98</v>
      </c>
      <c r="K3" s="5">
        <f t="shared" si="0"/>
        <v>862289.56</v>
      </c>
      <c r="L3" s="5">
        <f t="shared" si="0"/>
        <v>39612486.140000001</v>
      </c>
      <c r="M3" s="5">
        <f t="shared" si="0"/>
        <v>18118967.799999997</v>
      </c>
      <c r="N3" s="5">
        <f t="shared" si="0"/>
        <v>130601798.57999998</v>
      </c>
      <c r="O3" s="5">
        <f t="shared" si="0"/>
        <v>0</v>
      </c>
    </row>
    <row r="4" spans="1:15" ht="32.1" customHeight="1" x14ac:dyDescent="0.25">
      <c r="A4" s="6" t="s">
        <v>962</v>
      </c>
      <c r="B4" s="6" t="s">
        <v>963</v>
      </c>
      <c r="C4" s="6" t="s">
        <v>965</v>
      </c>
      <c r="D4" s="6"/>
      <c r="E4" s="6" t="s">
        <v>967</v>
      </c>
      <c r="F4" s="6" t="s">
        <v>748</v>
      </c>
      <c r="G4" s="6" t="s">
        <v>659</v>
      </c>
      <c r="H4" s="6" t="s">
        <v>585</v>
      </c>
      <c r="I4" s="6" t="s">
        <v>490</v>
      </c>
      <c r="J4" s="6" t="s">
        <v>467</v>
      </c>
      <c r="K4" s="6" t="s">
        <v>435</v>
      </c>
      <c r="L4" s="6" t="s">
        <v>323</v>
      </c>
      <c r="M4" s="6" t="s">
        <v>233</v>
      </c>
      <c r="N4" s="6" t="s">
        <v>968</v>
      </c>
      <c r="O4" s="6" t="s">
        <v>969</v>
      </c>
    </row>
    <row r="5" spans="1:15" s="17" customFormat="1" x14ac:dyDescent="0.25">
      <c r="A5" s="7"/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s="17" customFormat="1" x14ac:dyDescent="0.25">
      <c r="A6" s="7">
        <v>1</v>
      </c>
      <c r="B6" s="8" t="s">
        <v>150</v>
      </c>
      <c r="C6" s="8" t="s">
        <v>1018</v>
      </c>
      <c r="D6" s="8"/>
      <c r="E6" s="9">
        <f>IFERROR(SUMIFS(TB!C:C,TB!A:A,B6)-SUMIFS(TB!B:B,TB!A:A,B6),0)</f>
        <v>30680</v>
      </c>
      <c r="F6" s="9">
        <f>SUMIFS('Bill Wise'!I:I,'Bill Wise'!C:C,B6,'Bill Wise'!H:H,"0-30 Days")</f>
        <v>0</v>
      </c>
      <c r="G6" s="9">
        <f>SUMIFS('Bill Wise'!I:I,'Bill Wise'!C:C,B6,'Bill Wise'!H:H,"31-60 Days")</f>
        <v>0</v>
      </c>
      <c r="H6" s="9">
        <f>SUMIFS('Bill Wise'!I:I,'Bill Wise'!C:C,B6,'Bill Wise'!H:H,"61-90 Days")</f>
        <v>0</v>
      </c>
      <c r="I6" s="9">
        <f>SUMIFS('Bill Wise'!I:I,'Bill Wise'!C:C,B6,'Bill Wise'!H:H,"91-120 Days")</f>
        <v>0</v>
      </c>
      <c r="J6" s="9">
        <f>SUMIFS('Bill Wise'!I:I,'Bill Wise'!C:C,B6,'Bill Wise'!H:H,"121-150 Days")</f>
        <v>0</v>
      </c>
      <c r="K6" s="9">
        <f>SUMIFS('Bill Wise'!I:I,'Bill Wise'!C:C,B6,'Bill Wise'!H:H,"151-180 Days")</f>
        <v>0</v>
      </c>
      <c r="L6" s="9">
        <f>SUMIFS('Bill Wise'!I:I,'Bill Wise'!C:C,B6,'Bill Wise'!H:H,"181-365 Days")</f>
        <v>30680</v>
      </c>
      <c r="M6" s="9">
        <f>SUMIFS('Bill Wise'!I:I,'Bill Wise'!C:C,B6,'Bill Wise'!H:H,"Above 365 Days")</f>
        <v>0</v>
      </c>
      <c r="N6" s="9">
        <f t="shared" ref="N6:N22" si="1">SUM(F6:M6)</f>
        <v>30680</v>
      </c>
      <c r="O6" s="9">
        <f t="shared" ref="O6:O22" si="2">E6-N6</f>
        <v>0</v>
      </c>
    </row>
    <row r="7" spans="1:15" s="17" customFormat="1" x14ac:dyDescent="0.25">
      <c r="A7" s="7">
        <v>2</v>
      </c>
      <c r="B7" s="8" t="s">
        <v>141</v>
      </c>
      <c r="C7" s="8" t="s">
        <v>1018</v>
      </c>
      <c r="D7" s="8"/>
      <c r="E7" s="9">
        <f>IFERROR(SUMIFS(TB!C:C,TB!A:A,B7)-SUMIFS(TB!B:B,TB!A:A,B7),0)</f>
        <v>215334</v>
      </c>
      <c r="F7" s="9">
        <f>SUMIFS('Bill Wise'!I:I,'Bill Wise'!C:C,B7,'Bill Wise'!H:H,"0-30 Days")</f>
        <v>0</v>
      </c>
      <c r="G7" s="9">
        <f>SUMIFS('Bill Wise'!I:I,'Bill Wise'!C:C,B7,'Bill Wise'!H:H,"31-60 Days")</f>
        <v>0</v>
      </c>
      <c r="H7" s="9">
        <f>SUMIFS('Bill Wise'!I:I,'Bill Wise'!C:C,B7,'Bill Wise'!H:H,"61-90 Days")</f>
        <v>0</v>
      </c>
      <c r="I7" s="9">
        <f>SUMIFS('Bill Wise'!I:I,'Bill Wise'!C:C,B7,'Bill Wise'!H:H,"91-120 Days")</f>
        <v>0</v>
      </c>
      <c r="J7" s="9">
        <f>SUMIFS('Bill Wise'!I:I,'Bill Wise'!C:C,B7,'Bill Wise'!H:H,"121-150 Days")</f>
        <v>0</v>
      </c>
      <c r="K7" s="9">
        <f>SUMIFS('Bill Wise'!I:I,'Bill Wise'!C:C,B7,'Bill Wise'!H:H,"151-180 Days")</f>
        <v>0</v>
      </c>
      <c r="L7" s="9">
        <f>SUMIFS('Bill Wise'!I:I,'Bill Wise'!C:C,B7,'Bill Wise'!H:H,"181-365 Days")</f>
        <v>215334</v>
      </c>
      <c r="M7" s="9">
        <f>SUMIFS('Bill Wise'!I:I,'Bill Wise'!C:C,B7,'Bill Wise'!H:H,"Above 365 Days")</f>
        <v>0</v>
      </c>
      <c r="N7" s="9">
        <f t="shared" si="1"/>
        <v>215334</v>
      </c>
      <c r="O7" s="9">
        <f t="shared" si="2"/>
        <v>0</v>
      </c>
    </row>
    <row r="8" spans="1:15" s="17" customFormat="1" x14ac:dyDescent="0.25">
      <c r="A8" s="7">
        <v>3</v>
      </c>
      <c r="B8" s="8" t="s">
        <v>145</v>
      </c>
      <c r="C8" s="8" t="s">
        <v>1018</v>
      </c>
      <c r="D8" s="8"/>
      <c r="E8" s="9">
        <f>IFERROR(SUMIFS(TB!C:C,TB!A:A,B8)-SUMIFS(TB!B:B,TB!A:A,B8),0)</f>
        <v>332760</v>
      </c>
      <c r="F8" s="9">
        <f>SUMIFS('Bill Wise'!I:I,'Bill Wise'!C:C,B8,'Bill Wise'!H:H,"0-30 Days")</f>
        <v>0</v>
      </c>
      <c r="G8" s="9">
        <f>SUMIFS('Bill Wise'!I:I,'Bill Wise'!C:C,B8,'Bill Wise'!H:H,"31-60 Days")</f>
        <v>0</v>
      </c>
      <c r="H8" s="9">
        <f>SUMIFS('Bill Wise'!I:I,'Bill Wise'!C:C,B8,'Bill Wise'!H:H,"61-90 Days")</f>
        <v>0</v>
      </c>
      <c r="I8" s="9">
        <f>SUMIFS('Bill Wise'!I:I,'Bill Wise'!C:C,B8,'Bill Wise'!H:H,"91-120 Days")</f>
        <v>332760</v>
      </c>
      <c r="J8" s="9">
        <f>SUMIFS('Bill Wise'!I:I,'Bill Wise'!C:C,B8,'Bill Wise'!H:H,"121-150 Days")</f>
        <v>0</v>
      </c>
      <c r="K8" s="9">
        <f>SUMIFS('Bill Wise'!I:I,'Bill Wise'!C:C,B8,'Bill Wise'!H:H,"151-180 Days")</f>
        <v>0</v>
      </c>
      <c r="L8" s="9">
        <f>SUMIFS('Bill Wise'!I:I,'Bill Wise'!C:C,B8,'Bill Wise'!H:H,"181-365 Days")</f>
        <v>0</v>
      </c>
      <c r="M8" s="9">
        <f>SUMIFS('Bill Wise'!I:I,'Bill Wise'!C:C,B8,'Bill Wise'!H:H,"Above 365 Days")</f>
        <v>0</v>
      </c>
      <c r="N8" s="9">
        <f t="shared" si="1"/>
        <v>332760</v>
      </c>
      <c r="O8" s="9">
        <f t="shared" si="2"/>
        <v>0</v>
      </c>
    </row>
    <row r="9" spans="1:15" s="17" customFormat="1" x14ac:dyDescent="0.25">
      <c r="A9" s="7">
        <v>4</v>
      </c>
      <c r="B9" s="8" t="s">
        <v>148</v>
      </c>
      <c r="C9" s="8" t="s">
        <v>1018</v>
      </c>
      <c r="D9" s="8"/>
      <c r="E9" s="9">
        <f>IFERROR(SUMIFS(TB!C:C,TB!A:A,B9)-SUMIFS(TB!B:B,TB!A:A,B9),0)</f>
        <v>370425.59999999998</v>
      </c>
      <c r="F9" s="9">
        <f>SUMIFS('Bill Wise'!I:I,'Bill Wise'!C:C,B9,'Bill Wise'!H:H,"0-30 Days")</f>
        <v>0</v>
      </c>
      <c r="G9" s="9">
        <f>SUMIFS('Bill Wise'!I:I,'Bill Wise'!C:C,B9,'Bill Wise'!H:H,"31-60 Days")</f>
        <v>0</v>
      </c>
      <c r="H9" s="9">
        <f>SUMIFS('Bill Wise'!I:I,'Bill Wise'!C:C,B9,'Bill Wise'!H:H,"61-90 Days")</f>
        <v>0</v>
      </c>
      <c r="I9" s="9">
        <f>SUMIFS('Bill Wise'!I:I,'Bill Wise'!C:C,B9,'Bill Wise'!H:H,"91-120 Days")</f>
        <v>0</v>
      </c>
      <c r="J9" s="9">
        <f>SUMIFS('Bill Wise'!I:I,'Bill Wise'!C:C,B9,'Bill Wise'!H:H,"121-150 Days")</f>
        <v>0</v>
      </c>
      <c r="K9" s="9">
        <f>SUMIFS('Bill Wise'!I:I,'Bill Wise'!C:C,B9,'Bill Wise'!H:H,"151-180 Days")</f>
        <v>0</v>
      </c>
      <c r="L9" s="9">
        <f>SUMIFS('Bill Wise'!I:I,'Bill Wise'!C:C,B9,'Bill Wise'!H:H,"181-365 Days")</f>
        <v>370425.59999999998</v>
      </c>
      <c r="M9" s="9">
        <f>SUMIFS('Bill Wise'!I:I,'Bill Wise'!C:C,B9,'Bill Wise'!H:H,"Above 365 Days")</f>
        <v>0</v>
      </c>
      <c r="N9" s="9">
        <f t="shared" si="1"/>
        <v>370425.59999999998</v>
      </c>
      <c r="O9" s="9">
        <f t="shared" si="2"/>
        <v>0</v>
      </c>
    </row>
    <row r="10" spans="1:15" s="17" customFormat="1" x14ac:dyDescent="0.25">
      <c r="A10" s="7">
        <v>5</v>
      </c>
      <c r="B10" s="8" t="s">
        <v>149</v>
      </c>
      <c r="C10" s="8" t="s">
        <v>1018</v>
      </c>
      <c r="D10" s="8"/>
      <c r="E10" s="9">
        <f>IFERROR(SUMIFS(TB!C:C,TB!A:A,B10)-SUMIFS(TB!B:B,TB!A:A,B10),0)</f>
        <v>488346</v>
      </c>
      <c r="F10" s="9">
        <f>SUMIFS('Bill Wise'!I:I,'Bill Wise'!C:C,B10,'Bill Wise'!H:H,"0-30 Days")</f>
        <v>0</v>
      </c>
      <c r="G10" s="9">
        <f>SUMIFS('Bill Wise'!I:I,'Bill Wise'!C:C,B10,'Bill Wise'!H:H,"31-60 Days")</f>
        <v>0</v>
      </c>
      <c r="H10" s="9">
        <f>SUMIFS('Bill Wise'!I:I,'Bill Wise'!C:C,B10,'Bill Wise'!H:H,"61-90 Days")</f>
        <v>0</v>
      </c>
      <c r="I10" s="9">
        <f>SUMIFS('Bill Wise'!I:I,'Bill Wise'!C:C,B10,'Bill Wise'!H:H,"91-120 Days")</f>
        <v>0</v>
      </c>
      <c r="J10" s="9">
        <f>SUMIFS('Bill Wise'!I:I,'Bill Wise'!C:C,B10,'Bill Wise'!H:H,"121-150 Days")</f>
        <v>235800</v>
      </c>
      <c r="K10" s="9">
        <f>SUMIFS('Bill Wise'!I:I,'Bill Wise'!C:C,B10,'Bill Wise'!H:H,"151-180 Days")</f>
        <v>0</v>
      </c>
      <c r="L10" s="9">
        <f>SUMIFS('Bill Wise'!I:I,'Bill Wise'!C:C,B10,'Bill Wise'!H:H,"181-365 Days")</f>
        <v>252546</v>
      </c>
      <c r="M10" s="9">
        <f>SUMIFS('Bill Wise'!I:I,'Bill Wise'!C:C,B10,'Bill Wise'!H:H,"Above 365 Days")</f>
        <v>0</v>
      </c>
      <c r="N10" s="9">
        <f t="shared" si="1"/>
        <v>488346</v>
      </c>
      <c r="O10" s="9">
        <f t="shared" si="2"/>
        <v>0</v>
      </c>
    </row>
    <row r="11" spans="1:15" s="17" customFormat="1" x14ac:dyDescent="0.25">
      <c r="A11" s="7">
        <v>6</v>
      </c>
      <c r="B11" s="8" t="s">
        <v>142</v>
      </c>
      <c r="C11" s="8" t="s">
        <v>1018</v>
      </c>
      <c r="D11" s="8"/>
      <c r="E11" s="9">
        <f>IFERROR(SUMIFS(TB!C:C,TB!A:A,B11)-SUMIFS(TB!B:B,TB!A:A,B11),0)</f>
        <v>590000</v>
      </c>
      <c r="F11" s="9">
        <f>SUMIFS('Bill Wise'!I:I,'Bill Wise'!C:C,B11,'Bill Wise'!H:H,"0-30 Days")</f>
        <v>0</v>
      </c>
      <c r="G11" s="9">
        <f>SUMIFS('Bill Wise'!I:I,'Bill Wise'!C:C,B11,'Bill Wise'!H:H,"31-60 Days")</f>
        <v>0</v>
      </c>
      <c r="H11" s="9">
        <f>SUMIFS('Bill Wise'!I:I,'Bill Wise'!C:C,B11,'Bill Wise'!H:H,"61-90 Days")</f>
        <v>0</v>
      </c>
      <c r="I11" s="9">
        <f>SUMIFS('Bill Wise'!I:I,'Bill Wise'!C:C,B11,'Bill Wise'!H:H,"91-120 Days")</f>
        <v>0</v>
      </c>
      <c r="J11" s="9">
        <f>SUMIFS('Bill Wise'!I:I,'Bill Wise'!C:C,B11,'Bill Wise'!H:H,"121-150 Days")</f>
        <v>0</v>
      </c>
      <c r="K11" s="9">
        <f>SUMIFS('Bill Wise'!I:I,'Bill Wise'!C:C,B11,'Bill Wise'!H:H,"151-180 Days")</f>
        <v>0</v>
      </c>
      <c r="L11" s="9">
        <f>SUMIFS('Bill Wise'!I:I,'Bill Wise'!C:C,B11,'Bill Wise'!H:H,"181-365 Days")</f>
        <v>590000</v>
      </c>
      <c r="M11" s="9">
        <f>SUMIFS('Bill Wise'!I:I,'Bill Wise'!C:C,B11,'Bill Wise'!H:H,"Above 365 Days")</f>
        <v>0</v>
      </c>
      <c r="N11" s="9">
        <f t="shared" si="1"/>
        <v>590000</v>
      </c>
      <c r="O11" s="9">
        <f t="shared" si="2"/>
        <v>0</v>
      </c>
    </row>
    <row r="12" spans="1:15" s="17" customFormat="1" x14ac:dyDescent="0.25">
      <c r="A12" s="7">
        <v>7</v>
      </c>
      <c r="B12" s="8" t="s">
        <v>123</v>
      </c>
      <c r="C12" s="8" t="s">
        <v>1018</v>
      </c>
      <c r="D12" s="8"/>
      <c r="E12" s="9">
        <f>IFERROR(SUMIFS(TB!C:C,TB!A:A,B12)-SUMIFS(TB!B:B,TB!A:A,B12),0)</f>
        <v>708759.9</v>
      </c>
      <c r="F12" s="9">
        <f>SUMIFS('Bill Wise'!I:I,'Bill Wise'!C:C,B12,'Bill Wise'!H:H,"0-30 Days")</f>
        <v>0</v>
      </c>
      <c r="G12" s="9">
        <f>SUMIFS('Bill Wise'!I:I,'Bill Wise'!C:C,B12,'Bill Wise'!H:H,"31-60 Days")</f>
        <v>0</v>
      </c>
      <c r="H12" s="9">
        <f>SUMIFS('Bill Wise'!I:I,'Bill Wise'!C:C,B12,'Bill Wise'!H:H,"61-90 Days")</f>
        <v>0</v>
      </c>
      <c r="I12" s="9">
        <f>SUMIFS('Bill Wise'!I:I,'Bill Wise'!C:C,B12,'Bill Wise'!H:H,"91-120 Days")</f>
        <v>0</v>
      </c>
      <c r="J12" s="9">
        <f>SUMIFS('Bill Wise'!I:I,'Bill Wise'!C:C,B12,'Bill Wise'!H:H,"121-150 Days")</f>
        <v>0</v>
      </c>
      <c r="K12" s="9">
        <f>SUMIFS('Bill Wise'!I:I,'Bill Wise'!C:C,B12,'Bill Wise'!H:H,"151-180 Days")</f>
        <v>0</v>
      </c>
      <c r="L12" s="9">
        <f>SUMIFS('Bill Wise'!I:I,'Bill Wise'!C:C,B12,'Bill Wise'!H:H,"181-365 Days")</f>
        <v>0</v>
      </c>
      <c r="M12" s="9">
        <f>SUMIFS('Bill Wise'!I:I,'Bill Wise'!C:C,B12,'Bill Wise'!H:H,"Above 365 Days")</f>
        <v>708759.9</v>
      </c>
      <c r="N12" s="9">
        <f t="shared" si="1"/>
        <v>708759.9</v>
      </c>
      <c r="O12" s="9">
        <f t="shared" si="2"/>
        <v>0</v>
      </c>
    </row>
    <row r="13" spans="1:15" s="17" customFormat="1" x14ac:dyDescent="0.25">
      <c r="A13" s="7">
        <v>8</v>
      </c>
      <c r="B13" s="8" t="s">
        <v>121</v>
      </c>
      <c r="C13" s="8" t="s">
        <v>1018</v>
      </c>
      <c r="D13" s="8"/>
      <c r="E13" s="9">
        <f>IFERROR(SUMIFS(TB!C:C,TB!A:A,B13)-SUMIFS(TB!B:B,TB!A:A,B13),0)</f>
        <v>731051</v>
      </c>
      <c r="F13" s="9">
        <f>SUMIFS('Bill Wise'!I:I,'Bill Wise'!C:C,B13,'Bill Wise'!H:H,"0-30 Days")</f>
        <v>0</v>
      </c>
      <c r="G13" s="9">
        <f>SUMIFS('Bill Wise'!I:I,'Bill Wise'!C:C,B13,'Bill Wise'!H:H,"31-60 Days")</f>
        <v>0</v>
      </c>
      <c r="H13" s="9">
        <f>SUMIFS('Bill Wise'!I:I,'Bill Wise'!C:C,B13,'Bill Wise'!H:H,"61-90 Days")</f>
        <v>0</v>
      </c>
      <c r="I13" s="9">
        <f>SUMIFS('Bill Wise'!I:I,'Bill Wise'!C:C,B13,'Bill Wise'!H:H,"91-120 Days")</f>
        <v>0</v>
      </c>
      <c r="J13" s="9">
        <f>SUMIFS('Bill Wise'!I:I,'Bill Wise'!C:C,B13,'Bill Wise'!H:H,"121-150 Days")</f>
        <v>0</v>
      </c>
      <c r="K13" s="9">
        <f>SUMIFS('Bill Wise'!I:I,'Bill Wise'!C:C,B13,'Bill Wise'!H:H,"151-180 Days")</f>
        <v>0</v>
      </c>
      <c r="L13" s="9">
        <f>SUMIFS('Bill Wise'!I:I,'Bill Wise'!C:C,B13,'Bill Wise'!H:H,"181-365 Days")</f>
        <v>0</v>
      </c>
      <c r="M13" s="9">
        <f>SUMIFS('Bill Wise'!I:I,'Bill Wise'!C:C,B13,'Bill Wise'!H:H,"Above 365 Days")</f>
        <v>731051</v>
      </c>
      <c r="N13" s="9">
        <f t="shared" si="1"/>
        <v>731051</v>
      </c>
      <c r="O13" s="9">
        <f t="shared" si="2"/>
        <v>0</v>
      </c>
    </row>
    <row r="14" spans="1:15" s="17" customFormat="1" x14ac:dyDescent="0.25">
      <c r="A14" s="7">
        <v>9</v>
      </c>
      <c r="B14" s="8" t="s">
        <v>143</v>
      </c>
      <c r="C14" s="8" t="s">
        <v>1018</v>
      </c>
      <c r="D14" s="8"/>
      <c r="E14" s="9">
        <f>IFERROR(SUMIFS(TB!C:C,TB!A:A,B14)-SUMIFS(TB!B:B,TB!A:A,B14),0)</f>
        <v>1612470</v>
      </c>
      <c r="F14" s="9">
        <f>SUMIFS('Bill Wise'!I:I,'Bill Wise'!C:C,B14,'Bill Wise'!H:H,"0-30 Days")</f>
        <v>0</v>
      </c>
      <c r="G14" s="9">
        <f>SUMIFS('Bill Wise'!I:I,'Bill Wise'!C:C,B14,'Bill Wise'!H:H,"31-60 Days")</f>
        <v>0</v>
      </c>
      <c r="H14" s="9">
        <f>SUMIFS('Bill Wise'!I:I,'Bill Wise'!C:C,B14,'Bill Wise'!H:H,"61-90 Days")</f>
        <v>212400</v>
      </c>
      <c r="I14" s="9">
        <f>SUMIFS('Bill Wise'!I:I,'Bill Wise'!C:C,B14,'Bill Wise'!H:H,"91-120 Days")</f>
        <v>637200</v>
      </c>
      <c r="J14" s="9">
        <f>SUMIFS('Bill Wise'!I:I,'Bill Wise'!C:C,B14,'Bill Wise'!H:H,"121-150 Days")</f>
        <v>366390</v>
      </c>
      <c r="K14" s="9">
        <f>SUMIFS('Bill Wise'!I:I,'Bill Wise'!C:C,B14,'Bill Wise'!H:H,"151-180 Days")</f>
        <v>0</v>
      </c>
      <c r="L14" s="9">
        <f>SUMIFS('Bill Wise'!I:I,'Bill Wise'!C:C,B14,'Bill Wise'!H:H,"181-365 Days")</f>
        <v>396480</v>
      </c>
      <c r="M14" s="9">
        <f>SUMIFS('Bill Wise'!I:I,'Bill Wise'!C:C,B14,'Bill Wise'!H:H,"Above 365 Days")</f>
        <v>0</v>
      </c>
      <c r="N14" s="9">
        <f t="shared" si="1"/>
        <v>1612470</v>
      </c>
      <c r="O14" s="9">
        <f t="shared" si="2"/>
        <v>0</v>
      </c>
    </row>
    <row r="15" spans="1:15" s="17" customFormat="1" x14ac:dyDescent="0.25">
      <c r="A15" s="7">
        <v>10</v>
      </c>
      <c r="B15" s="8" t="s">
        <v>144</v>
      </c>
      <c r="C15" s="8" t="s">
        <v>1018</v>
      </c>
      <c r="D15" s="8"/>
      <c r="E15" s="9">
        <f>IFERROR(SUMIFS(TB!C:C,TB!A:A,B15)-SUMIFS(TB!B:B,TB!A:A,B15),0)</f>
        <v>1675373.05</v>
      </c>
      <c r="F15" s="9">
        <f>SUMIFS('Bill Wise'!I:I,'Bill Wise'!C:C,B15,'Bill Wise'!H:H,"0-30 Days")</f>
        <v>52259.17</v>
      </c>
      <c r="G15" s="9">
        <f>SUMIFS('Bill Wise'!I:I,'Bill Wise'!C:C,B15,'Bill Wise'!H:H,"31-60 Days")</f>
        <v>1545263.38</v>
      </c>
      <c r="H15" s="9">
        <f>SUMIFS('Bill Wise'!I:I,'Bill Wise'!C:C,B15,'Bill Wise'!H:H,"61-90 Days")</f>
        <v>0</v>
      </c>
      <c r="I15" s="9">
        <f>SUMIFS('Bill Wise'!I:I,'Bill Wise'!C:C,B15,'Bill Wise'!H:H,"91-120 Days")</f>
        <v>0</v>
      </c>
      <c r="J15" s="9">
        <f>SUMIFS('Bill Wise'!I:I,'Bill Wise'!C:C,B15,'Bill Wise'!H:H,"121-150 Days")</f>
        <v>0</v>
      </c>
      <c r="K15" s="9">
        <f>SUMIFS('Bill Wise'!I:I,'Bill Wise'!C:C,B15,'Bill Wise'!H:H,"151-180 Days")</f>
        <v>0</v>
      </c>
      <c r="L15" s="9">
        <f>SUMIFS('Bill Wise'!I:I,'Bill Wise'!C:C,B15,'Bill Wise'!H:H,"181-365 Days")</f>
        <v>77850.5</v>
      </c>
      <c r="M15" s="9">
        <f>SUMIFS('Bill Wise'!I:I,'Bill Wise'!C:C,B15,'Bill Wise'!H:H,"Above 365 Days")</f>
        <v>0</v>
      </c>
      <c r="N15" s="9">
        <f t="shared" si="1"/>
        <v>1675373.0499999998</v>
      </c>
      <c r="O15" s="9">
        <f t="shared" si="2"/>
        <v>0</v>
      </c>
    </row>
    <row r="16" spans="1:15" s="17" customFormat="1" x14ac:dyDescent="0.25">
      <c r="A16" s="7">
        <v>11</v>
      </c>
      <c r="B16" s="8" t="s">
        <v>151</v>
      </c>
      <c r="C16" s="8" t="s">
        <v>1018</v>
      </c>
      <c r="D16" s="8"/>
      <c r="E16" s="9">
        <f>IFERROR(SUMIFS(TB!C:C,TB!A:A,B16)-SUMIFS(TB!B:B,TB!A:A,B16),0)</f>
        <v>5970378.4699999997</v>
      </c>
      <c r="F16" s="9">
        <f>SUMIFS('Bill Wise'!I:I,'Bill Wise'!C:C,B16,'Bill Wise'!H:H,"0-30 Days")</f>
        <v>1259087.76</v>
      </c>
      <c r="G16" s="9">
        <f>SUMIFS('Bill Wise'!I:I,'Bill Wise'!C:C,B16,'Bill Wise'!H:H,"31-60 Days")</f>
        <v>0</v>
      </c>
      <c r="H16" s="9">
        <f>SUMIFS('Bill Wise'!I:I,'Bill Wise'!C:C,B16,'Bill Wise'!H:H,"61-90 Days")</f>
        <v>317874.38</v>
      </c>
      <c r="I16" s="9">
        <f>SUMIFS('Bill Wise'!I:I,'Bill Wise'!C:C,B16,'Bill Wise'!H:H,"91-120 Days")</f>
        <v>542348.64</v>
      </c>
      <c r="J16" s="9">
        <f>SUMIFS('Bill Wise'!I:I,'Bill Wise'!C:C,B16,'Bill Wise'!H:H,"121-150 Days")</f>
        <v>690690</v>
      </c>
      <c r="K16" s="9">
        <f>SUMIFS('Bill Wise'!I:I,'Bill Wise'!C:C,B16,'Bill Wise'!H:H,"151-180 Days")</f>
        <v>486622.5</v>
      </c>
      <c r="L16" s="9">
        <f>SUMIFS('Bill Wise'!I:I,'Bill Wise'!C:C,B16,'Bill Wise'!H:H,"181-365 Days")</f>
        <v>2673755.1900000004</v>
      </c>
      <c r="M16" s="9">
        <f>SUMIFS('Bill Wise'!I:I,'Bill Wise'!C:C,B16,'Bill Wise'!H:H,"Above 365 Days")</f>
        <v>0</v>
      </c>
      <c r="N16" s="9">
        <f t="shared" si="1"/>
        <v>5970378.4700000007</v>
      </c>
      <c r="O16" s="9">
        <f t="shared" si="2"/>
        <v>0</v>
      </c>
    </row>
    <row r="17" spans="1:15" s="17" customFormat="1" x14ac:dyDescent="0.25">
      <c r="A17" s="7">
        <v>12</v>
      </c>
      <c r="B17" s="8" t="s">
        <v>186</v>
      </c>
      <c r="C17" s="8" t="s">
        <v>1018</v>
      </c>
      <c r="D17" s="8"/>
      <c r="E17" s="9">
        <f>IFERROR(SUMIFS(TB!C:C,TB!A:A,B17)-SUMIFS(TB!B:B,TB!A:A,B17),0)</f>
        <v>8743681.7799999993</v>
      </c>
      <c r="F17" s="9">
        <f>SUMIFS('Bill Wise'!I:I,'Bill Wise'!C:C,B17,'Bill Wise'!H:H,"0-30 Days")</f>
        <v>825920</v>
      </c>
      <c r="G17" s="9">
        <f>SUMIFS('Bill Wise'!I:I,'Bill Wise'!C:C,B17,'Bill Wise'!H:H,"31-60 Days")</f>
        <v>0</v>
      </c>
      <c r="H17" s="9">
        <f>SUMIFS('Bill Wise'!I:I,'Bill Wise'!C:C,B17,'Bill Wise'!H:H,"61-90 Days")</f>
        <v>412960</v>
      </c>
      <c r="I17" s="9">
        <f>SUMIFS('Bill Wise'!I:I,'Bill Wise'!C:C,B17,'Bill Wise'!H:H,"91-120 Days")</f>
        <v>412960</v>
      </c>
      <c r="J17" s="9">
        <f>SUMIFS('Bill Wise'!I:I,'Bill Wise'!C:C,B17,'Bill Wise'!H:H,"121-150 Days")</f>
        <v>825920</v>
      </c>
      <c r="K17" s="9">
        <f>SUMIFS('Bill Wise'!I:I,'Bill Wise'!C:C,B17,'Bill Wise'!H:H,"151-180 Days")</f>
        <v>0</v>
      </c>
      <c r="L17" s="9">
        <f>SUMIFS('Bill Wise'!I:I,'Bill Wise'!C:C,B17,'Bill Wise'!H:H,"181-365 Days")</f>
        <v>4736361.76</v>
      </c>
      <c r="M17" s="9">
        <f>SUMIFS('Bill Wise'!I:I,'Bill Wise'!C:C,B17,'Bill Wise'!H:H,"Above 365 Days")</f>
        <v>1529560.02</v>
      </c>
      <c r="N17" s="9">
        <f t="shared" si="1"/>
        <v>8743681.7799999993</v>
      </c>
      <c r="O17" s="9">
        <f t="shared" si="2"/>
        <v>0</v>
      </c>
    </row>
    <row r="18" spans="1:15" s="17" customFormat="1" x14ac:dyDescent="0.25">
      <c r="A18" s="7">
        <v>13</v>
      </c>
      <c r="B18" s="8" t="s">
        <v>122</v>
      </c>
      <c r="C18" s="8" t="s">
        <v>1018</v>
      </c>
      <c r="D18" s="8"/>
      <c r="E18" s="9">
        <f>IFERROR(SUMIFS(TB!C:C,TB!A:A,B18)-SUMIFS(TB!B:B,TB!A:A,B18),0)</f>
        <v>12579100.58</v>
      </c>
      <c r="F18" s="9">
        <f>SUMIFS('Bill Wise'!I:I,'Bill Wise'!C:C,B18,'Bill Wise'!H:H,"0-30 Days")</f>
        <v>0</v>
      </c>
      <c r="G18" s="9">
        <f>SUMIFS('Bill Wise'!I:I,'Bill Wise'!C:C,B18,'Bill Wise'!H:H,"31-60 Days")</f>
        <v>0</v>
      </c>
      <c r="H18" s="9">
        <f>SUMIFS('Bill Wise'!I:I,'Bill Wise'!C:C,B18,'Bill Wise'!H:H,"61-90 Days")</f>
        <v>0</v>
      </c>
      <c r="I18" s="9">
        <f>SUMIFS('Bill Wise'!I:I,'Bill Wise'!C:C,B18,'Bill Wise'!H:H,"91-120 Days")</f>
        <v>0</v>
      </c>
      <c r="J18" s="9">
        <f>SUMIFS('Bill Wise'!I:I,'Bill Wise'!C:C,B18,'Bill Wise'!H:H,"121-150 Days")</f>
        <v>0</v>
      </c>
      <c r="K18" s="9">
        <f>SUMIFS('Bill Wise'!I:I,'Bill Wise'!C:C,B18,'Bill Wise'!H:H,"151-180 Days")</f>
        <v>0</v>
      </c>
      <c r="L18" s="9">
        <f>SUMIFS('Bill Wise'!I:I,'Bill Wise'!C:C,B18,'Bill Wise'!H:H,"181-365 Days")</f>
        <v>0</v>
      </c>
      <c r="M18" s="9">
        <f>SUMIFS('Bill Wise'!I:I,'Bill Wise'!C:C,B18,'Bill Wise'!H:H,"Above 365 Days")</f>
        <v>12579100.579999998</v>
      </c>
      <c r="N18" s="9">
        <f t="shared" si="1"/>
        <v>12579100.579999998</v>
      </c>
      <c r="O18" s="9">
        <f t="shared" si="2"/>
        <v>0</v>
      </c>
    </row>
    <row r="19" spans="1:15" s="17" customFormat="1" x14ac:dyDescent="0.25">
      <c r="A19" s="7">
        <v>14</v>
      </c>
      <c r="B19" s="8" t="s">
        <v>71</v>
      </c>
      <c r="C19" s="8" t="s">
        <v>1018</v>
      </c>
      <c r="D19" s="8"/>
      <c r="E19" s="9">
        <f>IFERROR(SUMIFS(TB!C:C,TB!A:A,B19)-SUMIFS(TB!B:B,TB!A:A,B19),0)</f>
        <v>13769962.9</v>
      </c>
      <c r="F19" s="9">
        <f>SUMIFS('Bill Wise'!I:I,'Bill Wise'!C:C,B19,'Bill Wise'!H:H,"0-30 Days")</f>
        <v>3399769.1799999997</v>
      </c>
      <c r="G19" s="9">
        <f>SUMIFS('Bill Wise'!I:I,'Bill Wise'!C:C,B19,'Bill Wise'!H:H,"31-60 Days")</f>
        <v>0</v>
      </c>
      <c r="H19" s="9">
        <f>SUMIFS('Bill Wise'!I:I,'Bill Wise'!C:C,B19,'Bill Wise'!H:H,"61-90 Days")</f>
        <v>2400323.52</v>
      </c>
      <c r="I19" s="9">
        <f>SUMIFS('Bill Wise'!I:I,'Bill Wise'!C:C,B19,'Bill Wise'!H:H,"91-120 Days")</f>
        <v>2035328.3399999999</v>
      </c>
      <c r="J19" s="9">
        <f>SUMIFS('Bill Wise'!I:I,'Bill Wise'!C:C,B19,'Bill Wise'!H:H,"121-150 Days")</f>
        <v>4719879.18</v>
      </c>
      <c r="K19" s="9">
        <f>SUMIFS('Bill Wise'!I:I,'Bill Wise'!C:C,B19,'Bill Wise'!H:H,"151-180 Days")</f>
        <v>0</v>
      </c>
      <c r="L19" s="9">
        <f>SUMIFS('Bill Wise'!I:I,'Bill Wise'!C:C,B19,'Bill Wise'!H:H,"181-365 Days")</f>
        <v>1214662.68</v>
      </c>
      <c r="M19" s="9">
        <f>SUMIFS('Bill Wise'!I:I,'Bill Wise'!C:C,B19,'Bill Wise'!H:H,"Above 365 Days")</f>
        <v>0</v>
      </c>
      <c r="N19" s="9">
        <f t="shared" si="1"/>
        <v>13769962.899999999</v>
      </c>
      <c r="O19" s="9">
        <f t="shared" si="2"/>
        <v>0</v>
      </c>
    </row>
    <row r="20" spans="1:15" s="17" customFormat="1" x14ac:dyDescent="0.25">
      <c r="A20" s="7">
        <v>15</v>
      </c>
      <c r="B20" s="8" t="s">
        <v>146</v>
      </c>
      <c r="C20" s="8" t="s">
        <v>1018</v>
      </c>
      <c r="D20" s="8"/>
      <c r="E20" s="9">
        <f>IFERROR(SUMIFS(TB!C:C,TB!A:A,B20)-SUMIFS(TB!B:B,TB!A:A,B20),0)</f>
        <v>18600764.510000002</v>
      </c>
      <c r="F20" s="9">
        <f>SUMIFS('Bill Wise'!I:I,'Bill Wise'!C:C,B20,'Bill Wise'!H:H,"0-30 Days")</f>
        <v>514123.42000000004</v>
      </c>
      <c r="G20" s="9">
        <f>SUMIFS('Bill Wise'!I:I,'Bill Wise'!C:C,B20,'Bill Wise'!H:H,"31-60 Days")</f>
        <v>0</v>
      </c>
      <c r="H20" s="9">
        <f>SUMIFS('Bill Wise'!I:I,'Bill Wise'!C:C,B20,'Bill Wise'!H:H,"61-90 Days")</f>
        <v>0</v>
      </c>
      <c r="I20" s="9">
        <f>SUMIFS('Bill Wise'!I:I,'Bill Wise'!C:C,B20,'Bill Wise'!H:H,"91-120 Days")</f>
        <v>2550783</v>
      </c>
      <c r="J20" s="9">
        <f>SUMIFS('Bill Wise'!I:I,'Bill Wise'!C:C,B20,'Bill Wise'!H:H,"121-150 Days")</f>
        <v>1798200</v>
      </c>
      <c r="K20" s="9">
        <f>SUMIFS('Bill Wise'!I:I,'Bill Wise'!C:C,B20,'Bill Wise'!H:H,"151-180 Days")</f>
        <v>0</v>
      </c>
      <c r="L20" s="9">
        <f>SUMIFS('Bill Wise'!I:I,'Bill Wise'!C:C,B20,'Bill Wise'!H:H,"181-365 Days")</f>
        <v>11167161.789999999</v>
      </c>
      <c r="M20" s="9">
        <f>SUMIFS('Bill Wise'!I:I,'Bill Wise'!C:C,B20,'Bill Wise'!H:H,"Above 365 Days")</f>
        <v>2570496.2999999998</v>
      </c>
      <c r="N20" s="9">
        <f t="shared" si="1"/>
        <v>18600764.509999998</v>
      </c>
      <c r="O20" s="9">
        <f t="shared" si="2"/>
        <v>0</v>
      </c>
    </row>
    <row r="21" spans="1:15" s="17" customFormat="1" x14ac:dyDescent="0.25">
      <c r="A21" s="7">
        <v>16</v>
      </c>
      <c r="B21" s="8" t="s">
        <v>157</v>
      </c>
      <c r="C21" s="8" t="s">
        <v>1018</v>
      </c>
      <c r="D21" s="8"/>
      <c r="E21" s="9">
        <f>IFERROR(SUMIFS(TB!C:C,TB!A:A,B21)-SUMIFS(TB!B:B,TB!A:A,B21),0)</f>
        <v>28906795.059999999</v>
      </c>
      <c r="F21" s="9">
        <f>SUMIFS('Bill Wise'!I:I,'Bill Wise'!C:C,B21,'Bill Wise'!H:H,"0-30 Days")</f>
        <v>14511918.960000001</v>
      </c>
      <c r="G21" s="9">
        <f>SUMIFS('Bill Wise'!I:I,'Bill Wise'!C:C,B21,'Bill Wise'!H:H,"31-60 Days")</f>
        <v>0</v>
      </c>
      <c r="H21" s="9">
        <f>SUMIFS('Bill Wise'!I:I,'Bill Wise'!C:C,B21,'Bill Wise'!H:H,"61-90 Days")</f>
        <v>0</v>
      </c>
      <c r="I21" s="9">
        <f>SUMIFS('Bill Wise'!I:I,'Bill Wise'!C:C,B21,'Bill Wise'!H:H,"91-120 Days")</f>
        <v>3074000</v>
      </c>
      <c r="J21" s="9">
        <f>SUMIFS('Bill Wise'!I:I,'Bill Wise'!C:C,B21,'Bill Wise'!H:H,"121-150 Days")</f>
        <v>1537000</v>
      </c>
      <c r="K21" s="9">
        <f>SUMIFS('Bill Wise'!I:I,'Bill Wise'!C:C,B21,'Bill Wise'!H:H,"151-180 Days")</f>
        <v>375667.06000000006</v>
      </c>
      <c r="L21" s="9">
        <f>SUMIFS('Bill Wise'!I:I,'Bill Wise'!C:C,B21,'Bill Wise'!H:H,"181-365 Days")</f>
        <v>9408209.0399999991</v>
      </c>
      <c r="M21" s="9">
        <f>SUMIFS('Bill Wise'!I:I,'Bill Wise'!C:C,B21,'Bill Wise'!H:H,"Above 365 Days")</f>
        <v>0</v>
      </c>
      <c r="N21" s="9">
        <f t="shared" si="1"/>
        <v>28906795.059999999</v>
      </c>
      <c r="O21" s="9">
        <f t="shared" si="2"/>
        <v>0</v>
      </c>
    </row>
    <row r="22" spans="1:15" s="17" customFormat="1" x14ac:dyDescent="0.25">
      <c r="A22" s="7">
        <v>17</v>
      </c>
      <c r="B22" s="8" t="s">
        <v>147</v>
      </c>
      <c r="C22" s="8" t="s">
        <v>1018</v>
      </c>
      <c r="D22" s="8"/>
      <c r="E22" s="9">
        <f>IFERROR(SUMIFS(TB!C:C,TB!A:A,B22)-SUMIFS(TB!B:B,TB!A:A,B22),0)</f>
        <v>35275915.729999997</v>
      </c>
      <c r="F22" s="9">
        <f>SUMIFS('Bill Wise'!I:I,'Bill Wise'!C:C,B22,'Bill Wise'!H:H,"0-30 Days")</f>
        <v>3772858.26</v>
      </c>
      <c r="G22" s="9">
        <f>SUMIFS('Bill Wise'!I:I,'Bill Wise'!C:C,B22,'Bill Wise'!H:H,"31-60 Days")</f>
        <v>1184693.22</v>
      </c>
      <c r="H22" s="9">
        <f>SUMIFS('Bill Wise'!I:I,'Bill Wise'!C:C,B22,'Bill Wise'!H:H,"61-90 Days")</f>
        <v>492909.6</v>
      </c>
      <c r="I22" s="9">
        <f>SUMIFS('Bill Wise'!I:I,'Bill Wise'!C:C,B22,'Bill Wise'!H:H,"91-120 Days")</f>
        <v>19935746.27</v>
      </c>
      <c r="J22" s="9">
        <f>SUMIFS('Bill Wise'!I:I,'Bill Wise'!C:C,B22,'Bill Wise'!H:H,"121-150 Days")</f>
        <v>1410688.7999999998</v>
      </c>
      <c r="K22" s="9">
        <f>SUMIFS('Bill Wise'!I:I,'Bill Wise'!C:C,B22,'Bill Wise'!H:H,"151-180 Days")</f>
        <v>0</v>
      </c>
      <c r="L22" s="9">
        <f>SUMIFS('Bill Wise'!I:I,'Bill Wise'!C:C,B22,'Bill Wise'!H:H,"181-365 Days")</f>
        <v>8479019.5800000001</v>
      </c>
      <c r="M22" s="9">
        <f>SUMIFS('Bill Wise'!I:I,'Bill Wise'!C:C,B22,'Bill Wise'!H:H,"Above 365 Days")</f>
        <v>0</v>
      </c>
      <c r="N22" s="9">
        <f t="shared" si="1"/>
        <v>35275915.729999997</v>
      </c>
      <c r="O22" s="9">
        <f t="shared" si="2"/>
        <v>0</v>
      </c>
    </row>
    <row r="23" spans="1:15" s="17" customFormat="1" x14ac:dyDescent="0.25">
      <c r="A23" s="7"/>
      <c r="B23" s="8"/>
      <c r="C23" s="8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s="17" customFormat="1" x14ac:dyDescent="0.25">
      <c r="A24" s="7"/>
      <c r="B24" s="8"/>
      <c r="C24" s="8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10"/>
      <c r="B25" s="11" t="s">
        <v>218</v>
      </c>
      <c r="C25" s="10"/>
      <c r="D25" s="10"/>
      <c r="E25" s="12">
        <f>SUM(E4:E24)</f>
        <v>130601798.57999998</v>
      </c>
      <c r="F25" s="12">
        <f t="shared" ref="F25:O25" si="3">SUM(F4:F24)</f>
        <v>24335936.75</v>
      </c>
      <c r="G25" s="12">
        <f t="shared" si="3"/>
        <v>2729956.5999999996</v>
      </c>
      <c r="H25" s="12">
        <f t="shared" si="3"/>
        <v>3836467.5</v>
      </c>
      <c r="I25" s="12">
        <f t="shared" si="3"/>
        <v>29521126.25</v>
      </c>
      <c r="J25" s="12">
        <f t="shared" si="3"/>
        <v>11584567.98</v>
      </c>
      <c r="K25" s="12">
        <f t="shared" si="3"/>
        <v>862289.56</v>
      </c>
      <c r="L25" s="12">
        <f t="shared" si="3"/>
        <v>39612486.140000001</v>
      </c>
      <c r="M25" s="12">
        <f t="shared" si="3"/>
        <v>18118967.799999997</v>
      </c>
      <c r="N25" s="12">
        <f t="shared" si="3"/>
        <v>130601798.57999998</v>
      </c>
      <c r="O25" s="12">
        <f t="shared" si="3"/>
        <v>0</v>
      </c>
    </row>
  </sheetData>
  <autoFilter ref="A4:O25"/>
  <mergeCells count="2">
    <mergeCell ref="A2:O2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TB</vt:lpstr>
      <vt:lpstr>Bill Wise</vt:lpstr>
      <vt:lpstr>Only Creditors</vt:lpstr>
      <vt:lpstr>Advances</vt:lpstr>
      <vt:lpstr>Intercompany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Desai</cp:lastModifiedBy>
  <dcterms:created xsi:type="dcterms:W3CDTF">2026-06-16T11:32:36Z</dcterms:created>
  <dcterms:modified xsi:type="dcterms:W3CDTF">2026-07-20T12:15:21Z</dcterms:modified>
</cp:coreProperties>
</file>