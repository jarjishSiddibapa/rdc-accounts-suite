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730"/>
  </bookViews>
  <sheets>
    <sheet name="TB" sheetId="6" r:id="rId1"/>
    <sheet name="Bill Wise" sheetId="5" r:id="rId2"/>
    <sheet name="Only Creditors" sheetId="1" r:id="rId3"/>
    <sheet name="Advances" sheetId="2" r:id="rId4"/>
    <sheet name="Sheet1" sheetId="9" state="hidden" r:id="rId5"/>
    <sheet name="Intercompany" sheetId="3" r:id="rId6"/>
    <sheet name="Review" sheetId="4" state="hidden" r:id="rId7"/>
    <sheet name="Payments" sheetId="8" r:id="rId8"/>
  </sheets>
  <externalReferences>
    <externalReference r:id="rId9"/>
  </externalReferences>
  <definedNames>
    <definedName name="_xlnm._FilterDatabase" localSheetId="3" hidden="1">Advances!$A$4:$R$54</definedName>
    <definedName name="_xlnm._FilterDatabase" localSheetId="2" hidden="1">'Only Creditors'!$A$4:$S$181</definedName>
    <definedName name="_xlnm._FilterDatabase" localSheetId="7" hidden="1">Payments!$B$3:$I$130</definedName>
    <definedName name="_xlnm._FilterDatabase" localSheetId="0" hidden="1">TB!$A$10:$C$256</definedName>
  </definedName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" i="9" l="1"/>
  <c r="L8" i="9"/>
  <c r="K8" i="9"/>
  <c r="J8" i="9"/>
  <c r="I8" i="9"/>
  <c r="H8" i="9"/>
  <c r="G8" i="9"/>
  <c r="F8" i="9"/>
  <c r="E8" i="9"/>
  <c r="D8" i="9"/>
  <c r="F5" i="1" l="1"/>
  <c r="F28" i="1"/>
  <c r="F173" i="1"/>
  <c r="F18" i="1"/>
  <c r="F6" i="1"/>
  <c r="F22" i="1"/>
  <c r="F34" i="1"/>
  <c r="F70" i="1"/>
  <c r="F23" i="1"/>
  <c r="F74" i="1"/>
  <c r="F120" i="1"/>
  <c r="F121" i="1"/>
  <c r="F131" i="1"/>
  <c r="F73" i="1"/>
  <c r="F58" i="1"/>
  <c r="F112" i="1"/>
  <c r="F8" i="1"/>
  <c r="F31" i="1"/>
  <c r="F20" i="1"/>
  <c r="F13" i="1"/>
  <c r="F72" i="1"/>
  <c r="F109" i="1"/>
  <c r="F51" i="1"/>
  <c r="F43" i="1"/>
  <c r="F92" i="1"/>
  <c r="F163" i="1"/>
  <c r="F14" i="1"/>
  <c r="F145" i="1"/>
  <c r="F46" i="1"/>
  <c r="F134" i="1"/>
  <c r="F138" i="1"/>
  <c r="F56" i="1"/>
  <c r="F160" i="1"/>
  <c r="F55" i="1"/>
  <c r="F155" i="1"/>
  <c r="F127" i="1"/>
  <c r="F133" i="1"/>
  <c r="F123" i="1"/>
  <c r="F44" i="1"/>
  <c r="F116" i="1"/>
  <c r="F164" i="1"/>
  <c r="F29" i="1"/>
  <c r="F66" i="1"/>
  <c r="F75" i="1"/>
  <c r="F16" i="1"/>
  <c r="F111" i="1"/>
  <c r="F119" i="1"/>
  <c r="F82" i="1"/>
  <c r="F107" i="1"/>
  <c r="F64" i="1"/>
  <c r="F103" i="1"/>
  <c r="F84" i="1"/>
  <c r="F181" i="1"/>
  <c r="F101" i="1"/>
  <c r="F128" i="1"/>
  <c r="F130" i="1"/>
  <c r="F94" i="1"/>
  <c r="F149" i="1"/>
  <c r="F27" i="1"/>
  <c r="F150" i="1"/>
  <c r="F141" i="1"/>
  <c r="F90" i="1"/>
  <c r="F132" i="1"/>
  <c r="F77" i="1"/>
  <c r="F175" i="1"/>
  <c r="F122" i="1"/>
  <c r="F49" i="1"/>
  <c r="F180" i="1"/>
  <c r="F26" i="1"/>
  <c r="F102" i="1"/>
  <c r="F7" i="1"/>
  <c r="F93" i="1"/>
  <c r="F178" i="1"/>
  <c r="F151" i="1"/>
  <c r="F159" i="1"/>
  <c r="F115" i="1"/>
  <c r="F53" i="1"/>
  <c r="F124" i="1"/>
  <c r="F97" i="1"/>
  <c r="F147" i="1"/>
  <c r="F89" i="1"/>
  <c r="F108" i="1"/>
  <c r="F117" i="1"/>
  <c r="F139" i="1"/>
  <c r="F166" i="1"/>
  <c r="F100" i="1"/>
  <c r="F96" i="1"/>
  <c r="F174" i="1"/>
  <c r="F47" i="1"/>
  <c r="F83" i="1"/>
  <c r="F162" i="1"/>
  <c r="F11" i="1"/>
  <c r="F91" i="1"/>
  <c r="F176" i="1"/>
  <c r="F110" i="1"/>
  <c r="F60" i="1"/>
  <c r="F171" i="1"/>
  <c r="F137" i="1"/>
  <c r="F113" i="1"/>
  <c r="F140" i="1"/>
  <c r="F24" i="1"/>
  <c r="F71" i="1"/>
  <c r="F88" i="1"/>
  <c r="F106" i="1"/>
  <c r="F87" i="1"/>
  <c r="F65" i="1"/>
  <c r="F59" i="1"/>
  <c r="F136" i="1"/>
  <c r="F170" i="1"/>
  <c r="F172" i="1"/>
  <c r="F57" i="1"/>
  <c r="F76" i="1"/>
  <c r="F129" i="1"/>
  <c r="F62" i="1"/>
  <c r="F105" i="1"/>
  <c r="F146" i="1"/>
  <c r="F167" i="1"/>
  <c r="F35" i="1"/>
  <c r="F36" i="1"/>
  <c r="F86" i="1"/>
  <c r="F21" i="1"/>
  <c r="F168" i="1"/>
  <c r="F142" i="1"/>
  <c r="F12" i="1"/>
  <c r="F3" i="1" s="1"/>
  <c r="F19" i="1"/>
  <c r="F10" i="1"/>
  <c r="F135" i="1"/>
  <c r="R3" i="2"/>
  <c r="Q3" i="2"/>
  <c r="P3" i="2"/>
  <c r="O3" i="2"/>
  <c r="N3" i="2"/>
  <c r="M3" i="2"/>
  <c r="L3" i="2"/>
  <c r="K3" i="2"/>
  <c r="J3" i="2"/>
  <c r="I3" i="2"/>
  <c r="G52" i="2"/>
  <c r="H56" i="2"/>
  <c r="H3" i="2" l="1"/>
  <c r="D101" i="8" l="1"/>
  <c r="D100" i="8"/>
  <c r="D99" i="8"/>
  <c r="D98" i="8"/>
  <c r="D96" i="8"/>
  <c r="D95" i="8"/>
  <c r="D94" i="8"/>
  <c r="D93" i="8"/>
  <c r="D92" i="8"/>
  <c r="D91" i="8"/>
  <c r="D90" i="8"/>
  <c r="D89" i="8"/>
  <c r="D88" i="8"/>
  <c r="D87" i="8"/>
  <c r="D86" i="8"/>
  <c r="D85" i="8"/>
  <c r="D83" i="8"/>
  <c r="D82" i="8"/>
  <c r="D81" i="8"/>
  <c r="D80" i="8"/>
  <c r="E2" i="8"/>
  <c r="H9" i="1" l="1"/>
  <c r="G9" i="1" s="1"/>
  <c r="H23" i="1"/>
  <c r="G23" i="1" s="1"/>
  <c r="H7" i="1"/>
  <c r="G7" i="1" s="1"/>
  <c r="H6" i="1"/>
  <c r="G6" i="1" s="1"/>
  <c r="H5" i="1"/>
  <c r="G5" i="1" s="1"/>
  <c r="H181" i="1"/>
  <c r="G181" i="1" s="1"/>
  <c r="H177" i="1"/>
  <c r="G177" i="1" s="1"/>
  <c r="H173" i="1"/>
  <c r="G173" i="1" s="1"/>
  <c r="H169" i="1"/>
  <c r="G169" i="1" s="1"/>
  <c r="H165" i="1"/>
  <c r="G165" i="1" s="1"/>
  <c r="H161" i="1"/>
  <c r="G161" i="1" s="1"/>
  <c r="H157" i="1"/>
  <c r="G157" i="1" s="1"/>
  <c r="H153" i="1"/>
  <c r="G153" i="1" s="1"/>
  <c r="H149" i="1"/>
  <c r="G149" i="1" s="1"/>
  <c r="H145" i="1"/>
  <c r="G145" i="1" s="1"/>
  <c r="H141" i="1"/>
  <c r="G141" i="1" s="1"/>
  <c r="H137" i="1"/>
  <c r="G137" i="1" s="1"/>
  <c r="H133" i="1"/>
  <c r="G133" i="1" s="1"/>
  <c r="H129" i="1"/>
  <c r="G129" i="1" s="1"/>
  <c r="H125" i="1"/>
  <c r="G125" i="1" s="1"/>
  <c r="H121" i="1"/>
  <c r="G121" i="1" s="1"/>
  <c r="H117" i="1"/>
  <c r="G117" i="1" s="1"/>
  <c r="H113" i="1"/>
  <c r="G113" i="1" s="1"/>
  <c r="H109" i="1"/>
  <c r="G109" i="1" s="1"/>
  <c r="H105" i="1"/>
  <c r="G105" i="1" s="1"/>
  <c r="H101" i="1"/>
  <c r="G101" i="1" s="1"/>
  <c r="H97" i="1"/>
  <c r="G97" i="1" s="1"/>
  <c r="H93" i="1"/>
  <c r="G93" i="1" s="1"/>
  <c r="H89" i="1"/>
  <c r="G89" i="1" s="1"/>
  <c r="H180" i="1"/>
  <c r="G180" i="1" s="1"/>
  <c r="H176" i="1"/>
  <c r="G176" i="1" s="1"/>
  <c r="H172" i="1"/>
  <c r="G172" i="1" s="1"/>
  <c r="H168" i="1"/>
  <c r="G168" i="1" s="1"/>
  <c r="H164" i="1"/>
  <c r="G164" i="1" s="1"/>
  <c r="H160" i="1"/>
  <c r="G160" i="1" s="1"/>
  <c r="H156" i="1"/>
  <c r="G156" i="1" s="1"/>
  <c r="H152" i="1"/>
  <c r="G152" i="1" s="1"/>
  <c r="H148" i="1"/>
  <c r="G148" i="1" s="1"/>
  <c r="H144" i="1"/>
  <c r="G144" i="1" s="1"/>
  <c r="H140" i="1"/>
  <c r="G140" i="1" s="1"/>
  <c r="H136" i="1"/>
  <c r="G136" i="1" s="1"/>
  <c r="H132" i="1"/>
  <c r="G132" i="1" s="1"/>
  <c r="H128" i="1"/>
  <c r="G128" i="1" s="1"/>
  <c r="H124" i="1"/>
  <c r="G124" i="1" s="1"/>
  <c r="H120" i="1"/>
  <c r="G120" i="1" s="1"/>
  <c r="H116" i="1"/>
  <c r="G116" i="1" s="1"/>
  <c r="H112" i="1"/>
  <c r="G112" i="1" s="1"/>
  <c r="H108" i="1"/>
  <c r="G108" i="1" s="1"/>
  <c r="H104" i="1"/>
  <c r="G104" i="1" s="1"/>
  <c r="H100" i="1"/>
  <c r="G100" i="1" s="1"/>
  <c r="H96" i="1"/>
  <c r="G96" i="1" s="1"/>
  <c r="H92" i="1"/>
  <c r="G92" i="1" s="1"/>
  <c r="H179" i="1"/>
  <c r="G179" i="1" s="1"/>
  <c r="H175" i="1"/>
  <c r="G175" i="1" s="1"/>
  <c r="H171" i="1"/>
  <c r="G171" i="1" s="1"/>
  <c r="H167" i="1"/>
  <c r="G167" i="1" s="1"/>
  <c r="H163" i="1"/>
  <c r="G163" i="1" s="1"/>
  <c r="H159" i="1"/>
  <c r="G159" i="1" s="1"/>
  <c r="H155" i="1"/>
  <c r="G155" i="1" s="1"/>
  <c r="H151" i="1"/>
  <c r="G151" i="1" s="1"/>
  <c r="H147" i="1"/>
  <c r="G147" i="1" s="1"/>
  <c r="H143" i="1"/>
  <c r="G143" i="1" s="1"/>
  <c r="H139" i="1"/>
  <c r="G139" i="1" s="1"/>
  <c r="H135" i="1"/>
  <c r="G135" i="1" s="1"/>
  <c r="H131" i="1"/>
  <c r="G131" i="1" s="1"/>
  <c r="H127" i="1"/>
  <c r="G127" i="1" s="1"/>
  <c r="H123" i="1"/>
  <c r="G123" i="1" s="1"/>
  <c r="H119" i="1"/>
  <c r="G119" i="1" s="1"/>
  <c r="H115" i="1"/>
  <c r="G115" i="1" s="1"/>
  <c r="H111" i="1"/>
  <c r="G111" i="1" s="1"/>
  <c r="H107" i="1"/>
  <c r="G107" i="1" s="1"/>
  <c r="H103" i="1"/>
  <c r="G103" i="1" s="1"/>
  <c r="H99" i="1"/>
  <c r="G99" i="1" s="1"/>
  <c r="H95" i="1"/>
  <c r="G95" i="1" s="1"/>
  <c r="H91" i="1"/>
  <c r="G91" i="1" s="1"/>
  <c r="H87" i="1"/>
  <c r="G87" i="1" s="1"/>
  <c r="H178" i="1"/>
  <c r="G178" i="1" s="1"/>
  <c r="H174" i="1"/>
  <c r="G174" i="1" s="1"/>
  <c r="H170" i="1"/>
  <c r="G170" i="1" s="1"/>
  <c r="H166" i="1"/>
  <c r="G166" i="1" s="1"/>
  <c r="H162" i="1"/>
  <c r="G162" i="1" s="1"/>
  <c r="H158" i="1"/>
  <c r="G158" i="1" s="1"/>
  <c r="H154" i="1"/>
  <c r="G154" i="1" s="1"/>
  <c r="H150" i="1"/>
  <c r="G150" i="1" s="1"/>
  <c r="H146" i="1"/>
  <c r="G146" i="1" s="1"/>
  <c r="H142" i="1"/>
  <c r="G142" i="1" s="1"/>
  <c r="H138" i="1"/>
  <c r="G138" i="1" s="1"/>
  <c r="H134" i="1"/>
  <c r="G134" i="1" s="1"/>
  <c r="H130" i="1"/>
  <c r="G130" i="1" s="1"/>
  <c r="H126" i="1"/>
  <c r="G126" i="1" s="1"/>
  <c r="H122" i="1"/>
  <c r="G122" i="1" s="1"/>
  <c r="H118" i="1"/>
  <c r="G118" i="1" s="1"/>
  <c r="H114" i="1"/>
  <c r="G114" i="1" s="1"/>
  <c r="H110" i="1"/>
  <c r="G110" i="1" s="1"/>
  <c r="H106" i="1"/>
  <c r="G106" i="1" s="1"/>
  <c r="H102" i="1"/>
  <c r="G102" i="1" s="1"/>
  <c r="H98" i="1"/>
  <c r="G98" i="1" s="1"/>
  <c r="H94" i="1"/>
  <c r="G94" i="1" s="1"/>
  <c r="H90" i="1"/>
  <c r="G90" i="1" s="1"/>
  <c r="H88" i="1"/>
  <c r="G88" i="1" s="1"/>
  <c r="H86" i="1"/>
  <c r="G86" i="1" s="1"/>
  <c r="H82" i="1"/>
  <c r="G82" i="1" s="1"/>
  <c r="H78" i="1"/>
  <c r="G78" i="1" s="1"/>
  <c r="H74" i="1"/>
  <c r="G74" i="1" s="1"/>
  <c r="H70" i="1"/>
  <c r="G70" i="1" s="1"/>
  <c r="H66" i="1"/>
  <c r="G66" i="1" s="1"/>
  <c r="H62" i="1"/>
  <c r="G62" i="1" s="1"/>
  <c r="H58" i="1"/>
  <c r="G58" i="1" s="1"/>
  <c r="H54" i="1"/>
  <c r="G54" i="1" s="1"/>
  <c r="H50" i="1"/>
  <c r="G50" i="1" s="1"/>
  <c r="H46" i="1"/>
  <c r="G46" i="1" s="1"/>
  <c r="H42" i="1"/>
  <c r="G42" i="1" s="1"/>
  <c r="H38" i="1"/>
  <c r="G38" i="1" s="1"/>
  <c r="H34" i="1"/>
  <c r="G34" i="1" s="1"/>
  <c r="H30" i="1"/>
  <c r="G30" i="1" s="1"/>
  <c r="H26" i="1"/>
  <c r="G26" i="1" s="1"/>
  <c r="H22" i="1"/>
  <c r="G22" i="1" s="1"/>
  <c r="H18" i="1"/>
  <c r="G18" i="1" s="1"/>
  <c r="H14" i="1"/>
  <c r="G14" i="1" s="1"/>
  <c r="H12" i="1"/>
  <c r="H85" i="1"/>
  <c r="G85" i="1" s="1"/>
  <c r="H81" i="1"/>
  <c r="G81" i="1" s="1"/>
  <c r="H77" i="1"/>
  <c r="G77" i="1" s="1"/>
  <c r="H73" i="1"/>
  <c r="G73" i="1" s="1"/>
  <c r="H69" i="1"/>
  <c r="G69" i="1" s="1"/>
  <c r="H65" i="1"/>
  <c r="G65" i="1" s="1"/>
  <c r="H61" i="1"/>
  <c r="G61" i="1" s="1"/>
  <c r="H57" i="1"/>
  <c r="G57" i="1" s="1"/>
  <c r="H53" i="1"/>
  <c r="G53" i="1" s="1"/>
  <c r="H49" i="1"/>
  <c r="G49" i="1" s="1"/>
  <c r="H45" i="1"/>
  <c r="G45" i="1" s="1"/>
  <c r="H41" i="1"/>
  <c r="G41" i="1" s="1"/>
  <c r="H37" i="1"/>
  <c r="G37" i="1" s="1"/>
  <c r="H33" i="1"/>
  <c r="G33" i="1" s="1"/>
  <c r="H29" i="1"/>
  <c r="G29" i="1" s="1"/>
  <c r="H25" i="1"/>
  <c r="G25" i="1" s="1"/>
  <c r="H21" i="1"/>
  <c r="G21" i="1" s="1"/>
  <c r="H17" i="1"/>
  <c r="G17" i="1" s="1"/>
  <c r="H13" i="1"/>
  <c r="G13" i="1" s="1"/>
  <c r="H84" i="1"/>
  <c r="G84" i="1" s="1"/>
  <c r="H80" i="1"/>
  <c r="G80" i="1" s="1"/>
  <c r="H76" i="1"/>
  <c r="G76" i="1" s="1"/>
  <c r="H72" i="1"/>
  <c r="G72" i="1" s="1"/>
  <c r="H68" i="1"/>
  <c r="G68" i="1" s="1"/>
  <c r="H64" i="1"/>
  <c r="G64" i="1" s="1"/>
  <c r="H60" i="1"/>
  <c r="G60" i="1" s="1"/>
  <c r="H56" i="1"/>
  <c r="G56" i="1" s="1"/>
  <c r="H52" i="1"/>
  <c r="G52" i="1" s="1"/>
  <c r="H48" i="1"/>
  <c r="G48" i="1" s="1"/>
  <c r="H44" i="1"/>
  <c r="G44" i="1" s="1"/>
  <c r="H40" i="1"/>
  <c r="G40" i="1" s="1"/>
  <c r="H36" i="1"/>
  <c r="G36" i="1" s="1"/>
  <c r="H32" i="1"/>
  <c r="G32" i="1" s="1"/>
  <c r="H28" i="1"/>
  <c r="G28" i="1" s="1"/>
  <c r="H24" i="1"/>
  <c r="G24" i="1" s="1"/>
  <c r="H20" i="1"/>
  <c r="G20" i="1" s="1"/>
  <c r="H16" i="1"/>
  <c r="G16" i="1" s="1"/>
  <c r="H83" i="1"/>
  <c r="G83" i="1" s="1"/>
  <c r="H79" i="1"/>
  <c r="G79" i="1" s="1"/>
  <c r="H75" i="1"/>
  <c r="G75" i="1" s="1"/>
  <c r="H71" i="1"/>
  <c r="G71" i="1" s="1"/>
  <c r="H67" i="1"/>
  <c r="G67" i="1" s="1"/>
  <c r="H63" i="1"/>
  <c r="G63" i="1" s="1"/>
  <c r="H59" i="1"/>
  <c r="G59" i="1" s="1"/>
  <c r="H55" i="1"/>
  <c r="G55" i="1" s="1"/>
  <c r="H51" i="1"/>
  <c r="G51" i="1" s="1"/>
  <c r="H47" i="1"/>
  <c r="G47" i="1" s="1"/>
  <c r="H43" i="1"/>
  <c r="G43" i="1" s="1"/>
  <c r="H39" i="1"/>
  <c r="G39" i="1" s="1"/>
  <c r="H35" i="1"/>
  <c r="G35" i="1" s="1"/>
  <c r="H31" i="1"/>
  <c r="G31" i="1" s="1"/>
  <c r="H27" i="1"/>
  <c r="G27" i="1" s="1"/>
  <c r="H19" i="1"/>
  <c r="G19" i="1" s="1"/>
  <c r="H15" i="1"/>
  <c r="G15" i="1" s="1"/>
  <c r="H11" i="1"/>
  <c r="G11" i="1" s="1"/>
  <c r="H10" i="1"/>
  <c r="G10" i="1" s="1"/>
  <c r="H8" i="1"/>
  <c r="G8" i="1" s="1"/>
  <c r="C9" i="6"/>
  <c r="B9" i="6"/>
  <c r="G12" i="1" l="1"/>
  <c r="G3" i="1" s="1"/>
  <c r="H3" i="1"/>
  <c r="O23" i="3"/>
  <c r="N23" i="3"/>
  <c r="M23" i="3"/>
  <c r="L23" i="3"/>
  <c r="K23" i="3"/>
  <c r="J23" i="3"/>
  <c r="I23" i="3"/>
  <c r="H23" i="3"/>
  <c r="G23" i="3"/>
  <c r="F23" i="3"/>
  <c r="E23" i="3"/>
  <c r="O3" i="3"/>
  <c r="N3" i="3"/>
  <c r="M3" i="3"/>
  <c r="L3" i="3"/>
  <c r="K3" i="3"/>
  <c r="J3" i="3"/>
  <c r="I3" i="3"/>
  <c r="H3" i="3"/>
  <c r="G3" i="3"/>
  <c r="F3" i="3"/>
  <c r="E3" i="3"/>
  <c r="R56" i="2"/>
  <c r="Q56" i="2"/>
  <c r="P56" i="2"/>
  <c r="O56" i="2"/>
  <c r="N56" i="2"/>
  <c r="M56" i="2"/>
  <c r="L56" i="2"/>
  <c r="K56" i="2"/>
  <c r="J56" i="2"/>
  <c r="I56" i="2"/>
  <c r="S183" i="1"/>
  <c r="R183" i="1"/>
  <c r="Q183" i="1"/>
  <c r="P183" i="1"/>
  <c r="O183" i="1"/>
  <c r="N183" i="1"/>
  <c r="M183" i="1"/>
  <c r="L183" i="1"/>
  <c r="K183" i="1"/>
  <c r="J183" i="1"/>
  <c r="I183" i="1"/>
  <c r="S3" i="1"/>
  <c r="R3" i="1"/>
  <c r="Q3" i="1"/>
  <c r="P3" i="1"/>
  <c r="O3" i="1"/>
  <c r="N3" i="1"/>
  <c r="M3" i="1"/>
  <c r="L3" i="1"/>
  <c r="K3" i="1"/>
  <c r="J3" i="1"/>
  <c r="I3" i="1"/>
</calcChain>
</file>

<file path=xl/sharedStrings.xml><?xml version="1.0" encoding="utf-8"?>
<sst xmlns="http://schemas.openxmlformats.org/spreadsheetml/2006/main" count="7869" uniqueCount="2050">
  <si>
    <t>Ultrafine Mineral &amp; Admixtures Pvt. Ltd.</t>
  </si>
  <si>
    <t>Creditors Ageing Report | As at 31-July-2026</t>
  </si>
  <si>
    <t>SUBTOTAL</t>
  </si>
  <si>
    <t>#</t>
  </si>
  <si>
    <t>Vendor Name</t>
  </si>
  <si>
    <t>Location</t>
  </si>
  <si>
    <t>Vendor Type</t>
  </si>
  <si>
    <t>Vendor Sub Type</t>
  </si>
  <si>
    <t>TB Balance (Cr)</t>
  </si>
  <si>
    <t>0-30 Days</t>
  </si>
  <si>
    <t>31-60 Days</t>
  </si>
  <si>
    <t>61-90 Days</t>
  </si>
  <si>
    <t>91-120 Days</t>
  </si>
  <si>
    <t>121-150 Days</t>
  </si>
  <si>
    <t>151-180 Days</t>
  </si>
  <si>
    <t>181-365 Days</t>
  </si>
  <si>
    <t>Above 365 Days</t>
  </si>
  <si>
    <t>BW Total</t>
  </si>
  <si>
    <t>Diff (TB-BW)</t>
  </si>
  <si>
    <t>A. Abdul Hameed - Crs</t>
  </si>
  <si>
    <t>Goa</t>
  </si>
  <si>
    <t>Expenses</t>
  </si>
  <si>
    <t>Professional Fees</t>
  </si>
  <si>
    <t>ADHUNIK TRASNPORT ORGANISATION LIMITED - Crs</t>
  </si>
  <si>
    <t>Galsi</t>
  </si>
  <si>
    <t>Transportation</t>
  </si>
  <si>
    <t>Transport</t>
  </si>
  <si>
    <t>ADVITA POLYCRAFT LLP - Crs</t>
  </si>
  <si>
    <t>Wada</t>
  </si>
  <si>
    <t>Store and spare</t>
  </si>
  <si>
    <t>AI INDUSTRIAL SOLUTIONS-Crs</t>
  </si>
  <si>
    <t>AIRMAX AUTOMATION - CRS</t>
  </si>
  <si>
    <t>AMBUJA CEMENTS LIMITED -Crs</t>
  </si>
  <si>
    <t>flyash</t>
  </si>
  <si>
    <t>Trading</t>
  </si>
  <si>
    <t>Flyash</t>
  </si>
  <si>
    <t>ARKAY LOGISTICS-Crs</t>
  </si>
  <si>
    <t>ASHCONNECT GLOBAL TRADING Pvt Ltd- Crs</t>
  </si>
  <si>
    <t>AVENGERS SECURITY SERVICES-CR</t>
  </si>
  <si>
    <t>Nellore</t>
  </si>
  <si>
    <t>Security charges</t>
  </si>
  <si>
    <t>Aadhya Shakti Enterprise-Crs</t>
  </si>
  <si>
    <t>Gujarat</t>
  </si>
  <si>
    <t>REVIEW REQUIRED</t>
  </si>
  <si>
    <t>Agile Innotech - Crs</t>
  </si>
  <si>
    <t>Aggregate</t>
  </si>
  <si>
    <t>Office Exps</t>
  </si>
  <si>
    <t>Akash Body Bildders-CRS</t>
  </si>
  <si>
    <t>Arya CS - Crs</t>
  </si>
  <si>
    <t>Nagpur</t>
  </si>
  <si>
    <t>Ashish Kumar (Patna) - Employee</t>
  </si>
  <si>
    <t>Patna</t>
  </si>
  <si>
    <t>Employee</t>
  </si>
  <si>
    <t>Asl Logistics Private Limited-Crs</t>
  </si>
  <si>
    <t>B Stone Product - Crs</t>
  </si>
  <si>
    <t>Raw Material</t>
  </si>
  <si>
    <t>BAHUBALI CHEMICAL INDUSTRIES-CRS</t>
  </si>
  <si>
    <t>Bangalore</t>
  </si>
  <si>
    <t>Microsilica</t>
  </si>
  <si>
    <t>BGR Constructions - Crs</t>
  </si>
  <si>
    <t>BHARTIBEN SATISHBHAI PATEL-CR</t>
  </si>
  <si>
    <t>Guest House Rent</t>
  </si>
  <si>
    <t>BHUMAN ENTERPRISE-Crs</t>
  </si>
  <si>
    <t>BISWAJIT RUI DAS - Crs</t>
  </si>
  <si>
    <t>BN Trading and Transport Company-Cr</t>
  </si>
  <si>
    <t>Balram Kumar Chakrawarti - Employee</t>
  </si>
  <si>
    <t>Vizag</t>
  </si>
  <si>
    <t>Best Electro Mech-Crs</t>
  </si>
  <si>
    <t>Bhamra Transport - Crs</t>
  </si>
  <si>
    <t>Bhandari Automobiles Pvt Ltd - Crs</t>
  </si>
  <si>
    <t>Vehicle Exps</t>
  </si>
  <si>
    <t>Bharat Engineering - Crs</t>
  </si>
  <si>
    <t>Bharti Airtel Limited - Crs</t>
  </si>
  <si>
    <t>Bipin Jadhav Guest House - Crs</t>
  </si>
  <si>
    <t>CB SURATWALA AND SONS-CRS</t>
  </si>
  <si>
    <t>CJ DARCL Logistics Limited-Crs</t>
  </si>
  <si>
    <t>Chettinad Cement Corporation Private Limited - Crs</t>
  </si>
  <si>
    <t>GGBS</t>
  </si>
  <si>
    <t>Chukha Ferro Alloys Pvt Ltd- Crs</t>
  </si>
  <si>
    <t>Haryana</t>
  </si>
  <si>
    <t>Bhutan Vendor</t>
  </si>
  <si>
    <t>Connect Residuary Pvt Ltd - Crs</t>
  </si>
  <si>
    <t>Head Office</t>
  </si>
  <si>
    <t>Loan EMI</t>
  </si>
  <si>
    <t>Csrl-Structwel Lab (Pune) Private Limited Crs</t>
  </si>
  <si>
    <t>Testing charges</t>
  </si>
  <si>
    <t>CtrlP Solutions Private Limited - Crs</t>
  </si>
  <si>
    <t>D.K. SERVICES - Crs</t>
  </si>
  <si>
    <t>DEEP ENTERPRISES-CRS</t>
  </si>
  <si>
    <t>DEVENDRA CHAUHAN REFRACTORY WORKS -CRS</t>
  </si>
  <si>
    <t>Capex</t>
  </si>
  <si>
    <t>DOED JUNG KUEN PHEN TRADING HOUSE-CRS</t>
  </si>
  <si>
    <t>Dattakrupa Minerals - Crs</t>
  </si>
  <si>
    <t>Dev Security Services- Crs</t>
  </si>
  <si>
    <t>Devanand B. Singh - Employee</t>
  </si>
  <si>
    <t>Dextrose Technologies Private Limited - Crs</t>
  </si>
  <si>
    <t>Advance With Vendor Invoice Required</t>
  </si>
  <si>
    <t>Dmk Logistic - Crs</t>
  </si>
  <si>
    <t>Dokania Purushottam - Crs</t>
  </si>
  <si>
    <t>Factory rent</t>
  </si>
  <si>
    <t>Dutta Auto Centre</t>
  </si>
  <si>
    <t>Repair &amp; Maintenance</t>
  </si>
  <si>
    <t>Eon Infotech Ltd - Crs</t>
  </si>
  <si>
    <t>FAITH INFRA-CRS</t>
  </si>
  <si>
    <t>FIRDOSH ERUCH ICHHAPORIA-Crs</t>
  </si>
  <si>
    <t>First Choice Logistics-Crs</t>
  </si>
  <si>
    <t>G D Packaging - Crs</t>
  </si>
  <si>
    <t>Ganesh Trading &amp; Industries LLP - Crs</t>
  </si>
  <si>
    <t>Gautam Trading Company -Crs</t>
  </si>
  <si>
    <t>HDFC IOCL CREDIT CARD</t>
  </si>
  <si>
    <t>Regular Recharge</t>
  </si>
  <si>
    <t>Harish Ludhani - Employee</t>
  </si>
  <si>
    <t>Harrier Security Services Private Limited-Crs</t>
  </si>
  <si>
    <t>INDIA INTERNATIONAL COMPANY - Crs</t>
  </si>
  <si>
    <t>Info Tech Computers - Crs</t>
  </si>
  <si>
    <t>JANTA CEMENT INDUSTRIES-Crs</t>
  </si>
  <si>
    <t>JFC Logistics - Crs</t>
  </si>
  <si>
    <t>JINDAL POWER LIMITED-Crs</t>
  </si>
  <si>
    <t>JINENDRA AUTO PARTS-Crs</t>
  </si>
  <si>
    <t>Jai Bhairunath</t>
  </si>
  <si>
    <t>Jhuman Bagdi- Crs</t>
  </si>
  <si>
    <t>Staff Welfare</t>
  </si>
  <si>
    <t>Joshi Dharmarajan Andezath - Employee</t>
  </si>
  <si>
    <t>K D Enterprises-Crs</t>
  </si>
  <si>
    <t>KAMAL S PATIL - Crs</t>
  </si>
  <si>
    <t>KAPIL THAKARE - Crs</t>
  </si>
  <si>
    <t>KGR Logistics - Crs</t>
  </si>
  <si>
    <t>KRISHNA ENTERPRISES- Crs</t>
  </si>
  <si>
    <t>Kamakhya Enterprises - Crs</t>
  </si>
  <si>
    <t>Kaneria Building Solutions Pvt Ltd - Crs</t>
  </si>
  <si>
    <t>Kiran Rubber-Crs</t>
  </si>
  <si>
    <t>Krishna Enterprise(Guj)-Crs</t>
  </si>
  <si>
    <t>Krishna Konar - Crs</t>
  </si>
  <si>
    <t>Krishnendu Konar CRS</t>
  </si>
  <si>
    <t>Legacy Transport Private Limited-Crs</t>
  </si>
  <si>
    <t>Lub Solutions Pvt Ltd - Crs</t>
  </si>
  <si>
    <t>Lubricating Centre Pvt Ltd</t>
  </si>
  <si>
    <t>M B ENTERPRISE- Crs</t>
  </si>
  <si>
    <t>M.B.S. Construction</t>
  </si>
  <si>
    <t>M/S SHAKTI MACHINERY &amp; MILL STORE-CRS</t>
  </si>
  <si>
    <t>M/s  Jadav  Enterprise - Crs</t>
  </si>
  <si>
    <t>MSEDCL - CRS</t>
  </si>
  <si>
    <t>Electricity</t>
  </si>
  <si>
    <t>MSJ Movers - CRS</t>
  </si>
  <si>
    <t>Maa Jodh Roadways-Crs</t>
  </si>
  <si>
    <t>Mahalaxmi Industrial &amp; Hardware Store - Crs</t>
  </si>
  <si>
    <t>Mangal Packaging Industries - Crs</t>
  </si>
  <si>
    <t>Mbs Enterprise (Crusher) - Crs</t>
  </si>
  <si>
    <t>Mehar Engineering Works</t>
  </si>
  <si>
    <t>Miloni International - Crs</t>
  </si>
  <si>
    <t>Mollick Tube- Crs</t>
  </si>
  <si>
    <t>NAVEEN P REDDY - Crs</t>
  </si>
  <si>
    <t>NIGAM CAR SERVICES</t>
  </si>
  <si>
    <t>Neofines Solution-CRS</t>
  </si>
  <si>
    <t>Raipur</t>
  </si>
  <si>
    <t>Nikhil Ash Handlers Pvt Ltd - Crs</t>
  </si>
  <si>
    <t>Nirmal and Co - Crs</t>
  </si>
  <si>
    <t>Contract Labour</t>
  </si>
  <si>
    <t>Om Balaji - Crs</t>
  </si>
  <si>
    <t>Om Sai Krupa Chai - Crs</t>
  </si>
  <si>
    <t>P A Steel and Co - Crs</t>
  </si>
  <si>
    <t>Howrah</t>
  </si>
  <si>
    <t>P.S. Agency-CRS</t>
  </si>
  <si>
    <t>PUNAGHAR MATA TOOL CENTER - Crs</t>
  </si>
  <si>
    <t>Paras Sales Corporation -Crs</t>
  </si>
  <si>
    <t>Prabhat Crane Service-CRS</t>
  </si>
  <si>
    <t>Premier Roadlines Ltd - Crs</t>
  </si>
  <si>
    <t>Puneet Logistics-Crs</t>
  </si>
  <si>
    <t>Purnendu Konar - Crs</t>
  </si>
  <si>
    <t>R. G. Brothers Engineering Works - Crs</t>
  </si>
  <si>
    <t>Capex Advance</t>
  </si>
  <si>
    <t>RATHI ASSOCIATES - Crs</t>
  </si>
  <si>
    <t>RM LAW OFFICE ( REVATHI MANIVANNAN ) -  CRS</t>
  </si>
  <si>
    <t>RMB KNOVATECH PVT LTD. - Crs</t>
  </si>
  <si>
    <t>RND Bearings - Crs</t>
  </si>
  <si>
    <t>Rabiul Ansari - Crs</t>
  </si>
  <si>
    <t>Raju &amp; Prasad Charted Accountant-Crs</t>
  </si>
  <si>
    <t>Ram Innovation &amp; Solutions-Crs</t>
  </si>
  <si>
    <t>Slag</t>
  </si>
  <si>
    <t>Ramakant L Dalal - Crs</t>
  </si>
  <si>
    <t>Rehaman Transport - Crs</t>
  </si>
  <si>
    <t>Rushika Enterprise - Crs</t>
  </si>
  <si>
    <t>S.K EARTHMOVERS-CRS</t>
  </si>
  <si>
    <t>SAHIL ENTERPRISES - Crs</t>
  </si>
  <si>
    <t>SAI SAMARTH SECURITY SERVICES &amp; LABOUR SUPPLIER - Crs</t>
  </si>
  <si>
    <t>SAM Contruction-Crs</t>
  </si>
  <si>
    <t>SHIV OM PREFAB INFRA AND LOGISTICS-Crs</t>
  </si>
  <si>
    <t>SHREEKRISHNA SUPPLIERS-Crs</t>
  </si>
  <si>
    <t>SHREYASHI H VAKHARIA - Crs</t>
  </si>
  <si>
    <t>Rent</t>
  </si>
  <si>
    <t>SHRI RAM SINGH-Crs</t>
  </si>
  <si>
    <t>SIS LIMITED-CRS</t>
  </si>
  <si>
    <t>SK CONSTRUCTION - CRS</t>
  </si>
  <si>
    <t>SMAS AUTO LEASING INDIA PRIVATE LIMITED-CRS</t>
  </si>
  <si>
    <t>SREERAMA INDUSTRIES PRIVATE LIMITED-Crs</t>
  </si>
  <si>
    <t>Procesing charges</t>
  </si>
  <si>
    <t>SRL Group and Company - Crs</t>
  </si>
  <si>
    <t>SSP Enterprises - Crs</t>
  </si>
  <si>
    <t>STEP IN TECHNOLOGIES-CRS</t>
  </si>
  <si>
    <t>Tamil Nadu</t>
  </si>
  <si>
    <t>SULTAN ENTERPRISES-CRS</t>
  </si>
  <si>
    <t>Sainath Roadways &amp; Co. - Crs</t>
  </si>
  <si>
    <t>Sairaj Enterprises - Crs</t>
  </si>
  <si>
    <t>Saket Road Carriers Pvt Ltd - Crs</t>
  </si>
  <si>
    <t>Sandeep Narayan Phondekar - Crs</t>
  </si>
  <si>
    <t>Shakti Cargo Movers-Crs</t>
  </si>
  <si>
    <t>Shree Mahalaxmi Traders-Crs</t>
  </si>
  <si>
    <t>Shree Parivahan Limited - Crs</t>
  </si>
  <si>
    <t>Shree Pawan Enterprises -Crs</t>
  </si>
  <si>
    <t>Shreeji Sales Corporation-Crs</t>
  </si>
  <si>
    <t>Shri Mangalmurti Logistics - Crs</t>
  </si>
  <si>
    <t>Shri Raghavendra Enterprises - Crs</t>
  </si>
  <si>
    <t>Siddhi Vinayak Corporation-Crs</t>
  </si>
  <si>
    <t>Silverador Boutique Hotels CRS</t>
  </si>
  <si>
    <t>Singh Traders-Crs</t>
  </si>
  <si>
    <t>RM Purchase</t>
  </si>
  <si>
    <t>Spectro Ssa Labs Private Limited - Crs</t>
  </si>
  <si>
    <t>Testing and Inspection</t>
  </si>
  <si>
    <t>Steel Plus - Crs</t>
  </si>
  <si>
    <t>Subhendu Konar - Crs</t>
  </si>
  <si>
    <t>Sumangala Naik - Crs</t>
  </si>
  <si>
    <t>Sumit Goods Carrier(Arabinda Kumar Das) - CRS</t>
  </si>
  <si>
    <t>Palava</t>
  </si>
  <si>
    <t>Sunshine Associates-Crs</t>
  </si>
  <si>
    <t>Swaraj Pandey - Employee</t>
  </si>
  <si>
    <t>F &amp; F</t>
  </si>
  <si>
    <t>THORON TURNKEY SOLUTIONS PRIVATE LIMITED-CRS</t>
  </si>
  <si>
    <t>TMS ENTERPRISES - Crs</t>
  </si>
  <si>
    <t>TPI Industries</t>
  </si>
  <si>
    <t>Tara Ma Enterprise (Bags) - Crs</t>
  </si>
  <si>
    <t>Tara Shree Enterprises</t>
  </si>
  <si>
    <t>Tathoi Enterprise - Crs</t>
  </si>
  <si>
    <t>Thirumala Enterprises - Crs</t>
  </si>
  <si>
    <t>URC Logistics Private Limited - Crs</t>
  </si>
  <si>
    <t>Ultrafine Mineral &amp; Admixtures (Maharashtra) - Crs</t>
  </si>
  <si>
    <t>Interbranch</t>
  </si>
  <si>
    <t>VRAJ Cement Carrier LLP Maharashtra - Crs</t>
  </si>
  <si>
    <t>Vadlamudi Veerabhadra Rao - Crs</t>
  </si>
  <si>
    <t>Vaishnavi Aggregates - Crs</t>
  </si>
  <si>
    <t>Telangana</t>
  </si>
  <si>
    <t>Sales promotion</t>
  </si>
  <si>
    <t>Vashi Integrated Solution Limited - Crs</t>
  </si>
  <si>
    <t>WARSI ROADWAYS-CRS</t>
  </si>
  <si>
    <t>WBSEDCL-CRS</t>
  </si>
  <si>
    <t>Walker Chandiok &amp; Co Llp - Crs</t>
  </si>
  <si>
    <t>Weider Weighing &amp; Automations - Crs</t>
  </si>
  <si>
    <t>Well Erectors Of Engineering Technology Private Limited - Crs</t>
  </si>
  <si>
    <t>Yaa Baba Taj Restaurants - CRS</t>
  </si>
  <si>
    <t>Yahska Polymers Pvt. Ltd. - Crs</t>
  </si>
  <si>
    <t>Admixture</t>
  </si>
  <si>
    <t>Yogya Logistics Pvt Ltd-CRS</t>
  </si>
  <si>
    <t>Grand Total</t>
  </si>
  <si>
    <t>Creditors - Advance Payments (Debit Balances) | As at 31-July-2026</t>
  </si>
  <si>
    <t>ACE HIMALAYAN FERRO ALLOYS PRIVATE LIMITED - CRS</t>
  </si>
  <si>
    <t>ASHOKA BUILDCON LIMITED-Crs</t>
  </si>
  <si>
    <t>Vendor Advance</t>
  </si>
  <si>
    <t>Abhay Dongare - Employee</t>
  </si>
  <si>
    <t>Abhay Singh-Employee</t>
  </si>
  <si>
    <t>Ankush Chavan- Employee</t>
  </si>
  <si>
    <t>Arcelormittal Nippon Steel India Limited - Crs</t>
  </si>
  <si>
    <t>Ashvarya Kumar Verma-Employee</t>
  </si>
  <si>
    <t>BOMMI SUNEEL KUMAR-Employee</t>
  </si>
  <si>
    <t>Bandu Naik - Employee</t>
  </si>
  <si>
    <t>Bhushan Deshpande - Employee</t>
  </si>
  <si>
    <t>C K Paul Gas Agency - Crs</t>
  </si>
  <si>
    <t>Desai Cement Company Pvt Ltd-Crs</t>
  </si>
  <si>
    <t>BG Incashed</t>
  </si>
  <si>
    <t>Digambar A. Naik - Crs</t>
  </si>
  <si>
    <t>ETC POOL - Crs</t>
  </si>
  <si>
    <t>Regular Advance</t>
  </si>
  <si>
    <t>Eurocem Additives Private Limited-Crs</t>
  </si>
  <si>
    <t>Interest</t>
  </si>
  <si>
    <t>Exalt Druk Enviroklens Pvt Ltd - Crs</t>
  </si>
  <si>
    <t>Fourteckh Enviro India Pvt Ltd - Crs</t>
  </si>
  <si>
    <t>H R Industries -  Crs</t>
  </si>
  <si>
    <t>Harsh Raj - EMPLOYEE</t>
  </si>
  <si>
    <t>Indian Oil Corporation Limited - Crs</t>
  </si>
  <si>
    <t>JAI Energy Giant Engineering and consultancy - Crs</t>
  </si>
  <si>
    <t>JASSPER SHIPPING INDIA LIMITED- CRS</t>
  </si>
  <si>
    <t>GST Claim</t>
  </si>
  <si>
    <t>Jpgr Automobile Private Limited-Crs</t>
  </si>
  <si>
    <t>KFin Technologies Limited - Crs</t>
  </si>
  <si>
    <t>Karim Shah - Employee</t>
  </si>
  <si>
    <t>Kinshar Metals - Crs</t>
  </si>
  <si>
    <t>LAXMI ENGINEERING INDUSTRIES - CRS</t>
  </si>
  <si>
    <t>M/s Hms International-Crs</t>
  </si>
  <si>
    <t>Sales Promotion Exps</t>
  </si>
  <si>
    <t>M/s Manuwar Shaikh (Crusher)- Crs</t>
  </si>
  <si>
    <t>Pending from Vendor</t>
  </si>
  <si>
    <t>MACPOWER ELECTRICALS-Crs (Cap)</t>
  </si>
  <si>
    <t>MNG Automobiles Pvt Ltd - CRS</t>
  </si>
  <si>
    <t>Vehicle Expenses</t>
  </si>
  <si>
    <t>Narvekar Brothers - Crs</t>
  </si>
  <si>
    <t>Stores and Spares</t>
  </si>
  <si>
    <t>Rajeswar Polai - Employee</t>
  </si>
  <si>
    <t>Remi Sales and Engineering Ltd - Crs</t>
  </si>
  <si>
    <t>Rohit Prasad - Employee</t>
  </si>
  <si>
    <t>SGS Impex - Crs</t>
  </si>
  <si>
    <t>Adjusted against Kinshar Metals</t>
  </si>
  <si>
    <t>SHIVSHAKTI ENTERPRISES - Crs</t>
  </si>
  <si>
    <t>Advance With Vendor Invoice or Refund Required</t>
  </si>
  <si>
    <t>SOUTHERNPOWERDISTRIBUTIONCOMPANYOFANDHRA-Cr</t>
  </si>
  <si>
    <t>Saiprasad Naik &amp; Associates - Crs</t>
  </si>
  <si>
    <t>Sandeep Singh - Employee</t>
  </si>
  <si>
    <t>Sanjay Ramgopal Sharma - Crs</t>
  </si>
  <si>
    <t>Transport Exps</t>
  </si>
  <si>
    <t>Shahabaz Khan - Employee</t>
  </si>
  <si>
    <t>Steel &amp; Power-CR (CAP) - Crs</t>
  </si>
  <si>
    <t>Stsk Controls and Automation - Crs</t>
  </si>
  <si>
    <t>Vedant Roadways And Trading-Crs</t>
  </si>
  <si>
    <t>Vedanta Limited (Goa) - Crs</t>
  </si>
  <si>
    <t>BG Issue</t>
  </si>
  <si>
    <t>Vikram Coal Carriers (P) Ltd - Crs</t>
  </si>
  <si>
    <t>Debit note</t>
  </si>
  <si>
    <t>Vinayak Minerals - Crs</t>
  </si>
  <si>
    <t>Vinayak Oil Industries - Crs</t>
  </si>
  <si>
    <t>Zippmat Private Limited - Crs</t>
  </si>
  <si>
    <t>Creditors Ageing Report - Intercompany &amp; Special | As at 31-July-2026</t>
  </si>
  <si>
    <t>RDC Concrete India Pvt. Ltd. Punjab - Crs</t>
  </si>
  <si>
    <t>Intercompany</t>
  </si>
  <si>
    <t>RDC Concrete (India) Pvt Ltd (Bangalore)-Crs</t>
  </si>
  <si>
    <t>RDC Concrete (India) Pvt Ltd (Haryana)-Crs</t>
  </si>
  <si>
    <t>RDC Concrete India Pvt Ltd (NCR)-Crs</t>
  </si>
  <si>
    <t>RDC Concrete (India) Pvt Ltd (Pune)- Crs</t>
  </si>
  <si>
    <t>RDC Concrete (India) Pvt Ltd (chattisgarh) - Crs</t>
  </si>
  <si>
    <t>NEPTUNE READYMIX CONCRETE.PVT.LTD - MUPPATHADOM - Crs</t>
  </si>
  <si>
    <t>Neptune Readymix Concrete Pvt. Ltd.(Cochin)-Vendor - Crs</t>
  </si>
  <si>
    <t>RDC Concrete (India) Pvt Ltd (Chennai)-Crs</t>
  </si>
  <si>
    <t>RDC Concrete (India) Pvt Ltd (Gujarat)-Crs</t>
  </si>
  <si>
    <t>RDC Concrete (India) Pvt Ltd (Telangana)- Crs</t>
  </si>
  <si>
    <t>SOCIAM EQUIPMENT SOLUTIONS PRIVATE LIMITED-CRS</t>
  </si>
  <si>
    <t>Neptune Readymix Concrete Pvt. Ltd. - Crs</t>
  </si>
  <si>
    <t>Hella Infra Market Limited-Crs</t>
  </si>
  <si>
    <t>ROBO SILICON PRIVATE LIMITED - Crs</t>
  </si>
  <si>
    <t>RDC Concrete (India) Pvt Ltd (Head Office) - Crs</t>
  </si>
  <si>
    <t>RDC Concrete (India) Pvt Ltd (Kolkata)-Crs</t>
  </si>
  <si>
    <t>Review Items | Creditors Ageing as at 31-July-2026</t>
  </si>
  <si>
    <t>A. New vendors - classification required (25)</t>
  </si>
  <si>
    <t>Location (from cost centre)</t>
  </si>
  <si>
    <t>TB Balance</t>
  </si>
  <si>
    <t>B. New vendors - auto-classified, please confirm (23)</t>
  </si>
  <si>
    <t>Vendor Type (suggested)</t>
  </si>
  <si>
    <t>Vendor Sub Type (suggested)</t>
  </si>
  <si>
    <t>C. TB vs Bill-Wise differences (3)</t>
  </si>
  <si>
    <t>Tab</t>
  </si>
  <si>
    <t>Only Creditors</t>
  </si>
  <si>
    <t>Advances</t>
  </si>
  <si>
    <t>D. Nil-balance vendors excluded (open bills net to zero in TB) (12)</t>
  </si>
  <si>
    <t>Bills</t>
  </si>
  <si>
    <t>Gross of bills</t>
  </si>
  <si>
    <t>Net after netting</t>
  </si>
  <si>
    <t>Anantha Vamshider Reddy - Employee</t>
  </si>
  <si>
    <t>MANNAT CONSTRUCTIONS - Crs</t>
  </si>
  <si>
    <t>Powercraft Industries-Crs</t>
  </si>
  <si>
    <t>Premier Electricals-Crs</t>
  </si>
  <si>
    <t>RANJAN MAHANANDA - Employee</t>
  </si>
  <si>
    <t>RITHIK ELECTRICALS-Crs</t>
  </si>
  <si>
    <t>Rashmi Cement - Crs</t>
  </si>
  <si>
    <t>SEN &amp; RAY- CRS</t>
  </si>
  <si>
    <t>Shree Ganesh Engineering Work - CRS</t>
  </si>
  <si>
    <t>Tata AIG General Insurance Co Ltd - Crs</t>
  </si>
  <si>
    <t>Vaibhav Govind Ide- Crs</t>
  </si>
  <si>
    <t>Xinda Group Cementious Material Co. Ltd - Crs</t>
  </si>
  <si>
    <t>Date</t>
  </si>
  <si>
    <t>Ref. No.</t>
  </si>
  <si>
    <t>Party's Name</t>
  </si>
  <si>
    <t>Cost Center/Location</t>
  </si>
  <si>
    <t>Ageing Bucket</t>
  </si>
  <si>
    <t>Pending (abs)</t>
  </si>
  <si>
    <t>Signed Amount</t>
  </si>
  <si>
    <t>CHN/2122/00447</t>
  </si>
  <si>
    <t>CHN/2122/00452</t>
  </si>
  <si>
    <t>CHN/2122/00448</t>
  </si>
  <si>
    <t>CHN/2122/00453</t>
  </si>
  <si>
    <t>CHN/2122/00543</t>
  </si>
  <si>
    <t>CHN/2122/00547</t>
  </si>
  <si>
    <t>CHN/2122/00548</t>
  </si>
  <si>
    <t>CHN/2122/00560</t>
  </si>
  <si>
    <t>CHN/2122/00562</t>
  </si>
  <si>
    <t>CHN/2122/00579</t>
  </si>
  <si>
    <t>CHN/21-22/00577</t>
  </si>
  <si>
    <t>CHN/21-22/00578</t>
  </si>
  <si>
    <t>CHN/2122/00580</t>
  </si>
  <si>
    <t>CHN/2122/00581</t>
  </si>
  <si>
    <t>CHN/2122/00604</t>
  </si>
  <si>
    <t>CHN/21-22/00606</t>
  </si>
  <si>
    <t>CHN/2122/00561</t>
  </si>
  <si>
    <t>CHN/2122/00624</t>
  </si>
  <si>
    <t>CHN/2122/00612</t>
  </si>
  <si>
    <t>CHN/2122/00686</t>
  </si>
  <si>
    <t>Kerala</t>
  </si>
  <si>
    <t>CHN/2122/00708</t>
  </si>
  <si>
    <t>CHN/2122/00710</t>
  </si>
  <si>
    <t>CHN/2122/00711</t>
  </si>
  <si>
    <t>CHN/2122/00712</t>
  </si>
  <si>
    <t>CHN/2122/00754</t>
  </si>
  <si>
    <t>Tamilnadu</t>
  </si>
  <si>
    <t>CHN/2122/00643</t>
  </si>
  <si>
    <t>CHN/2122/00637</t>
  </si>
  <si>
    <t>CHN/2122/00645</t>
  </si>
  <si>
    <t>CHN/2223/00005</t>
  </si>
  <si>
    <t>CHN/2223/00002</t>
  </si>
  <si>
    <t>CHN/2223/00003</t>
  </si>
  <si>
    <t>CHN/2223/00004</t>
  </si>
  <si>
    <t>CHN/2223/00001</t>
  </si>
  <si>
    <t>CHN/2223/00109</t>
  </si>
  <si>
    <t>CHN/2223/00111</t>
  </si>
  <si>
    <t>CHN/2223/00110</t>
  </si>
  <si>
    <t>CHN/2223/00112</t>
  </si>
  <si>
    <t>CHN/2223/00044</t>
  </si>
  <si>
    <t>CHN/2223/00113</t>
  </si>
  <si>
    <t>CHN/2223/00024</t>
  </si>
  <si>
    <t>CHN/2223/00114</t>
  </si>
  <si>
    <t>CHN/2223/00115</t>
  </si>
  <si>
    <t>CHN/2223/00182</t>
  </si>
  <si>
    <t>CHN/2223//00198</t>
  </si>
  <si>
    <t>4322</t>
  </si>
  <si>
    <t>CHN/2223/00226</t>
  </si>
  <si>
    <t>CHN/2223/00253</t>
  </si>
  <si>
    <t>2722230001</t>
  </si>
  <si>
    <t>CHN/2223/00287</t>
  </si>
  <si>
    <t>40787</t>
  </si>
  <si>
    <t>CHN/2223/00304</t>
  </si>
  <si>
    <t>CHN/2223/00352</t>
  </si>
  <si>
    <t>62</t>
  </si>
  <si>
    <t>CHN/2324/00028</t>
  </si>
  <si>
    <t>CHN/2324/00049</t>
  </si>
  <si>
    <t>27jun23</t>
  </si>
  <si>
    <t>CHN/2324/00067</t>
  </si>
  <si>
    <t>CHN/2324/00084</t>
  </si>
  <si>
    <t>CHN/2324/00102</t>
  </si>
  <si>
    <t>CHN2324/00129</t>
  </si>
  <si>
    <t>CHN2324/00153</t>
  </si>
  <si>
    <t>CHN2324/00178</t>
  </si>
  <si>
    <t>CHN2324/00194</t>
  </si>
  <si>
    <t>3453</t>
  </si>
  <si>
    <t>CHN/2324/00214</t>
  </si>
  <si>
    <t>CHN/2324/00237</t>
  </si>
  <si>
    <t>CHN/2324/00271</t>
  </si>
  <si>
    <t>CHN/2425/00021</t>
  </si>
  <si>
    <t>PRL/01134/24-25</t>
  </si>
  <si>
    <t>CHN/2425/00050</t>
  </si>
  <si>
    <t>CHN/2425/00073</t>
  </si>
  <si>
    <t>CHN/2425/00094</t>
  </si>
  <si>
    <t>1750246298</t>
  </si>
  <si>
    <t>LSPL/24-25/400</t>
  </si>
  <si>
    <t>509</t>
  </si>
  <si>
    <t>1750246755</t>
  </si>
  <si>
    <t>WEET/RDC/024</t>
  </si>
  <si>
    <t>JV/HO/2526/0009</t>
  </si>
  <si>
    <t>20KGRL/2025-26</t>
  </si>
  <si>
    <t>wada</t>
  </si>
  <si>
    <t>038</t>
  </si>
  <si>
    <t>JV/HO/2526/0024</t>
  </si>
  <si>
    <t>027</t>
  </si>
  <si>
    <t>PV/GUJ/2526/0123</t>
  </si>
  <si>
    <t>190</t>
  </si>
  <si>
    <t>189</t>
  </si>
  <si>
    <t>191</t>
  </si>
  <si>
    <t>192</t>
  </si>
  <si>
    <t>Ash/12</t>
  </si>
  <si>
    <t>ASH/13</t>
  </si>
  <si>
    <t>2KL25ARMN10</t>
  </si>
  <si>
    <t>Panagarh (Aggregate) WB</t>
  </si>
  <si>
    <t>2KL25ARMN12</t>
  </si>
  <si>
    <t>JV/HO/2526/0073</t>
  </si>
  <si>
    <t>JV/GUJ/2526/0038</t>
  </si>
  <si>
    <t>Ash/15</t>
  </si>
  <si>
    <t>Ash/16</t>
  </si>
  <si>
    <t>HM27/2526/069328</t>
  </si>
  <si>
    <t>JV/HO/2526/0070</t>
  </si>
  <si>
    <t>2KL25ARMN18</t>
  </si>
  <si>
    <t>13HY25ARMN18</t>
  </si>
  <si>
    <t>SRLGOA013/25-26</t>
  </si>
  <si>
    <t>1CH25ARMN126</t>
  </si>
  <si>
    <t>SE/27/2526/00182</t>
  </si>
  <si>
    <t>Ash/21</t>
  </si>
  <si>
    <t>Ash/22</t>
  </si>
  <si>
    <t>JV/HO/2526/0085</t>
  </si>
  <si>
    <t>2KL25ARMN56</t>
  </si>
  <si>
    <t>3KL25ARMN17</t>
  </si>
  <si>
    <t>13HY25ARMN19</t>
  </si>
  <si>
    <t>WEET/RDC/026</t>
  </si>
  <si>
    <t>SKA/ULT/0625/001</t>
  </si>
  <si>
    <t>SKA/ULT/0625/002</t>
  </si>
  <si>
    <t>92</t>
  </si>
  <si>
    <t>SE/29/2526/00146</t>
  </si>
  <si>
    <t>SE/29/2526/00181</t>
  </si>
  <si>
    <t>95</t>
  </si>
  <si>
    <t>99</t>
  </si>
  <si>
    <t>PV/WBA/2526/0170</t>
  </si>
  <si>
    <t>PV/WBA/2526/0156</t>
  </si>
  <si>
    <t>13HY25ARMN23</t>
  </si>
  <si>
    <t>6CH25ARMN109</t>
  </si>
  <si>
    <t>JV/HO/2526/0099</t>
  </si>
  <si>
    <t>3KL25ARMN26</t>
  </si>
  <si>
    <t>2KL25ARMN86</t>
  </si>
  <si>
    <t>13HY25ARMN22</t>
  </si>
  <si>
    <t>13HY25ARMN21</t>
  </si>
  <si>
    <t>2SR25ARS33</t>
  </si>
  <si>
    <t>2SR25ARS34</t>
  </si>
  <si>
    <t>BNWBDRG25000223</t>
  </si>
  <si>
    <t>BNWBDRG25000386</t>
  </si>
  <si>
    <t>1RA25ARMN10</t>
  </si>
  <si>
    <t>1CH25ARMN37</t>
  </si>
  <si>
    <t>2KL25ARMN7</t>
  </si>
  <si>
    <t>2GN25ARMN26</t>
  </si>
  <si>
    <t>1PU25ARMN9</t>
  </si>
  <si>
    <t>1PU25ARMN4</t>
  </si>
  <si>
    <t>1LU25ARMN75</t>
  </si>
  <si>
    <t>13HY25ARMN20</t>
  </si>
  <si>
    <t>JV/HO/2526/0236</t>
  </si>
  <si>
    <t>PV/GOA/2526/0532</t>
  </si>
  <si>
    <t>114_2025-26</t>
  </si>
  <si>
    <t>PV/KA/2526/0041</t>
  </si>
  <si>
    <t>Ash/23</t>
  </si>
  <si>
    <t>6CH25ARMN120</t>
  </si>
  <si>
    <t>JV/HO/2526/0124</t>
  </si>
  <si>
    <t>2KL25ARMN116</t>
  </si>
  <si>
    <t>3KL25ARMN29</t>
  </si>
  <si>
    <t>13HY25ARMN24</t>
  </si>
  <si>
    <t>SE/29/2526/00252</t>
  </si>
  <si>
    <t>SE/29/2526/00254</t>
  </si>
  <si>
    <t>ABB/018/25-26</t>
  </si>
  <si>
    <t>JV/GOA/2526/0231</t>
  </si>
  <si>
    <t>BNWBDRG25000213</t>
  </si>
  <si>
    <t>BNWBDRG25000104</t>
  </si>
  <si>
    <t>SE/29/2526/00253</t>
  </si>
  <si>
    <t>SE/29/2526/00255</t>
  </si>
  <si>
    <t>118</t>
  </si>
  <si>
    <t>120</t>
  </si>
  <si>
    <t>13HY25ARMN25</t>
  </si>
  <si>
    <t>122</t>
  </si>
  <si>
    <t>BNWBDRG24001113</t>
  </si>
  <si>
    <t>BNWBDRG24001232</t>
  </si>
  <si>
    <t>BNWBDRG24001231</t>
  </si>
  <si>
    <t>124</t>
  </si>
  <si>
    <t>125</t>
  </si>
  <si>
    <t>13HY25ARMN32</t>
  </si>
  <si>
    <t>13HY25ARMN28</t>
  </si>
  <si>
    <t>13HY25ARMN29</t>
  </si>
  <si>
    <t>13HY25ARMN30</t>
  </si>
  <si>
    <t>13HY25ARMN31</t>
  </si>
  <si>
    <t>13HY25ARMN26</t>
  </si>
  <si>
    <t>130</t>
  </si>
  <si>
    <t>SE/29/2526/00290</t>
  </si>
  <si>
    <t>2BG25ARMN61</t>
  </si>
  <si>
    <t>JV/HO/2526/0165</t>
  </si>
  <si>
    <t>3KL25ARMN31</t>
  </si>
  <si>
    <t>132</t>
  </si>
  <si>
    <t>72_04.12.2025</t>
  </si>
  <si>
    <t>13HY25ARMN36</t>
  </si>
  <si>
    <t>139</t>
  </si>
  <si>
    <t>13HY25ARMN39</t>
  </si>
  <si>
    <t>145</t>
  </si>
  <si>
    <t>13HY25ARMN40</t>
  </si>
  <si>
    <t>A150</t>
  </si>
  <si>
    <t>JV/MHN/2526/0111</t>
  </si>
  <si>
    <t>13HY25ARMN41</t>
  </si>
  <si>
    <t>13HY25ARMN42</t>
  </si>
  <si>
    <t>Ash/29</t>
  </si>
  <si>
    <t>Ash/28</t>
  </si>
  <si>
    <t>1CH25ARMN212</t>
  </si>
  <si>
    <t>1CH25ARMN227</t>
  </si>
  <si>
    <t>1CH25ARMN242</t>
  </si>
  <si>
    <t>JV/HO/2526/0174</t>
  </si>
  <si>
    <t>3KL25ARMN46</t>
  </si>
  <si>
    <t>2KL25ARMN166</t>
  </si>
  <si>
    <t>1PG25ARMN9</t>
  </si>
  <si>
    <t>13HY25ARMN43</t>
  </si>
  <si>
    <t>13HY25ARMN44</t>
  </si>
  <si>
    <t>13HY25ARMN33</t>
  </si>
  <si>
    <t>13HY25ARMN34</t>
  </si>
  <si>
    <t>13HY25ARMN35</t>
  </si>
  <si>
    <t>Inv-25-29/342</t>
  </si>
  <si>
    <t>SE/29/2526/00323</t>
  </si>
  <si>
    <t>646</t>
  </si>
  <si>
    <t>253100480</t>
  </si>
  <si>
    <t>253100486</t>
  </si>
  <si>
    <t>253100488</t>
  </si>
  <si>
    <t>253100477</t>
  </si>
  <si>
    <t>253100478</t>
  </si>
  <si>
    <t>253100479</t>
  </si>
  <si>
    <t>253100481</t>
  </si>
  <si>
    <t>253100482</t>
  </si>
  <si>
    <t>253100483</t>
  </si>
  <si>
    <t>253100484</t>
  </si>
  <si>
    <t>253100485</t>
  </si>
  <si>
    <t>253100487</t>
  </si>
  <si>
    <t>253100489</t>
  </si>
  <si>
    <t>253100490</t>
  </si>
  <si>
    <t>153</t>
  </si>
  <si>
    <t>154</t>
  </si>
  <si>
    <t>156</t>
  </si>
  <si>
    <t>MT/042/25-26</t>
  </si>
  <si>
    <t>PV/GUJ/2526/0752</t>
  </si>
  <si>
    <t>13HY25ARMN46</t>
  </si>
  <si>
    <t>Ash/32</t>
  </si>
  <si>
    <t>Ash/31</t>
  </si>
  <si>
    <t>Ash/30</t>
  </si>
  <si>
    <t>Ash/33</t>
  </si>
  <si>
    <t>SM/CON/25-26/7</t>
  </si>
  <si>
    <t>Panagarh (Microsilica) WB</t>
  </si>
  <si>
    <t>6CH25ARMN147</t>
  </si>
  <si>
    <t>JV/HO/2526/0196</t>
  </si>
  <si>
    <t>2KL25ARMN189</t>
  </si>
  <si>
    <t>2KL25ARMN139</t>
  </si>
  <si>
    <t>13HY25ARMN48</t>
  </si>
  <si>
    <t>13HY25ARMN49</t>
  </si>
  <si>
    <t>SE/29/2526/00359</t>
  </si>
  <si>
    <t>696</t>
  </si>
  <si>
    <t>202526/5061</t>
  </si>
  <si>
    <t>DN/KA/2526/008</t>
  </si>
  <si>
    <t>Ash/34</t>
  </si>
  <si>
    <t>Ash/26</t>
  </si>
  <si>
    <t>Ash/24</t>
  </si>
  <si>
    <t>171_07.01.26</t>
  </si>
  <si>
    <t>4</t>
  </si>
  <si>
    <t>180</t>
  </si>
  <si>
    <t>MT/047/25-26</t>
  </si>
  <si>
    <t>FI3927023355</t>
  </si>
  <si>
    <t>FI3927023300</t>
  </si>
  <si>
    <t>FI3937007921</t>
  </si>
  <si>
    <t>FI3937007922</t>
  </si>
  <si>
    <t>FI3924011599</t>
  </si>
  <si>
    <t>FI3924011600</t>
  </si>
  <si>
    <t>FI3924011601</t>
  </si>
  <si>
    <t>FI3924011602</t>
  </si>
  <si>
    <t>FI3924011603</t>
  </si>
  <si>
    <t>FI3924011604</t>
  </si>
  <si>
    <t>FI3937007923</t>
  </si>
  <si>
    <t>HM27/2627/142634</t>
  </si>
  <si>
    <t>MH27/2526/150789</t>
  </si>
  <si>
    <t>1CH25ARMN290</t>
  </si>
  <si>
    <t>6CH25ARMN169</t>
  </si>
  <si>
    <t>1CH25ARMN295</t>
  </si>
  <si>
    <t>1CH25ARMN294</t>
  </si>
  <si>
    <t>1CH25ARMN276</t>
  </si>
  <si>
    <t>JV/HO/2526/0223</t>
  </si>
  <si>
    <t>2KL25ARMN200</t>
  </si>
  <si>
    <t>13HY25ARMN50</t>
  </si>
  <si>
    <t>BBY-11408</t>
  </si>
  <si>
    <t>BBY-11410</t>
  </si>
  <si>
    <t>BBY-11409</t>
  </si>
  <si>
    <t>BBY-10895</t>
  </si>
  <si>
    <t>BBY-10894</t>
  </si>
  <si>
    <t>BBY-11413</t>
  </si>
  <si>
    <t>BBY-11412</t>
  </si>
  <si>
    <t>BBY-11418</t>
  </si>
  <si>
    <t>BBY-11415</t>
  </si>
  <si>
    <t>BBY-11414</t>
  </si>
  <si>
    <t>BBY-11416</t>
  </si>
  <si>
    <t>BBY-11411</t>
  </si>
  <si>
    <t>BBY-11417</t>
  </si>
  <si>
    <t>SPL/3350/25-26</t>
  </si>
  <si>
    <t>SE/29/2526/00392</t>
  </si>
  <si>
    <t>DLI25BL010655</t>
  </si>
  <si>
    <t>RPMU/543/25-26</t>
  </si>
  <si>
    <t>RPMU/542/25-26</t>
  </si>
  <si>
    <t>RPMU/544/25-26</t>
  </si>
  <si>
    <t>RPMU/545/25-26</t>
  </si>
  <si>
    <t>9PU25ARMN89</t>
  </si>
  <si>
    <t>SSP-26/25-26</t>
  </si>
  <si>
    <t>HM272526135827</t>
  </si>
  <si>
    <t>BBY-11494</t>
  </si>
  <si>
    <t>BBY-11533</t>
  </si>
  <si>
    <t>Ash/47</t>
  </si>
  <si>
    <t>Ash/43</t>
  </si>
  <si>
    <t>Ash/38</t>
  </si>
  <si>
    <t>Ash/40</t>
  </si>
  <si>
    <t>Ash/41</t>
  </si>
  <si>
    <t>FI3937008747</t>
  </si>
  <si>
    <t>FI3937008746</t>
  </si>
  <si>
    <t>FI3927025654</t>
  </si>
  <si>
    <t>FI3927025655</t>
  </si>
  <si>
    <t>10032624UMA0864</t>
  </si>
  <si>
    <t>HM27/2627/000379</t>
  </si>
  <si>
    <t>HM27/2627/000378</t>
  </si>
  <si>
    <t>05/MBS/UM/25-26</t>
  </si>
  <si>
    <t>JV/GUJ/2526/0262</t>
  </si>
  <si>
    <t>1CH25ARMN325</t>
  </si>
  <si>
    <t>6CH25ARMN193</t>
  </si>
  <si>
    <t>1CH25ARMN312</t>
  </si>
  <si>
    <t>1CH25ARMN303</t>
  </si>
  <si>
    <t>1CH25ARMN304</t>
  </si>
  <si>
    <t>2GU25ARMN24</t>
  </si>
  <si>
    <t>JV/HO/2526/0242</t>
  </si>
  <si>
    <t>H25S00066</t>
  </si>
  <si>
    <t>377499</t>
  </si>
  <si>
    <t>2KL25ARMN235</t>
  </si>
  <si>
    <t>2KL25ARMN234</t>
  </si>
  <si>
    <t>2KL25ARMN238</t>
  </si>
  <si>
    <t>13HY25ARMN51</t>
  </si>
  <si>
    <t>13HY25ARMN53</t>
  </si>
  <si>
    <t>13HY25ARMN54</t>
  </si>
  <si>
    <t>13HY25ARMN45</t>
  </si>
  <si>
    <t>252900020</t>
  </si>
  <si>
    <t>BBY-11564</t>
  </si>
  <si>
    <t>BBY-11560</t>
  </si>
  <si>
    <t>BBY-11561</t>
  </si>
  <si>
    <t>BBY-11562</t>
  </si>
  <si>
    <t>BBY-11548</t>
  </si>
  <si>
    <t>BBY-11563</t>
  </si>
  <si>
    <t>BBY-10298</t>
  </si>
  <si>
    <t>BBY-10261</t>
  </si>
  <si>
    <t>BBY-10299</t>
  </si>
  <si>
    <t>BBY-11225</t>
  </si>
  <si>
    <t>1992033</t>
  </si>
  <si>
    <t>JV/MHW/2526/0156</t>
  </si>
  <si>
    <t>SPL/3840/25-26</t>
  </si>
  <si>
    <t>SE/29/2526/00433</t>
  </si>
  <si>
    <t>TE/25-26/210</t>
  </si>
  <si>
    <t>DLI25BL011896</t>
  </si>
  <si>
    <t>299</t>
  </si>
  <si>
    <t>JV/HR/2526/0101</t>
  </si>
  <si>
    <t>JV/HR/2526/0102</t>
  </si>
  <si>
    <t>202526_6174</t>
  </si>
  <si>
    <t>PV/APN/2627/1</t>
  </si>
  <si>
    <t>PV/HO/2526/0786</t>
  </si>
  <si>
    <t>6CH26ARMN1</t>
  </si>
  <si>
    <t>PV/MHN/2627/0002</t>
  </si>
  <si>
    <t>FI4024000453</t>
  </si>
  <si>
    <t>PI2627000569</t>
  </si>
  <si>
    <t>010</t>
  </si>
  <si>
    <t>011</t>
  </si>
  <si>
    <t>012</t>
  </si>
  <si>
    <t>013</t>
  </si>
  <si>
    <t>014</t>
  </si>
  <si>
    <t>TE/26-27/10</t>
  </si>
  <si>
    <t>PV/APN/2627/010</t>
  </si>
  <si>
    <t>PV/WBM/2627/0009</t>
  </si>
  <si>
    <t>Panagarh Galsi (WB)</t>
  </si>
  <si>
    <t>PV/GUJ/2627/0061</t>
  </si>
  <si>
    <t>19</t>
  </si>
  <si>
    <t>13HY26ARMN1</t>
  </si>
  <si>
    <t>PV/HO/2526/0810</t>
  </si>
  <si>
    <t>PV/HO/2526/0818</t>
  </si>
  <si>
    <t>PV/MHN/2627/0028</t>
  </si>
  <si>
    <t>PV/HO/2526/0859</t>
  </si>
  <si>
    <t>1992794</t>
  </si>
  <si>
    <t>Ash/49</t>
  </si>
  <si>
    <t>Ash/52</t>
  </si>
  <si>
    <t>Ash/51</t>
  </si>
  <si>
    <t>ASL2627TRS00046</t>
  </si>
  <si>
    <t>HM27/2627/005341</t>
  </si>
  <si>
    <t>06/MBS/UM/25-26</t>
  </si>
  <si>
    <t>SM/CON/25-26/9</t>
  </si>
  <si>
    <t>SM/CON/25-26/10</t>
  </si>
  <si>
    <t>SM/CON/25-26/11</t>
  </si>
  <si>
    <t>2KL26ARMN20</t>
  </si>
  <si>
    <t>2KL26ARMN19</t>
  </si>
  <si>
    <t>RND/3/26-27</t>
  </si>
  <si>
    <t>RND/55/25-27</t>
  </si>
  <si>
    <t>BBY-11703</t>
  </si>
  <si>
    <t>BBY-117002</t>
  </si>
  <si>
    <t>BBY-11705</t>
  </si>
  <si>
    <t>BBY-11706</t>
  </si>
  <si>
    <t>SRM/25-26/259</t>
  </si>
  <si>
    <t>SPL/3702/25-26</t>
  </si>
  <si>
    <t>SE/29/2627/00007</t>
  </si>
  <si>
    <t>2KL26ARMN24</t>
  </si>
  <si>
    <t>5130025975</t>
  </si>
  <si>
    <t>TE/26-27/20</t>
  </si>
  <si>
    <t>PV/HO/2526/0871</t>
  </si>
  <si>
    <t>SPL/00195/26-27</t>
  </si>
  <si>
    <t>176</t>
  </si>
  <si>
    <t>29</t>
  </si>
  <si>
    <t>1VA26ARNM2</t>
  </si>
  <si>
    <t>OB/UF/25-26/002</t>
  </si>
  <si>
    <t>OB/UF/25-26/003</t>
  </si>
  <si>
    <t>DLT26BL000995</t>
  </si>
  <si>
    <t>DLT26BL000997</t>
  </si>
  <si>
    <t>1VA26ARNM10</t>
  </si>
  <si>
    <t>40</t>
  </si>
  <si>
    <t>SPL/00219/26-27</t>
  </si>
  <si>
    <t>44</t>
  </si>
  <si>
    <t>3083</t>
  </si>
  <si>
    <t>3084</t>
  </si>
  <si>
    <t>022</t>
  </si>
  <si>
    <t>CR/00683/26-27</t>
  </si>
  <si>
    <t>024</t>
  </si>
  <si>
    <t>023</t>
  </si>
  <si>
    <t>025</t>
  </si>
  <si>
    <t>PV/HR/2627/0036</t>
  </si>
  <si>
    <t>2627-095</t>
  </si>
  <si>
    <t>2627-083</t>
  </si>
  <si>
    <t>SRM/25-26/329</t>
  </si>
  <si>
    <t>026</t>
  </si>
  <si>
    <t>PV/HO/2526/0886</t>
  </si>
  <si>
    <t>029</t>
  </si>
  <si>
    <t>028</t>
  </si>
  <si>
    <t>ASL2627TRS00083</t>
  </si>
  <si>
    <t>PV/GUJ/2627/0164</t>
  </si>
  <si>
    <t>031</t>
  </si>
  <si>
    <t>030</t>
  </si>
  <si>
    <t>2026-27/MAY061</t>
  </si>
  <si>
    <t>033</t>
  </si>
  <si>
    <t>032</t>
  </si>
  <si>
    <t>2627-102</t>
  </si>
  <si>
    <t>PV/WBG/2627/0060</t>
  </si>
  <si>
    <t>JV/HO/2526/0326</t>
  </si>
  <si>
    <t>Ash/55</t>
  </si>
  <si>
    <t>PO/MHF/2526/0147</t>
  </si>
  <si>
    <t>03099</t>
  </si>
  <si>
    <t>JV/WBA/2627/0008</t>
  </si>
  <si>
    <t>034</t>
  </si>
  <si>
    <t>035</t>
  </si>
  <si>
    <t>KE-2026-27/15</t>
  </si>
  <si>
    <t>036</t>
  </si>
  <si>
    <t>037</t>
  </si>
  <si>
    <t>RND/81/26-27</t>
  </si>
  <si>
    <t>Ash/26-27-002</t>
  </si>
  <si>
    <t>FI4024002632</t>
  </si>
  <si>
    <t>FI4037001463</t>
  </si>
  <si>
    <t>FI4037001465</t>
  </si>
  <si>
    <t>FI4019001284</t>
  </si>
  <si>
    <t>16</t>
  </si>
  <si>
    <t>2627-120</t>
  </si>
  <si>
    <t>2627-117</t>
  </si>
  <si>
    <t>2627-114</t>
  </si>
  <si>
    <t>PV/WBA/2627/0062</t>
  </si>
  <si>
    <t>MUMB-092173</t>
  </si>
  <si>
    <t>2026-27/0205</t>
  </si>
  <si>
    <t>2223517</t>
  </si>
  <si>
    <t>Ash/26-27-004</t>
  </si>
  <si>
    <t>Ash/26-27-003</t>
  </si>
  <si>
    <t>2221967</t>
  </si>
  <si>
    <t>ASL2627TRS00101</t>
  </si>
  <si>
    <t>FI4027003991</t>
  </si>
  <si>
    <t>FI4027004003</t>
  </si>
  <si>
    <t>PUN2627-13844</t>
  </si>
  <si>
    <t>INV/25-26/3615</t>
  </si>
  <si>
    <t>INV/25-26/3614</t>
  </si>
  <si>
    <t>INV/26-27/0328</t>
  </si>
  <si>
    <t>INV/26-27/0327</t>
  </si>
  <si>
    <t>INV/26-27/0071</t>
  </si>
  <si>
    <t>2026/MAY/002</t>
  </si>
  <si>
    <t>2026/MAY/001</t>
  </si>
  <si>
    <t>2026/APRIL/002</t>
  </si>
  <si>
    <t>2026/APRIL/003</t>
  </si>
  <si>
    <t>2026/APRIL/008</t>
  </si>
  <si>
    <t>2026/APRIL/009</t>
  </si>
  <si>
    <t>HM27/2627/010724</t>
  </si>
  <si>
    <t>IIC/1015/0426</t>
  </si>
  <si>
    <t>2627-133</t>
  </si>
  <si>
    <t>MPI/26-27/54</t>
  </si>
  <si>
    <t>07/MBS/UM/26-27</t>
  </si>
  <si>
    <t>MI/0162/2026-27</t>
  </si>
  <si>
    <t>28</t>
  </si>
  <si>
    <t>30</t>
  </si>
  <si>
    <t>48</t>
  </si>
  <si>
    <t>022/26-27</t>
  </si>
  <si>
    <t>018/26-27</t>
  </si>
  <si>
    <t>015/26-27</t>
  </si>
  <si>
    <t>020/26-27</t>
  </si>
  <si>
    <t>019/26-27</t>
  </si>
  <si>
    <t>016/26-27</t>
  </si>
  <si>
    <t>RIS/26-27/106</t>
  </si>
  <si>
    <t>2213797</t>
  </si>
  <si>
    <t>JV/HO/2627/0011</t>
  </si>
  <si>
    <t>JV/WBA/2627/0013</t>
  </si>
  <si>
    <t>2KL26ARMN42</t>
  </si>
  <si>
    <t>2KL26ARMN43</t>
  </si>
  <si>
    <t>13HY26ARMN2</t>
  </si>
  <si>
    <t>13HY26ARMN3</t>
  </si>
  <si>
    <t>MULMAY2603</t>
  </si>
  <si>
    <t>BBY-11804</t>
  </si>
  <si>
    <t>BBY-11805</t>
  </si>
  <si>
    <t>BBY-11801</t>
  </si>
  <si>
    <t>BBY-11802</t>
  </si>
  <si>
    <t>BBY-11803</t>
  </si>
  <si>
    <t>SPL/00314/26-27</t>
  </si>
  <si>
    <t>SE/29/2627/00022</t>
  </si>
  <si>
    <t>039</t>
  </si>
  <si>
    <t>040</t>
  </si>
  <si>
    <t>SSP-ULTRA-02/26-27</t>
  </si>
  <si>
    <t>INV/26-27/39</t>
  </si>
  <si>
    <t>DLI26BL001846</t>
  </si>
  <si>
    <t>DLI26BL001845</t>
  </si>
  <si>
    <t>DLI5BL011870</t>
  </si>
  <si>
    <t>DLI26BL001047</t>
  </si>
  <si>
    <t>682000196325</t>
  </si>
  <si>
    <t>3120</t>
  </si>
  <si>
    <t>3121</t>
  </si>
  <si>
    <t>ASL2526TRS00562</t>
  </si>
  <si>
    <t>IBALDW2526012006</t>
  </si>
  <si>
    <t>JV/GOA/2627/0019</t>
  </si>
  <si>
    <t>JV/GOA/2627/0022</t>
  </si>
  <si>
    <t>34</t>
  </si>
  <si>
    <t>JV/GOA/2627/0023</t>
  </si>
  <si>
    <t>JV/GOA/2627/0025</t>
  </si>
  <si>
    <t>2SR26ARS926</t>
  </si>
  <si>
    <t>2SR26ARS966</t>
  </si>
  <si>
    <t>2SR26ARS1042</t>
  </si>
  <si>
    <t>2SR26ARS1052</t>
  </si>
  <si>
    <t>JV/GOA/2627/0026</t>
  </si>
  <si>
    <t>JV/GOA/2627/0027</t>
  </si>
  <si>
    <t>JV/GOA/2627/0028</t>
  </si>
  <si>
    <t>UMPL/2026-27/014</t>
  </si>
  <si>
    <t>UMPL/2026-27/013</t>
  </si>
  <si>
    <t>SRI 041</t>
  </si>
  <si>
    <t>SRI 042</t>
  </si>
  <si>
    <t>APC/2026-27/035</t>
  </si>
  <si>
    <t>Ash/26-27-005</t>
  </si>
  <si>
    <t>Ash/26-27-006</t>
  </si>
  <si>
    <t>26-27-00452</t>
  </si>
  <si>
    <t>VG20050252</t>
  </si>
  <si>
    <t>VG20050251</t>
  </si>
  <si>
    <t>SPL/00448/26-27</t>
  </si>
  <si>
    <t>VG20050295</t>
  </si>
  <si>
    <t>VG20050287</t>
  </si>
  <si>
    <t>SRI 043</t>
  </si>
  <si>
    <t>PV/MHF/2627/0075</t>
  </si>
  <si>
    <t>KBS/02138/26-27</t>
  </si>
  <si>
    <t>SRI 044</t>
  </si>
  <si>
    <t>KBS/02171/26-27</t>
  </si>
  <si>
    <t>UMPL/2026-27/015</t>
  </si>
  <si>
    <t>TE/26-27/37</t>
  </si>
  <si>
    <t>26-27-00457</t>
  </si>
  <si>
    <t>VG20050389</t>
  </si>
  <si>
    <t>KBS/02217/26-27</t>
  </si>
  <si>
    <t>SRI 046</t>
  </si>
  <si>
    <t>SRI 045</t>
  </si>
  <si>
    <t>SRI 047</t>
  </si>
  <si>
    <t>UMPL/2026-27/016</t>
  </si>
  <si>
    <t>VG20050453</t>
  </si>
  <si>
    <t>VG20050452</t>
  </si>
  <si>
    <t>PV/MHF/2627/0078</t>
  </si>
  <si>
    <t>SRI 048</t>
  </si>
  <si>
    <t>PV/HO/2627/0076</t>
  </si>
  <si>
    <t>JV/HO/2627/0026</t>
  </si>
  <si>
    <t>UMPL/2026-27/017</t>
  </si>
  <si>
    <t>ULMAY26003</t>
  </si>
  <si>
    <t>APC/2026-27/071</t>
  </si>
  <si>
    <t>VG20050580</t>
  </si>
  <si>
    <t>VG20050604</t>
  </si>
  <si>
    <t>VG20050607</t>
  </si>
  <si>
    <t>SRI 049</t>
  </si>
  <si>
    <t>SRLGOA005/26-27</t>
  </si>
  <si>
    <t>GDP/26-27/262</t>
  </si>
  <si>
    <t>KBS/02445/26-27</t>
  </si>
  <si>
    <t>SRI 050</t>
  </si>
  <si>
    <t>VG20050676</t>
  </si>
  <si>
    <t>SRI 051</t>
  </si>
  <si>
    <t>C-17</t>
  </si>
  <si>
    <t>HM27/2627/006479</t>
  </si>
  <si>
    <t>2026-27/JUN086</t>
  </si>
  <si>
    <t>NULFEB2601</t>
  </si>
  <si>
    <t>SRI 053</t>
  </si>
  <si>
    <t>SRI 052</t>
  </si>
  <si>
    <t>VG20050731</t>
  </si>
  <si>
    <t>VG20050732</t>
  </si>
  <si>
    <t>43</t>
  </si>
  <si>
    <t>PV/MHW/2627/0123</t>
  </si>
  <si>
    <t>UMPL/2026-27/018</t>
  </si>
  <si>
    <t>SRI 054</t>
  </si>
  <si>
    <t>SRI 055</t>
  </si>
  <si>
    <t>PV/MHW/2627/0125</t>
  </si>
  <si>
    <t>APC/2026-27/057</t>
  </si>
  <si>
    <t>26-27-00469</t>
  </si>
  <si>
    <t>VG20050765</t>
  </si>
  <si>
    <t>PV/WBG/2627/0089</t>
  </si>
  <si>
    <t>SRI 056</t>
  </si>
  <si>
    <t>SRI 057</t>
  </si>
  <si>
    <t>0RLGOA006/26-27</t>
  </si>
  <si>
    <t>PV/TN/2627/0008</t>
  </si>
  <si>
    <t>TE/26-27/43</t>
  </si>
  <si>
    <t>WCIN-2627-270435</t>
  </si>
  <si>
    <t>3157</t>
  </si>
  <si>
    <t>3158</t>
  </si>
  <si>
    <t>3159</t>
  </si>
  <si>
    <t>VG20050795</t>
  </si>
  <si>
    <t>VG20050810</t>
  </si>
  <si>
    <t>PV/HR/2627/0077</t>
  </si>
  <si>
    <t>PV/GUJ/2627/0278</t>
  </si>
  <si>
    <t>JPL/SALE/26/102</t>
  </si>
  <si>
    <t>JPL/SALE/26/098</t>
  </si>
  <si>
    <t>JPL/SALE/26/099</t>
  </si>
  <si>
    <t>JPL/SALE/26/100</t>
  </si>
  <si>
    <t>JPL/SALE/26/101</t>
  </si>
  <si>
    <t>KBS/02580/26-27</t>
  </si>
  <si>
    <t>KBS/02597/26-27</t>
  </si>
  <si>
    <t>UMPL/2026-27/019</t>
  </si>
  <si>
    <t>SRI 058</t>
  </si>
  <si>
    <t>SRI 059</t>
  </si>
  <si>
    <t>SRI 060</t>
  </si>
  <si>
    <t>ASL2627TRS00142</t>
  </si>
  <si>
    <t>ASL2627TRA00143</t>
  </si>
  <si>
    <t>VG20050829</t>
  </si>
  <si>
    <t>PV/HR/2627/0070</t>
  </si>
  <si>
    <t>2357</t>
  </si>
  <si>
    <t>SRI 061</t>
  </si>
  <si>
    <t>SRI 062</t>
  </si>
  <si>
    <t>SRI 063</t>
  </si>
  <si>
    <t>26-27-00470</t>
  </si>
  <si>
    <t>BE/14/26</t>
  </si>
  <si>
    <t>PV/MHF/2627/0098</t>
  </si>
  <si>
    <t>RC/WBA/2627/0043</t>
  </si>
  <si>
    <t>APC/2026-27/063</t>
  </si>
  <si>
    <t>22</t>
  </si>
  <si>
    <t>SRI 064</t>
  </si>
  <si>
    <t>Ash/26-27-009</t>
  </si>
  <si>
    <t>ASL2627FLY40114</t>
  </si>
  <si>
    <t>ASL2627FLY40123</t>
  </si>
  <si>
    <t>ASL2627FLY40131</t>
  </si>
  <si>
    <t>VG20050902</t>
  </si>
  <si>
    <t>PV/HR/2627/0072</t>
  </si>
  <si>
    <t>PV/HR/2627/0078</t>
  </si>
  <si>
    <t>2359</t>
  </si>
  <si>
    <t>ULJUN26001</t>
  </si>
  <si>
    <t>SRI 065</t>
  </si>
  <si>
    <t>VG20050929</t>
  </si>
  <si>
    <t>VG20050933</t>
  </si>
  <si>
    <t>VG20050934</t>
  </si>
  <si>
    <t>PV/GUJ/2627/0270</t>
  </si>
  <si>
    <t>PV/GUJ/2627/0271</t>
  </si>
  <si>
    <t>PV/GUJ/2627/0272</t>
  </si>
  <si>
    <t>2361</t>
  </si>
  <si>
    <t>SRI 066</t>
  </si>
  <si>
    <t>NE0K272611003290</t>
  </si>
  <si>
    <t>NE0K272611003213</t>
  </si>
  <si>
    <t>NE0K272611003069</t>
  </si>
  <si>
    <t>NE0K272611003211</t>
  </si>
  <si>
    <t>NE0K272611003013</t>
  </si>
  <si>
    <t>NE0K272611003122</t>
  </si>
  <si>
    <t>NE0K272611003312</t>
  </si>
  <si>
    <t>NE0K272611003242</t>
  </si>
  <si>
    <t>NE0K272611003145</t>
  </si>
  <si>
    <t>NE0K272611003306</t>
  </si>
  <si>
    <t>NE0K272611003423</t>
  </si>
  <si>
    <t>NE0K272611003417</t>
  </si>
  <si>
    <t>NE0K272611003416</t>
  </si>
  <si>
    <t>NE0K272611003409</t>
  </si>
  <si>
    <t>NE0K272611003404</t>
  </si>
  <si>
    <t>NE0K272611003365</t>
  </si>
  <si>
    <t>NE0K272611003360</t>
  </si>
  <si>
    <t>NE0K272611003389</t>
  </si>
  <si>
    <t>NE0K272611003415</t>
  </si>
  <si>
    <t>NE0K272611003351</t>
  </si>
  <si>
    <t>NE0K272611003329</t>
  </si>
  <si>
    <t>Ash/26-27-011</t>
  </si>
  <si>
    <t>Ash/26-27-010</t>
  </si>
  <si>
    <t>VG20050984</t>
  </si>
  <si>
    <t>VG20050986</t>
  </si>
  <si>
    <t>KBS/02790/26-27</t>
  </si>
  <si>
    <t>JK/110/26-27</t>
  </si>
  <si>
    <t>SRI 067</t>
  </si>
  <si>
    <t>SRI 068</t>
  </si>
  <si>
    <t>SRI 069</t>
  </si>
  <si>
    <t>VG20051023</t>
  </si>
  <si>
    <t>VG20051026</t>
  </si>
  <si>
    <t>SRI 070</t>
  </si>
  <si>
    <t>SRI 071</t>
  </si>
  <si>
    <t>26-27-00472</t>
  </si>
  <si>
    <t>PV/GUJ/2627/0261</t>
  </si>
  <si>
    <t>VG20051051</t>
  </si>
  <si>
    <t>VG20051058</t>
  </si>
  <si>
    <t>VG20051147</t>
  </si>
  <si>
    <t>VG20051148</t>
  </si>
  <si>
    <t>SRI 072</t>
  </si>
  <si>
    <t>SRI 073</t>
  </si>
  <si>
    <t>APC/2026-27/066</t>
  </si>
  <si>
    <t>26-27-00473</t>
  </si>
  <si>
    <t>FI4027004536</t>
  </si>
  <si>
    <t>PV/HR/2627/0083</t>
  </si>
  <si>
    <t>PV/HR/2627/0084</t>
  </si>
  <si>
    <t>PV/HR/2627/0085</t>
  </si>
  <si>
    <t>PV/HR/2627/0086</t>
  </si>
  <si>
    <t>13HY26ARMN7</t>
  </si>
  <si>
    <t>SRI 074</t>
  </si>
  <si>
    <t>SRI 075</t>
  </si>
  <si>
    <t>SRI 076</t>
  </si>
  <si>
    <t>APC/2026-27/073</t>
  </si>
  <si>
    <t>NE03272600001589</t>
  </si>
  <si>
    <t>NE0K272611003744</t>
  </si>
  <si>
    <t>NE0K272611003733</t>
  </si>
  <si>
    <t>NE0K272611003679</t>
  </si>
  <si>
    <t>NE03272600001684</t>
  </si>
  <si>
    <t>NE0K272611002673</t>
  </si>
  <si>
    <t>NE0K272611003589</t>
  </si>
  <si>
    <t>NE0K272611003606</t>
  </si>
  <si>
    <t>NE0K272611003607</t>
  </si>
  <si>
    <t>NE0K272611003635</t>
  </si>
  <si>
    <t>NE0K272611003639</t>
  </si>
  <si>
    <t>NE0K272611003654</t>
  </si>
  <si>
    <t>NE03272600001573</t>
  </si>
  <si>
    <t>NE0K272611003756</t>
  </si>
  <si>
    <t>NE03272600001747</t>
  </si>
  <si>
    <t>NE0K272611003804</t>
  </si>
  <si>
    <t>NE0K272611003614</t>
  </si>
  <si>
    <t>NE0K272611003803</t>
  </si>
  <si>
    <t>NE0K272611003794</t>
  </si>
  <si>
    <t>NE0K272611003780</t>
  </si>
  <si>
    <t>NE0K272611003793</t>
  </si>
  <si>
    <t>NE0K272611003796</t>
  </si>
  <si>
    <t>NE0K272611003758</t>
  </si>
  <si>
    <t>NE0K272611003811</t>
  </si>
  <si>
    <t>NE0K272611003817</t>
  </si>
  <si>
    <t>NE0K272611003837</t>
  </si>
  <si>
    <t>NE0K272611003902</t>
  </si>
  <si>
    <t>NE0K272611003952</t>
  </si>
  <si>
    <t>NE03272600001751</t>
  </si>
  <si>
    <t>NE0K272611004076</t>
  </si>
  <si>
    <t>NE0K272611003842</t>
  </si>
  <si>
    <t>NE0K272611003941</t>
  </si>
  <si>
    <t>NE0K272611003927</t>
  </si>
  <si>
    <t>NE0K272611003967</t>
  </si>
  <si>
    <t>NE0K272611003983</t>
  </si>
  <si>
    <t>NE0K272611004017</t>
  </si>
  <si>
    <t>NE0K272611004030</t>
  </si>
  <si>
    <t>NE0K272611004093</t>
  </si>
  <si>
    <t>NE0K272611004094</t>
  </si>
  <si>
    <t>NE0K272611004083</t>
  </si>
  <si>
    <t>NE0K272611004100</t>
  </si>
  <si>
    <t>NE0K272611004082</t>
  </si>
  <si>
    <t>NE0K272611004148</t>
  </si>
  <si>
    <t>NE0K272611004149</t>
  </si>
  <si>
    <t>UM-017/26-27</t>
  </si>
  <si>
    <t>UM-016/26-27</t>
  </si>
  <si>
    <t>UM-014/26-27</t>
  </si>
  <si>
    <t>Ash/26-27-013</t>
  </si>
  <si>
    <t>Ash/26-27-017</t>
  </si>
  <si>
    <t>ASL2627FLY40152</t>
  </si>
  <si>
    <t>ASL2627TRS00191</t>
  </si>
  <si>
    <t>ASL2627FLY40166</t>
  </si>
  <si>
    <t>ASL2627FLY40173</t>
  </si>
  <si>
    <t>26-27-00481</t>
  </si>
  <si>
    <t>26-27-00482</t>
  </si>
  <si>
    <t>26-27-00483</t>
  </si>
  <si>
    <t>BE/11/26</t>
  </si>
  <si>
    <t>BE/13/26</t>
  </si>
  <si>
    <t>15</t>
  </si>
  <si>
    <t>BE/16/26</t>
  </si>
  <si>
    <t>B06/26-27</t>
  </si>
  <si>
    <t>C-20</t>
  </si>
  <si>
    <t>VG20051209</t>
  </si>
  <si>
    <t>VG20051211</t>
  </si>
  <si>
    <t>CFAL/26-27/273</t>
  </si>
  <si>
    <t>FI4037002154</t>
  </si>
  <si>
    <t>FI4037002155</t>
  </si>
  <si>
    <t>FI4037002153</t>
  </si>
  <si>
    <t>FI4027006132</t>
  </si>
  <si>
    <t>FI4019001921</t>
  </si>
  <si>
    <t>10062624UMA0084</t>
  </si>
  <si>
    <t>26-27/G-7891</t>
  </si>
  <si>
    <t>598</t>
  </si>
  <si>
    <t>3124</t>
  </si>
  <si>
    <t>3108</t>
  </si>
  <si>
    <t>3107</t>
  </si>
  <si>
    <t>2026/JUNE/002</t>
  </si>
  <si>
    <t>2026/JUNE/004</t>
  </si>
  <si>
    <t>0GTC0082/26-27</t>
  </si>
  <si>
    <t>HM27/2627/014589</t>
  </si>
  <si>
    <t>HM27/2526/148475</t>
  </si>
  <si>
    <t>JV/HO/2627/0027</t>
  </si>
  <si>
    <t>JFC/26-27/0072</t>
  </si>
  <si>
    <t>JPL/SALE/26/113</t>
  </si>
  <si>
    <t>JPL/SALE/26/114</t>
  </si>
  <si>
    <t>2627-221</t>
  </si>
  <si>
    <t>51</t>
  </si>
  <si>
    <t>MPI/26-27/142</t>
  </si>
  <si>
    <t>MPI/26-27/141</t>
  </si>
  <si>
    <t>08/MBS/UM/26-27</t>
  </si>
  <si>
    <t>113</t>
  </si>
  <si>
    <t>114</t>
  </si>
  <si>
    <t>115</t>
  </si>
  <si>
    <t>121</t>
  </si>
  <si>
    <t>117</t>
  </si>
  <si>
    <t>119</t>
  </si>
  <si>
    <t>123</t>
  </si>
  <si>
    <t>31</t>
  </si>
  <si>
    <t>Jun 48</t>
  </si>
  <si>
    <t>063/26-27</t>
  </si>
  <si>
    <t>060/26-27</t>
  </si>
  <si>
    <t>23</t>
  </si>
  <si>
    <t>H26S0005</t>
  </si>
  <si>
    <t>2KL26ARMN67</t>
  </si>
  <si>
    <t>2KL26ARMN68</t>
  </si>
  <si>
    <t>2KL26ARMN71</t>
  </si>
  <si>
    <t>13HY26ARMN4</t>
  </si>
  <si>
    <t>13HY26ARMN6</t>
  </si>
  <si>
    <t>RMB-37-2026-27</t>
  </si>
  <si>
    <t>RMB-35-2026-27</t>
  </si>
  <si>
    <t>RM/06/006</t>
  </si>
  <si>
    <t>262900001</t>
  </si>
  <si>
    <t>262900002</t>
  </si>
  <si>
    <t>262900003</t>
  </si>
  <si>
    <t>260302848</t>
  </si>
  <si>
    <t>NULJUN2601</t>
  </si>
  <si>
    <t>ULJUN26002</t>
  </si>
  <si>
    <t>NULJUN2602</t>
  </si>
  <si>
    <t>ULJUN26003</t>
  </si>
  <si>
    <t>BBY-11962</t>
  </si>
  <si>
    <t>BBY-11963</t>
  </si>
  <si>
    <t>BBY-11957</t>
  </si>
  <si>
    <t>BBY-11958</t>
  </si>
  <si>
    <t>BBY-11959</t>
  </si>
  <si>
    <t>BBY-11956</t>
  </si>
  <si>
    <t>BBY-11961</t>
  </si>
  <si>
    <t>BBY-11960</t>
  </si>
  <si>
    <t>SS/26-27/099</t>
  </si>
  <si>
    <t>SS/26-27/096</t>
  </si>
  <si>
    <t>SS/26-27/098</t>
  </si>
  <si>
    <t>SS/26-27/0109</t>
  </si>
  <si>
    <t>1953</t>
  </si>
  <si>
    <t>375</t>
  </si>
  <si>
    <t>SK/06/26-27</t>
  </si>
  <si>
    <t>SE/29/2627/00049</t>
  </si>
  <si>
    <t>SRI 077</t>
  </si>
  <si>
    <t>SRLGOA007/26-27</t>
  </si>
  <si>
    <t>SRLGOA008/26-27</t>
  </si>
  <si>
    <t>14</t>
  </si>
  <si>
    <t>TPI/134/26-27</t>
  </si>
  <si>
    <t>VMK-FT-260313</t>
  </si>
  <si>
    <t>VMK-FT-260272</t>
  </si>
  <si>
    <t>181</t>
  </si>
  <si>
    <t>3177</t>
  </si>
  <si>
    <t>3170</t>
  </si>
  <si>
    <t>3178</t>
  </si>
  <si>
    <t>3179</t>
  </si>
  <si>
    <t>3180</t>
  </si>
  <si>
    <t>3184</t>
  </si>
  <si>
    <t>2915</t>
  </si>
  <si>
    <t>2898</t>
  </si>
  <si>
    <t>26-27-00484</t>
  </si>
  <si>
    <t>26-27-00485</t>
  </si>
  <si>
    <t>BSP/2026-27/1</t>
  </si>
  <si>
    <t>BSP/2026-27/27</t>
  </si>
  <si>
    <t>BSP/2026-27/29</t>
  </si>
  <si>
    <t>04</t>
  </si>
  <si>
    <t>PV/HO/2627/0126</t>
  </si>
  <si>
    <t>ITC-0212/26-27</t>
  </si>
  <si>
    <t>ITC-0207/26-27</t>
  </si>
  <si>
    <t>589</t>
  </si>
  <si>
    <t>MC-14/26-27</t>
  </si>
  <si>
    <t>MC-15/26-27</t>
  </si>
  <si>
    <t>3222</t>
  </si>
  <si>
    <t>3223</t>
  </si>
  <si>
    <t>3221</t>
  </si>
  <si>
    <t>3137</t>
  </si>
  <si>
    <t>3142</t>
  </si>
  <si>
    <t>2379</t>
  </si>
  <si>
    <t>2370</t>
  </si>
  <si>
    <t>2396</t>
  </si>
  <si>
    <t>RM-UF-13</t>
  </si>
  <si>
    <t>SPL/00590/26-27</t>
  </si>
  <si>
    <t>UMPL/2026-27/020</t>
  </si>
  <si>
    <t>SML-17/2026-27</t>
  </si>
  <si>
    <t>SRI 078</t>
  </si>
  <si>
    <t>SRI 079</t>
  </si>
  <si>
    <t>88</t>
  </si>
  <si>
    <t>4927</t>
  </si>
  <si>
    <t>164</t>
  </si>
  <si>
    <t>TE/26-27/49</t>
  </si>
  <si>
    <t>VG20051285</t>
  </si>
  <si>
    <t>VG20051286</t>
  </si>
  <si>
    <t>2397</t>
  </si>
  <si>
    <t>SRI 080</t>
  </si>
  <si>
    <t>PO/UMAPL/HO/BE/30</t>
  </si>
  <si>
    <t>PV/WBG/2627/0103</t>
  </si>
  <si>
    <t>PV/HO/2627/0127</t>
  </si>
  <si>
    <t>LTPL11184</t>
  </si>
  <si>
    <t>LTPL11185</t>
  </si>
  <si>
    <t>UMPL/2026-27/021</t>
  </si>
  <si>
    <t>SRI 081</t>
  </si>
  <si>
    <t>AH-00030/2026</t>
  </si>
  <si>
    <t>VG20051358</t>
  </si>
  <si>
    <t>PV/HO/2627/0128</t>
  </si>
  <si>
    <t>RM/07/25</t>
  </si>
  <si>
    <t>SRI 082</t>
  </si>
  <si>
    <t>SRI 083</t>
  </si>
  <si>
    <t>VG20051367</t>
  </si>
  <si>
    <t>VG20051369</t>
  </si>
  <si>
    <t>VG20051375</t>
  </si>
  <si>
    <t>3299</t>
  </si>
  <si>
    <t>SRI 084</t>
  </si>
  <si>
    <t>SRI 085</t>
  </si>
  <si>
    <t>APC/2026-27/079</t>
  </si>
  <si>
    <t>02238794</t>
  </si>
  <si>
    <t>VG20051395</t>
  </si>
  <si>
    <t>VG20051399</t>
  </si>
  <si>
    <t>2026-27/JUL009</t>
  </si>
  <si>
    <t>RND/193/26-27</t>
  </si>
  <si>
    <t>SRI 086</t>
  </si>
  <si>
    <t>VBR/UF/26-27/Vizag/038</t>
  </si>
  <si>
    <t>VBR/UF/26-27/Vizag/041</t>
  </si>
  <si>
    <t>PV/HO/2627/0129</t>
  </si>
  <si>
    <t>3305</t>
  </si>
  <si>
    <t>UMPL/2026-27/023</t>
  </si>
  <si>
    <t>JK/119/26-27</t>
  </si>
  <si>
    <t>DLI26BL003018</t>
  </si>
  <si>
    <t>PV/HR/2627/0091</t>
  </si>
  <si>
    <t>PV/HR/2627/0092</t>
  </si>
  <si>
    <t>PV/HO/2627/0131</t>
  </si>
  <si>
    <t>KR/2026-27/322</t>
  </si>
  <si>
    <t>JK/120/26-27</t>
  </si>
  <si>
    <t>SRI 087</t>
  </si>
  <si>
    <t>SRI 088</t>
  </si>
  <si>
    <t>SRI 089</t>
  </si>
  <si>
    <t>SRI 090</t>
  </si>
  <si>
    <t>SRI 091</t>
  </si>
  <si>
    <t>VBR/UF/26-27/Vizag/040</t>
  </si>
  <si>
    <t>VG20051487</t>
  </si>
  <si>
    <t>VG20051495</t>
  </si>
  <si>
    <t>VG20051498</t>
  </si>
  <si>
    <t>DJKPTH/2026/109</t>
  </si>
  <si>
    <t>JV/HO/2627/0058</t>
  </si>
  <si>
    <t>3311</t>
  </si>
  <si>
    <t>NC/2026-27-66</t>
  </si>
  <si>
    <t>NC/2026-27-64</t>
  </si>
  <si>
    <t>SRI 092</t>
  </si>
  <si>
    <t>SRI 093</t>
  </si>
  <si>
    <t>MUMB-093805</t>
  </si>
  <si>
    <t>BE/18/26</t>
  </si>
  <si>
    <t>JV/HR/2627/0062</t>
  </si>
  <si>
    <t>JV/HR/2627/0063</t>
  </si>
  <si>
    <t>JV/HR/2627/0064</t>
  </si>
  <si>
    <t>JV/HR/2627/0065</t>
  </si>
  <si>
    <t>DJKPTH/2026/108</t>
  </si>
  <si>
    <t>PV/HR/2627/0095</t>
  </si>
  <si>
    <t>JV/WBG/2627/0080</t>
  </si>
  <si>
    <t>JV/WBG/2627/0081</t>
  </si>
  <si>
    <t>JV/WBG/2627/0082</t>
  </si>
  <si>
    <t>JV/WBG/2627/0083</t>
  </si>
  <si>
    <t>JV/MHP/2526/0002</t>
  </si>
  <si>
    <t>JV/MHP/2526/0003</t>
  </si>
  <si>
    <t>DJKPTH/2026/113</t>
  </si>
  <si>
    <t>DJKPTH/2026/115</t>
  </si>
  <si>
    <t>JV/MHP/2526/0004</t>
  </si>
  <si>
    <t>JV/MHP/2526/0005</t>
  </si>
  <si>
    <t>2026/MAY/004</t>
  </si>
  <si>
    <t>2026/MAY/003</t>
  </si>
  <si>
    <t>2026/MAY/005</t>
  </si>
  <si>
    <t>PV/GUJ/2627/0314</t>
  </si>
  <si>
    <t>JV/WBG/2627/0084</t>
  </si>
  <si>
    <t>JV/WBG/2627/0085</t>
  </si>
  <si>
    <t>RGB26-27/201</t>
  </si>
  <si>
    <t>SS/25-26/7/11</t>
  </si>
  <si>
    <t>SS/26-27/8/1</t>
  </si>
  <si>
    <t>2750700963</t>
  </si>
  <si>
    <t>WWA/99/26-27</t>
  </si>
  <si>
    <t>WWA/98/26-27</t>
  </si>
  <si>
    <t>VG20051543</t>
  </si>
  <si>
    <t>VG20051544</t>
  </si>
  <si>
    <t>SRI 094</t>
  </si>
  <si>
    <t>SRI 095</t>
  </si>
  <si>
    <t>SRI 096</t>
  </si>
  <si>
    <t>SRI 097</t>
  </si>
  <si>
    <t>VBR/UF/26-27/Vizag/042</t>
  </si>
  <si>
    <t>26-27-00486</t>
  </si>
  <si>
    <t>26-27-00487</t>
  </si>
  <si>
    <t>004/26-27</t>
  </si>
  <si>
    <t>SRI 098</t>
  </si>
  <si>
    <t>PV/MHW/2627/0156</t>
  </si>
  <si>
    <t>VG20051602</t>
  </si>
  <si>
    <t>VG20051607</t>
  </si>
  <si>
    <t>VG20051633</t>
  </si>
  <si>
    <t>3322</t>
  </si>
  <si>
    <t>SRI 099</t>
  </si>
  <si>
    <t>SRI 100</t>
  </si>
  <si>
    <t>VBR/UF/26-27/Vizag/043</t>
  </si>
  <si>
    <t>VBR/UF/26-27/Vizag/044</t>
  </si>
  <si>
    <t>VBR/UF/26-27/Vizag/045</t>
  </si>
  <si>
    <t>165/26-27</t>
  </si>
  <si>
    <t>NE03272600001831</t>
  </si>
  <si>
    <t>NE03272600001785</t>
  </si>
  <si>
    <t>NE0K272611004303</t>
  </si>
  <si>
    <t>NE0K272611004356</t>
  </si>
  <si>
    <t>NE0K272611004304</t>
  </si>
  <si>
    <t>NE0K272611004336</t>
  </si>
  <si>
    <t>NE0K272611004338</t>
  </si>
  <si>
    <t>NE0K272611004337</t>
  </si>
  <si>
    <t>NE0K272611004256</t>
  </si>
  <si>
    <t>NE0K272611004271</t>
  </si>
  <si>
    <t>NE0K272611004234</t>
  </si>
  <si>
    <t>NE0K272611004222</t>
  </si>
  <si>
    <t>NE0K272611004223</t>
  </si>
  <si>
    <t>NE0K272611004227</t>
  </si>
  <si>
    <t>NE0K272611004221</t>
  </si>
  <si>
    <t>NE0K272611004180</t>
  </si>
  <si>
    <t>NE0K272611004191</t>
  </si>
  <si>
    <t>NE0K272611004205</t>
  </si>
  <si>
    <t>NE0K272611004197</t>
  </si>
  <si>
    <t>NE0K272611004179</t>
  </si>
  <si>
    <t>VG20051647</t>
  </si>
  <si>
    <t>SRI 101</t>
  </si>
  <si>
    <t>SRI 102</t>
  </si>
  <si>
    <t>SRI 103</t>
  </si>
  <si>
    <t>SRI 104</t>
  </si>
  <si>
    <t>VBR/UF/26-27/Vizag/046</t>
  </si>
  <si>
    <t>VG20051684</t>
  </si>
  <si>
    <t>VG20051687</t>
  </si>
  <si>
    <t>VG20051693</t>
  </si>
  <si>
    <t>VG20051697</t>
  </si>
  <si>
    <t>INV/26-27/0883</t>
  </si>
  <si>
    <t>DN/GOA/2627/001</t>
  </si>
  <si>
    <t>SRI 105</t>
  </si>
  <si>
    <t>4963</t>
  </si>
  <si>
    <t>2026-27/280</t>
  </si>
  <si>
    <t>2026-27/279</t>
  </si>
  <si>
    <t>VBR/UF/26-27/Vizag/047</t>
  </si>
  <si>
    <t>VBR/UF/26-27/Vizag/048</t>
  </si>
  <si>
    <t>DN/GOA/2627/002</t>
  </si>
  <si>
    <t>C-24</t>
  </si>
  <si>
    <t>VG20051724</t>
  </si>
  <si>
    <t>VG20051740</t>
  </si>
  <si>
    <t>RM-UF-14</t>
  </si>
  <si>
    <t>JK/122/26-27</t>
  </si>
  <si>
    <t>SRI 106</t>
  </si>
  <si>
    <t>SRI 107</t>
  </si>
  <si>
    <t>SRI 108</t>
  </si>
  <si>
    <t>VBR/UF/26-27/Vizag/049</t>
  </si>
  <si>
    <t>VMK-FT-260342</t>
  </si>
  <si>
    <t>VG20051749</t>
  </si>
  <si>
    <t>VG20051751</t>
  </si>
  <si>
    <t>PV/MHF/2627/0139</t>
  </si>
  <si>
    <t>3328</t>
  </si>
  <si>
    <t>3327</t>
  </si>
  <si>
    <t>SRI 109</t>
  </si>
  <si>
    <t>SRI 110</t>
  </si>
  <si>
    <t>3181</t>
  </si>
  <si>
    <t>3182</t>
  </si>
  <si>
    <t>3183</t>
  </si>
  <si>
    <t>NE0K272611004389</t>
  </si>
  <si>
    <t>NE0K272611004396</t>
  </si>
  <si>
    <t>NE0K272611004391</t>
  </si>
  <si>
    <t>NE0K272611004381</t>
  </si>
  <si>
    <t>UM-018/26-27</t>
  </si>
  <si>
    <t>VG20051785</t>
  </si>
  <si>
    <t>VG20051786</t>
  </si>
  <si>
    <t>PV/HO/2627/0153</t>
  </si>
  <si>
    <t>MBI/26-27/18</t>
  </si>
  <si>
    <t>3329</t>
  </si>
  <si>
    <t>RM-UF-15</t>
  </si>
  <si>
    <t>RM-UF-16</t>
  </si>
  <si>
    <t>RM-UF-17</t>
  </si>
  <si>
    <t>SCM61850</t>
  </si>
  <si>
    <t>SRI 111</t>
  </si>
  <si>
    <t>INV/26-27/93</t>
  </si>
  <si>
    <t>INV/26-27/94</t>
  </si>
  <si>
    <t>VBR/UF/26-27/Vizag/050</t>
  </si>
  <si>
    <t>VBR/UF/26-27/Vizag/051</t>
  </si>
  <si>
    <t>VBR/UF/26-27/Vizag/052</t>
  </si>
  <si>
    <t>ASL2627TRS00269</t>
  </si>
  <si>
    <t>VG20051837</t>
  </si>
  <si>
    <t>VG20051839</t>
  </si>
  <si>
    <t>PV/HR/2627/0102</t>
  </si>
  <si>
    <t>55</t>
  </si>
  <si>
    <t>013/26-27</t>
  </si>
  <si>
    <t>SRI 112</t>
  </si>
  <si>
    <t>SRI 113</t>
  </si>
  <si>
    <t>SRI 114</t>
  </si>
  <si>
    <t>VG20051883</t>
  </si>
  <si>
    <t>VG20051885</t>
  </si>
  <si>
    <t>JV/WBG/2627/0086</t>
  </si>
  <si>
    <t>JV/WBG/2627/0087</t>
  </si>
  <si>
    <t>PV/WBG/2627/0127</t>
  </si>
  <si>
    <t>RM-UF-18</t>
  </si>
  <si>
    <t>SAM/66</t>
  </si>
  <si>
    <t>GST/064/26-27</t>
  </si>
  <si>
    <t>SRI 115</t>
  </si>
  <si>
    <t>SRI 116</t>
  </si>
  <si>
    <t>NE0K272611004714</t>
  </si>
  <si>
    <t>NE0K272611004712</t>
  </si>
  <si>
    <t>NE0K272611004711</t>
  </si>
  <si>
    <t>NE0K272611004419</t>
  </si>
  <si>
    <t>NE0K272611004642</t>
  </si>
  <si>
    <t>NE0K272611004647</t>
  </si>
  <si>
    <t>NE0K272611004653</t>
  </si>
  <si>
    <t>NE0K272611004654</t>
  </si>
  <si>
    <t>NE0K272611004707</t>
  </si>
  <si>
    <t>NE0K272611004709</t>
  </si>
  <si>
    <t>DMK/MKT/26-27/04</t>
  </si>
  <si>
    <t>DJKPTH/2026/117</t>
  </si>
  <si>
    <t>DJKPTH/2026/119</t>
  </si>
  <si>
    <t>DJKPTH/2026/120</t>
  </si>
  <si>
    <t>DJKPTH/2026/123</t>
  </si>
  <si>
    <t>JV/HR/2627/0067</t>
  </si>
  <si>
    <t>JV/HR/2627/0068</t>
  </si>
  <si>
    <t>PV/HO/2627/0166</t>
  </si>
  <si>
    <t>MBI/26-27/19</t>
  </si>
  <si>
    <t>3334</t>
  </si>
  <si>
    <t>SS/26-27/0120</t>
  </si>
  <si>
    <t>59</t>
  </si>
  <si>
    <t>60</t>
  </si>
  <si>
    <t>SRI 117</t>
  </si>
  <si>
    <t>VMK-FT-260354</t>
  </si>
  <si>
    <t>APC/2026-27/096</t>
  </si>
  <si>
    <t>1538/GST/2627</t>
  </si>
  <si>
    <t>VG20051960</t>
  </si>
  <si>
    <t>VG20051965</t>
  </si>
  <si>
    <t>PV/HR/2627/0103</t>
  </si>
  <si>
    <t>PV/HR/2627/0104</t>
  </si>
  <si>
    <t>PV/MHF/2627/0154</t>
  </si>
  <si>
    <t>3335</t>
  </si>
  <si>
    <t>VBR/UF/26-27/Vizag/053</t>
  </si>
  <si>
    <t>VBR/UF/26-27/Vizag/054</t>
  </si>
  <si>
    <t>NE0K272611004812</t>
  </si>
  <si>
    <t>NE0K272611004749</t>
  </si>
  <si>
    <t>NE0K272611004771</t>
  </si>
  <si>
    <t>NE0K272611004766</t>
  </si>
  <si>
    <t>NE0K272611004737</t>
  </si>
  <si>
    <t>NE0K272611004822</t>
  </si>
  <si>
    <t>NE0K272611004811</t>
  </si>
  <si>
    <t>NE0K272611004809</t>
  </si>
  <si>
    <t>NE0K272611004789</t>
  </si>
  <si>
    <t>NE0K272611004784</t>
  </si>
  <si>
    <t>NE03272600002052</t>
  </si>
  <si>
    <t>PV/GUJ/2627/0368</t>
  </si>
  <si>
    <t>PV/WBG/2627/0138</t>
  </si>
  <si>
    <t>PV/HO/2627/0168</t>
  </si>
  <si>
    <t>2239047</t>
  </si>
  <si>
    <t>2627-248</t>
  </si>
  <si>
    <t>BSP/26-27/04</t>
  </si>
  <si>
    <t>FEI/04/26-27</t>
  </si>
  <si>
    <t>3347</t>
  </si>
  <si>
    <t>3345</t>
  </si>
  <si>
    <t>3344</t>
  </si>
  <si>
    <t>A102</t>
  </si>
  <si>
    <t>A08</t>
  </si>
  <si>
    <t>SRI 118</t>
  </si>
  <si>
    <t>RC/MHW/2627/0067</t>
  </si>
  <si>
    <t>3239</t>
  </si>
  <si>
    <t>BE-2627-32</t>
  </si>
  <si>
    <t>VG20052058</t>
  </si>
  <si>
    <t>VG20052061</t>
  </si>
  <si>
    <t>DSS/ASN/178</t>
  </si>
  <si>
    <t>DSS/ASN/179</t>
  </si>
  <si>
    <t>SRI 119</t>
  </si>
  <si>
    <t>APC/2026-27/056</t>
  </si>
  <si>
    <t>AIIS-0121/26-27</t>
  </si>
  <si>
    <t>NE0K272611004650</t>
  </si>
  <si>
    <t>NE0K272611004604</t>
  </si>
  <si>
    <t>NE0K272611004611</t>
  </si>
  <si>
    <t>NE03272600001982</t>
  </si>
  <si>
    <t>NE0K272611004565</t>
  </si>
  <si>
    <t>NE0K272611004584</t>
  </si>
  <si>
    <t>NE0K272611004557</t>
  </si>
  <si>
    <t>NE0K272611004434</t>
  </si>
  <si>
    <t>NE0K272611004441</t>
  </si>
  <si>
    <t>NE0K272611004439</t>
  </si>
  <si>
    <t>NE0K272611004440</t>
  </si>
  <si>
    <t>NE0K272611004480</t>
  </si>
  <si>
    <t>NE0K272611004479</t>
  </si>
  <si>
    <t>NE0K272611004507</t>
  </si>
  <si>
    <t>NE0K272611004520</t>
  </si>
  <si>
    <t>NE0K272611004518</t>
  </si>
  <si>
    <t>NE0K272611004524</t>
  </si>
  <si>
    <t>NE03272600001928</t>
  </si>
  <si>
    <t>NE03272600001863</t>
  </si>
  <si>
    <t>NE03272600001860</t>
  </si>
  <si>
    <t>UM-019/26-27</t>
  </si>
  <si>
    <t>BE-2627-P-01</t>
  </si>
  <si>
    <t>PV/HO/2627/0180</t>
  </si>
  <si>
    <t>674</t>
  </si>
  <si>
    <t>2627-238</t>
  </si>
  <si>
    <t>KE-2026-27/25</t>
  </si>
  <si>
    <t>2026-27/21</t>
  </si>
  <si>
    <t>065/26-27</t>
  </si>
  <si>
    <t>056/26-27</t>
  </si>
  <si>
    <t>2026-27/JUN512</t>
  </si>
  <si>
    <t>2026-27/JUN084</t>
  </si>
  <si>
    <t>RND/41/26-27</t>
  </si>
  <si>
    <t>SS/26-27/0115</t>
  </si>
  <si>
    <t>SS/26-27/0112</t>
  </si>
  <si>
    <t>SS/26-27/0118</t>
  </si>
  <si>
    <t>SS/26-27/0114</t>
  </si>
  <si>
    <t>58</t>
  </si>
  <si>
    <t>61</t>
  </si>
  <si>
    <t>SRI 120</t>
  </si>
  <si>
    <t>4983</t>
  </si>
  <si>
    <t>VBR/UF/26-27/Vizag/055</t>
  </si>
  <si>
    <t>VBR/UF/26-27/Vizag/056</t>
  </si>
  <si>
    <t>VMK-FT-260340</t>
  </si>
  <si>
    <t>VMK-FT-260353</t>
  </si>
  <si>
    <t>VMK-FT-260341</t>
  </si>
  <si>
    <t>VG20052118</t>
  </si>
  <si>
    <t>VG20052113</t>
  </si>
  <si>
    <t>33</t>
  </si>
  <si>
    <t>IIC/1138/0726</t>
  </si>
  <si>
    <t>PV/HO/2627/0190</t>
  </si>
  <si>
    <t>MBI/26-27/20</t>
  </si>
  <si>
    <t>177</t>
  </si>
  <si>
    <t>178</t>
  </si>
  <si>
    <t>090/26-27</t>
  </si>
  <si>
    <t>092/26-27</t>
  </si>
  <si>
    <t>014/26-27</t>
  </si>
  <si>
    <t>13HY26ARMN8</t>
  </si>
  <si>
    <t>13HY26ARMN9</t>
  </si>
  <si>
    <t>RC/GOA/2627/0063</t>
  </si>
  <si>
    <t>PV/APN/2627/059</t>
  </si>
  <si>
    <t>PV/APN/2627/060</t>
  </si>
  <si>
    <t>SRI 121</t>
  </si>
  <si>
    <t>SRLGOA011/26-27</t>
  </si>
  <si>
    <t>SRLGOA012/26-27</t>
  </si>
  <si>
    <t>VBR/UF/26-27/Vizag/057</t>
  </si>
  <si>
    <t>APC/2026-27/104</t>
  </si>
  <si>
    <t>NE03272600002138</t>
  </si>
  <si>
    <t>NE0K272611004952</t>
  </si>
  <si>
    <t>NE0K272611004819</t>
  </si>
  <si>
    <t>NE0K272611004947</t>
  </si>
  <si>
    <t>NE0K272611004932</t>
  </si>
  <si>
    <t>NE0K272611004906</t>
  </si>
  <si>
    <t>NE0K272611004883</t>
  </si>
  <si>
    <t>NE0K272611004903</t>
  </si>
  <si>
    <t>NE0K272611004876</t>
  </si>
  <si>
    <t>PV/GUJ/2627/0393</t>
  </si>
  <si>
    <t>Ash/26-27-029</t>
  </si>
  <si>
    <t>Ash/26-27-026</t>
  </si>
  <si>
    <t>Ash/26-27-023</t>
  </si>
  <si>
    <t>Ash/26-27-031</t>
  </si>
  <si>
    <t>RC/HO/26270074</t>
  </si>
  <si>
    <t>VG20052151</t>
  </si>
  <si>
    <t>VG20052149</t>
  </si>
  <si>
    <t>PV/HR/2627/0107</t>
  </si>
  <si>
    <t>PV/HR/2627/0106</t>
  </si>
  <si>
    <t>PV/HO/2627/0191</t>
  </si>
  <si>
    <t>1120.</t>
  </si>
  <si>
    <t>67</t>
  </si>
  <si>
    <t>66</t>
  </si>
  <si>
    <t>65</t>
  </si>
  <si>
    <t>63</t>
  </si>
  <si>
    <t>64</t>
  </si>
  <si>
    <t>SRI 122</t>
  </si>
  <si>
    <t>VBR/UF/26-27/Vizag/058</t>
  </si>
  <si>
    <t>VBR/UF/26-27/Vizag/059</t>
  </si>
  <si>
    <t>CR/9/00245/2025</t>
  </si>
  <si>
    <t>3357</t>
  </si>
  <si>
    <t>3355</t>
  </si>
  <si>
    <t>1CH26ARMN206</t>
  </si>
  <si>
    <t>1122</t>
  </si>
  <si>
    <t>SRI 123</t>
  </si>
  <si>
    <t>DLI26BL004178</t>
  </si>
  <si>
    <t>TR-24-26-27</t>
  </si>
  <si>
    <t>PV/HO/2627/0195</t>
  </si>
  <si>
    <t>2242454</t>
  </si>
  <si>
    <t>AI/0158/2627</t>
  </si>
  <si>
    <t>NE03272600002101</t>
  </si>
  <si>
    <t>NE0K272611004996</t>
  </si>
  <si>
    <t>NE0K272611004987</t>
  </si>
  <si>
    <t>NE0K272611004978</t>
  </si>
  <si>
    <t>NE0K272611004975</t>
  </si>
  <si>
    <t>NE0K272611004972</t>
  </si>
  <si>
    <t>NE0K272611004971</t>
  </si>
  <si>
    <t>NE0K272611005049</t>
  </si>
  <si>
    <t>NE0K272611005068</t>
  </si>
  <si>
    <t>NE0K272611005061</t>
  </si>
  <si>
    <t>NE0K272611005089</t>
  </si>
  <si>
    <t>NE0K272611005133</t>
  </si>
  <si>
    <t>NE0K272611004962</t>
  </si>
  <si>
    <t>NE0K272611005081</t>
  </si>
  <si>
    <t>NE0K272611005047</t>
  </si>
  <si>
    <t>NE0K272611004442</t>
  </si>
  <si>
    <t>NE0K272611004606</t>
  </si>
  <si>
    <t>NE03272600002197</t>
  </si>
  <si>
    <t>NE0K272611005099</t>
  </si>
  <si>
    <t>NE0K272611005178</t>
  </si>
  <si>
    <t>NE0K272611005190</t>
  </si>
  <si>
    <t>NE0K272611005193</t>
  </si>
  <si>
    <t>NE0K272611005160</t>
  </si>
  <si>
    <t>NE0K272611005148</t>
  </si>
  <si>
    <t>NE0K272611005146</t>
  </si>
  <si>
    <t>NE03272600002262</t>
  </si>
  <si>
    <t>NE0K272611005104</t>
  </si>
  <si>
    <t>NE0K272611005105</t>
  </si>
  <si>
    <t>PV/GUJ/2627/0396</t>
  </si>
  <si>
    <t>UM-020/26-27</t>
  </si>
  <si>
    <t>UM-021/26-27</t>
  </si>
  <si>
    <t>July 2026</t>
  </si>
  <si>
    <t>Ash/26-27-033</t>
  </si>
  <si>
    <t>Ash/26-27-035</t>
  </si>
  <si>
    <t>ASL2627FLY40203</t>
  </si>
  <si>
    <t>ASL2627TRS00299</t>
  </si>
  <si>
    <t>SG66</t>
  </si>
  <si>
    <t>914</t>
  </si>
  <si>
    <t>BT/26-27/009</t>
  </si>
  <si>
    <t>BT/26-27/010</t>
  </si>
  <si>
    <t>BBL272706B040387</t>
  </si>
  <si>
    <t>BBL242706B014215</t>
  </si>
  <si>
    <t>BBL272706B040453</t>
  </si>
  <si>
    <t>MF2730I000087496</t>
  </si>
  <si>
    <t>BE/19/26</t>
  </si>
  <si>
    <t>BE/17/26</t>
  </si>
  <si>
    <t>B07/26-27</t>
  </si>
  <si>
    <t>FI4037003036</t>
  </si>
  <si>
    <t>FI4027008385</t>
  </si>
  <si>
    <t>FI4027008380</t>
  </si>
  <si>
    <t>FI4027008381</t>
  </si>
  <si>
    <t>FI4027008382</t>
  </si>
  <si>
    <t>July/26</t>
  </si>
  <si>
    <t>FY26-27/196</t>
  </si>
  <si>
    <t>GIN0007414</t>
  </si>
  <si>
    <t>DMK/MKT/26-27/05</t>
  </si>
  <si>
    <t>DJKPTH/2026/126</t>
  </si>
  <si>
    <t>DJKPTH/2026//128</t>
  </si>
  <si>
    <t>DJKPTH/2026/131</t>
  </si>
  <si>
    <t>JV/MHW/2627/0076</t>
  </si>
  <si>
    <t>JV/MHW/2627/0077</t>
  </si>
  <si>
    <t>JV/WBG/2627/0089</t>
  </si>
  <si>
    <t>JV/HR/2627/0071</t>
  </si>
  <si>
    <t>JV/WBG/2627/0090</t>
  </si>
  <si>
    <t>JV/HR/2627/0072</t>
  </si>
  <si>
    <t>JV/GUJ/2627/0097</t>
  </si>
  <si>
    <t>JV/WBA/2627/0041</t>
  </si>
  <si>
    <t>JV/WBA/2627/0042</t>
  </si>
  <si>
    <t>JV/MHW/2627/0081</t>
  </si>
  <si>
    <t>JV/MHW/2627/0082</t>
  </si>
  <si>
    <t>JV/HR/2627/0073</t>
  </si>
  <si>
    <t>2026/JULY/001</t>
  </si>
  <si>
    <t>TLJ/4288/26-27</t>
  </si>
  <si>
    <t>TLJ/4289/26-27</t>
  </si>
  <si>
    <t>05/ 26-27</t>
  </si>
  <si>
    <t>04/ 26-27</t>
  </si>
  <si>
    <t>HSSPL/401/26-27.</t>
  </si>
  <si>
    <t>2242541</t>
  </si>
  <si>
    <t>PV/HO/2627/0186</t>
  </si>
  <si>
    <t>JV/HO/2627/0057</t>
  </si>
  <si>
    <t>JV/MHF/2627/0017</t>
  </si>
  <si>
    <t>JV/WBG/2627/0088</t>
  </si>
  <si>
    <t>JV/GUJ/2627/0098</t>
  </si>
  <si>
    <t>JV/MHN/2627/0051</t>
  </si>
  <si>
    <t>JV/MHW/2627/0075</t>
  </si>
  <si>
    <t>JV/WBA/2627/0043</t>
  </si>
  <si>
    <t>GGBS/26-27/3</t>
  </si>
  <si>
    <t>GGBS/26-27/4</t>
  </si>
  <si>
    <t>GGBS/26-27/5</t>
  </si>
  <si>
    <t>JFC/26-27/0080</t>
  </si>
  <si>
    <t>JFC/26-27/0078</t>
  </si>
  <si>
    <t>JFC/26-27/0083</t>
  </si>
  <si>
    <t>July/2026/31</t>
  </si>
  <si>
    <t>MBI/26-27/21</t>
  </si>
  <si>
    <t>2026-27/43</t>
  </si>
  <si>
    <t>501</t>
  </si>
  <si>
    <t>2627-272</t>
  </si>
  <si>
    <t>2627-281</t>
  </si>
  <si>
    <t>182</t>
  </si>
  <si>
    <t>20(B), 08/2026</t>
  </si>
  <si>
    <t>20(D), 08/2026</t>
  </si>
  <si>
    <t>26-27/SB0062</t>
  </si>
  <si>
    <t>DN/MHW/2627/005</t>
  </si>
  <si>
    <t>144</t>
  </si>
  <si>
    <t>286</t>
  </si>
  <si>
    <t>09/MBS/UM/26-27</t>
  </si>
  <si>
    <t>MBS - 08/26-27</t>
  </si>
  <si>
    <t>202607169997995</t>
  </si>
  <si>
    <t>3358</t>
  </si>
  <si>
    <t>3356</t>
  </si>
  <si>
    <t>3309</t>
  </si>
  <si>
    <t>3310</t>
  </si>
  <si>
    <t>3359</t>
  </si>
  <si>
    <t>3297</t>
  </si>
  <si>
    <t>184</t>
  </si>
  <si>
    <t>183</t>
  </si>
  <si>
    <t>26-27-04</t>
  </si>
  <si>
    <t>32</t>
  </si>
  <si>
    <t>26-27/131</t>
  </si>
  <si>
    <t>26-27/151</t>
  </si>
  <si>
    <t>26-27/140</t>
  </si>
  <si>
    <t>062/26-27</t>
  </si>
  <si>
    <t>35/26-27</t>
  </si>
  <si>
    <t>2419</t>
  </si>
  <si>
    <t>20(A), 08/2026</t>
  </si>
  <si>
    <t>084</t>
  </si>
  <si>
    <t>705226005092</t>
  </si>
  <si>
    <t>JV/HO/2627/0059</t>
  </si>
  <si>
    <t>JV/HO/2627/0067</t>
  </si>
  <si>
    <t>2KL26ARMN86</t>
  </si>
  <si>
    <t>2KL26ARMN89</t>
  </si>
  <si>
    <t>2KL26ARMN85</t>
  </si>
  <si>
    <t>9PU26ARMN46</t>
  </si>
  <si>
    <t>13HY26ARMN10</t>
  </si>
  <si>
    <t>RGB26-27/206</t>
  </si>
  <si>
    <t>RGB26-27/198</t>
  </si>
  <si>
    <t>043</t>
  </si>
  <si>
    <t>ULJUL26001</t>
  </si>
  <si>
    <t>NULJUL2601</t>
  </si>
  <si>
    <t>NULJUL2602</t>
  </si>
  <si>
    <t>NULJUL2603</t>
  </si>
  <si>
    <t>ULJUL26002</t>
  </si>
  <si>
    <t>26-27-4</t>
  </si>
  <si>
    <t>077</t>
  </si>
  <si>
    <t>BBY-12086</t>
  </si>
  <si>
    <t>BBY-12088</t>
  </si>
  <si>
    <t>BBY-12087</t>
  </si>
  <si>
    <t>BBY-12085</t>
  </si>
  <si>
    <t>BBY-12084</t>
  </si>
  <si>
    <t>BBY-12082</t>
  </si>
  <si>
    <t>BBY-12083</t>
  </si>
  <si>
    <t>SAM/70</t>
  </si>
  <si>
    <t>2242420</t>
  </si>
  <si>
    <t>IN106</t>
  </si>
  <si>
    <t>IN123</t>
  </si>
  <si>
    <t>IN115</t>
  </si>
  <si>
    <t>SS/26-27/0128</t>
  </si>
  <si>
    <t>SS/26-27/0126</t>
  </si>
  <si>
    <t>SS/26-27/0123</t>
  </si>
  <si>
    <t>SS/26-27/0131</t>
  </si>
  <si>
    <t>SS/26-27/0132</t>
  </si>
  <si>
    <t>SS/26-27/0135</t>
  </si>
  <si>
    <t>SS/26-27/0136</t>
  </si>
  <si>
    <t>SS/26-27/0138</t>
  </si>
  <si>
    <t>SPL/00796/26-27</t>
  </si>
  <si>
    <t>SPL/00792/26-27</t>
  </si>
  <si>
    <t>SML-24/2026-27</t>
  </si>
  <si>
    <t>68</t>
  </si>
  <si>
    <t>7839</t>
  </si>
  <si>
    <t>SK/07/26-27</t>
  </si>
  <si>
    <t>SK/08/26-27</t>
  </si>
  <si>
    <t>MH/2026-27/10676</t>
  </si>
  <si>
    <t>MH/2026-27/10675</t>
  </si>
  <si>
    <t>GJ/2026-27/1503</t>
  </si>
  <si>
    <t>GJ/2026-27/1436</t>
  </si>
  <si>
    <t>GJ/2026-27/1435</t>
  </si>
  <si>
    <t>SE/29/2627/00081</t>
  </si>
  <si>
    <t>M/26-27/0001245</t>
  </si>
  <si>
    <t>SRLGOA010/26-27</t>
  </si>
  <si>
    <t>SRLGOA009/26-27</t>
  </si>
  <si>
    <t>20(C), 08/2026</t>
  </si>
  <si>
    <t>JV/GOA/2627/0044</t>
  </si>
  <si>
    <t>2026-27/309</t>
  </si>
  <si>
    <t>2026-27/321</t>
  </si>
  <si>
    <t>2026-27/332</t>
  </si>
  <si>
    <t>2026-27/322</t>
  </si>
  <si>
    <t>024/26-27</t>
  </si>
  <si>
    <t>DN/WBG/2627/005</t>
  </si>
  <si>
    <t>98</t>
  </si>
  <si>
    <t>TE-01/07/2026</t>
  </si>
  <si>
    <t>TE-02/07/2026</t>
  </si>
  <si>
    <t>TE-04/07/2026</t>
  </si>
  <si>
    <t>TE-05/07/2026</t>
  </si>
  <si>
    <t>TE-03/07/2026</t>
  </si>
  <si>
    <t>DN/MHN/2627/002</t>
  </si>
  <si>
    <t>VMK-FT-260228</t>
  </si>
  <si>
    <t>VMK-FT-260273</t>
  </si>
  <si>
    <t>VMK-FT-260298</t>
  </si>
  <si>
    <t>686000198846</t>
  </si>
  <si>
    <t>185</t>
  </si>
  <si>
    <t>3248</t>
  </si>
  <si>
    <t>3249</t>
  </si>
  <si>
    <t>3250</t>
  </si>
  <si>
    <t>3251</t>
  </si>
  <si>
    <t>3231</t>
  </si>
  <si>
    <t>3232</t>
  </si>
  <si>
    <t>3233</t>
  </si>
  <si>
    <t>3235</t>
  </si>
  <si>
    <t>3234</t>
  </si>
  <si>
    <t>3252</t>
  </si>
  <si>
    <t>ULTRAFINE MINERAL &amp; ADMIXTURES PVT LTD (HAY)</t>
  </si>
  <si>
    <t>1516/907/2/1, RDC CONCRETE INDIA PRIVATE LIMITED,</t>
  </si>
  <si>
    <t>BEHRAMPUR ROAD, KHANDSA , GURGAON, Gurugram, Haryana</t>
  </si>
  <si>
    <t>UDYAM : UDYAM-MH-20-0007365 (Small/Mfgr)</t>
  </si>
  <si>
    <t>CIN: U24100MH2020PTC338575</t>
  </si>
  <si>
    <t>Contact : +91-</t>
  </si>
  <si>
    <t>Sundry Creditors</t>
  </si>
  <si>
    <t>Group Summary</t>
  </si>
  <si>
    <t>1-Apr-26 to 31-Jul-26</t>
  </si>
  <si>
    <t>Closing Balance</t>
  </si>
  <si>
    <t>Debit</t>
  </si>
  <si>
    <t>Credit</t>
  </si>
  <si>
    <t>PARTICULAR</t>
  </si>
  <si>
    <t>Paid in August</t>
  </si>
  <si>
    <t>Total</t>
  </si>
  <si>
    <t>Description</t>
  </si>
  <si>
    <t>Name</t>
  </si>
  <si>
    <t>Amount</t>
  </si>
  <si>
    <t>UTR No</t>
  </si>
  <si>
    <t>CF Location</t>
  </si>
  <si>
    <t>AUTO INTEREST PAYMENT ON TERM LOAN AGAINST 5WSLN06240060003</t>
  </si>
  <si>
    <t>Interest on Term Loan</t>
  </si>
  <si>
    <t>5WSLN06240060003</t>
  </si>
  <si>
    <t>Jadav  Enterprise</t>
  </si>
  <si>
    <t>HDFCH01162147885</t>
  </si>
  <si>
    <t>Aggregate Panagarh Crusher</t>
  </si>
  <si>
    <t>HDFCH01162149041</t>
  </si>
  <si>
    <t>Aggregate pachami trading</t>
  </si>
  <si>
    <t>Kamakhya Enterprise</t>
  </si>
  <si>
    <t>HDFCH01162149821</t>
  </si>
  <si>
    <t>Enet_ST CHG_ULTMIAN-CDT2621341895107</t>
  </si>
  <si>
    <t>Bank Charges</t>
  </si>
  <si>
    <t>CDT2621341895107</t>
  </si>
  <si>
    <t>Main Operation</t>
  </si>
  <si>
    <t>ETC POOL</t>
  </si>
  <si>
    <t>HDFCH01163334322</t>
  </si>
  <si>
    <t>JFC Logistics</t>
  </si>
  <si>
    <t>Sumit Goods Carrier</t>
  </si>
  <si>
    <t>Trading Business</t>
  </si>
  <si>
    <t>Devanand B Singh</t>
  </si>
  <si>
    <t>HDFCH01164212484</t>
  </si>
  <si>
    <t>Shreeji Sales Corp</t>
  </si>
  <si>
    <t>HDFCH01164216054</t>
  </si>
  <si>
    <t>THORON TURNKEY PVT</t>
  </si>
  <si>
    <t>HDFCH01164215435</t>
  </si>
  <si>
    <t>STEP IN TECHNOLOGIE</t>
  </si>
  <si>
    <t>HDFCH01164213377</t>
  </si>
  <si>
    <t>TamilNadu</t>
  </si>
  <si>
    <t>A Abdul Hameed</t>
  </si>
  <si>
    <t>HDFCH01164213978</t>
  </si>
  <si>
    <t>G D Packaging</t>
  </si>
  <si>
    <t>HDFCH01164216833</t>
  </si>
  <si>
    <t>FT-IOCLXPP1002085506-IOCL</t>
  </si>
  <si>
    <t>Flyash Business</t>
  </si>
  <si>
    <t>FT-CHETTINAD9214181-Chettinad Cement</t>
  </si>
  <si>
    <t>RMB KNOVATECH PVT LT</t>
  </si>
  <si>
    <t>HDFCH01166126622</t>
  </si>
  <si>
    <t>SREERAMA INDUSTRY</t>
  </si>
  <si>
    <t>HDFCH01166122720</t>
  </si>
  <si>
    <t>Siddhi Vinayak Corpo</t>
  </si>
  <si>
    <t>HDFCH01166122724</t>
  </si>
  <si>
    <t>DOED JUNG KUEN PHEN</t>
  </si>
  <si>
    <t>HDFCH01166126641</t>
  </si>
  <si>
    <t>Shree Mahalaxmi Tra</t>
  </si>
  <si>
    <t>HDFCH01166128235</t>
  </si>
  <si>
    <t>HDFCH01166128321</t>
  </si>
  <si>
    <t>RTGS Dr-SBIN0005996-ArcelormittalNippo-NETBANK MUM-HDFCR52026080391506105</t>
  </si>
  <si>
    <t>HDFCR52026080391506105</t>
  </si>
  <si>
    <t>Csrl Structwel Lab</t>
  </si>
  <si>
    <t>Bhandari Automobiles</t>
  </si>
  <si>
    <t>HDFCH01167731664</t>
  </si>
  <si>
    <t>Dmk Logistic</t>
  </si>
  <si>
    <t>HDFCH01167731665</t>
  </si>
  <si>
    <t>HDFCH01167731666</t>
  </si>
  <si>
    <t>BISWAJIT RUI DAS</t>
  </si>
  <si>
    <t>HDFCH01167737254</t>
  </si>
  <si>
    <t>DEVENDRA CHAUHAN</t>
  </si>
  <si>
    <t>HDFCH01167734968</t>
  </si>
  <si>
    <t>HDFCH01167731669</t>
  </si>
  <si>
    <t>HDFCH01167734970</t>
  </si>
  <si>
    <t>Tara Shree Enterpri</t>
  </si>
  <si>
    <t>HDFCH01167738312</t>
  </si>
  <si>
    <t>DEEP ENTERPRISEs</t>
  </si>
  <si>
    <t>HDFCH01167737281</t>
  </si>
  <si>
    <t>CtrlP Solutions Pvt</t>
  </si>
  <si>
    <t>HDFCH01167731672</t>
  </si>
  <si>
    <t>Ram Innovation soln</t>
  </si>
  <si>
    <t>HDFCH01167733955</t>
  </si>
  <si>
    <t>Mehar Engineering</t>
  </si>
  <si>
    <t>HDFCH01168143058</t>
  </si>
  <si>
    <t>Shakti Cargo Mover</t>
  </si>
  <si>
    <t>HDFCH01168137807</t>
  </si>
  <si>
    <t>Weider Weighing</t>
  </si>
  <si>
    <t>HDFCH01168139456</t>
  </si>
  <si>
    <t>HDFCH01168139457</t>
  </si>
  <si>
    <t>Shri Mangalmurti Log</t>
  </si>
  <si>
    <t>HDFCH01168145033</t>
  </si>
  <si>
    <t>HDFCH01168144080</t>
  </si>
  <si>
    <t>Shri Raghavendra En</t>
  </si>
  <si>
    <t>HDFCH01168144122</t>
  </si>
  <si>
    <t>HDFCH01168143124</t>
  </si>
  <si>
    <t>HDFCH01168143848</t>
  </si>
  <si>
    <t>VRAJ Cement Carrier</t>
  </si>
  <si>
    <t>Shahabaz Khan</t>
  </si>
  <si>
    <t>HDFCH01170523149</t>
  </si>
  <si>
    <t>Abhay Singh</t>
  </si>
  <si>
    <t>HDFCH01170525172</t>
  </si>
  <si>
    <t>Harsh Raj</t>
  </si>
  <si>
    <t>HDFCH01170527900</t>
  </si>
  <si>
    <t>Harish Ludhani</t>
  </si>
  <si>
    <t>HDFCH01170780317</t>
  </si>
  <si>
    <t>INFINITY ENGINEERING</t>
  </si>
  <si>
    <t>Infinity Engineering-Crs</t>
  </si>
  <si>
    <t>HDFCH01171375276</t>
  </si>
  <si>
    <t>HDFCH01171371326</t>
  </si>
  <si>
    <t>ASHCONNECT</t>
  </si>
  <si>
    <t>HDFCH01171373613</t>
  </si>
  <si>
    <t>Agile Innotech</t>
  </si>
  <si>
    <t>RTGS Dr-DBSS0IN0877-AslLogisticsPrivateLimitedCrs-NETBANK MUM-HDFCR52026080592225225</t>
  </si>
  <si>
    <t>HDFCR52026080592225225</t>
  </si>
  <si>
    <t>RDC ICD HDFC CC</t>
  </si>
  <si>
    <t>RDC CONCRETE (INDIA) Pvt Ltd -ICD</t>
  </si>
  <si>
    <t>STEEL PLUS</t>
  </si>
  <si>
    <t>HDFCH01171883237</t>
  </si>
  <si>
    <t>MSEDCL CRS</t>
  </si>
  <si>
    <t>HDFCH01171886663</t>
  </si>
  <si>
    <t>SMAS AUTO</t>
  </si>
  <si>
    <t>HDFCH01171881192</t>
  </si>
  <si>
    <t>Legacy Transport Pvt</t>
  </si>
  <si>
    <t>HDFCH01171886680</t>
  </si>
  <si>
    <t>Shiv Om Prefab</t>
  </si>
  <si>
    <t>HDFCH01173351715</t>
  </si>
  <si>
    <t>AUTO TERM LOAN LIQUIDATED AGAINST 5WSLN06240060003</t>
  </si>
  <si>
    <t>Krishna Konar</t>
  </si>
  <si>
    <t>HDFCH01174868237</t>
  </si>
  <si>
    <t>Krishnendu Konar</t>
  </si>
  <si>
    <t>HDFCH01174871677</t>
  </si>
  <si>
    <t>Purnendu Konar</t>
  </si>
  <si>
    <t>HDFCH01174870022</t>
  </si>
  <si>
    <t>D K Services</t>
  </si>
  <si>
    <t>HDFCH01174871684</t>
  </si>
  <si>
    <t>Bhartiben Satishbhai</t>
  </si>
  <si>
    <t>HDFCH01174871686</t>
  </si>
  <si>
    <t>Teamlease Salary</t>
  </si>
  <si>
    <t>Veena Dilip Bokde</t>
  </si>
  <si>
    <t>HDFCH01174866426</t>
  </si>
  <si>
    <t>Balram Chakrawarti</t>
  </si>
  <si>
    <t>Subhendu Konar</t>
  </si>
  <si>
    <t>HDFCH01174870799</t>
  </si>
  <si>
    <t>HDFCH01174868273</t>
  </si>
  <si>
    <t>VANDANA SHARMA</t>
  </si>
  <si>
    <t>HDFCH01174871706</t>
  </si>
  <si>
    <t>Andezath Joshi</t>
  </si>
  <si>
    <t>HDFCH01174868278</t>
  </si>
  <si>
    <t>Firdosh Eurich</t>
  </si>
  <si>
    <t>HDFCH01174870034</t>
  </si>
  <si>
    <t>KAMAL S PATIL</t>
  </si>
  <si>
    <t>HDFCH01174870954</t>
  </si>
  <si>
    <t>HDFCH01175686904</t>
  </si>
  <si>
    <t>AMBUJA CEMENTS</t>
  </si>
  <si>
    <t>HDFCH01176741716</t>
  </si>
  <si>
    <t>HDFCH01176745244</t>
  </si>
  <si>
    <t>RTGS Dr-SBIN0005996-ArcelormittalNippo-NETBANK MUM-HDFCR52026080793112787</t>
  </si>
  <si>
    <t>HDFCR52026080793112787</t>
  </si>
  <si>
    <t>RTGS Dr-SBIN0005996-ArcelormittalNippo-NETBANK MUM-HDFCR52026080793047543</t>
  </si>
  <si>
    <t>HDFCR52026080793047543</t>
  </si>
  <si>
    <t>HDFCH01178768294</t>
  </si>
  <si>
    <t>Stsk Controls Autom</t>
  </si>
  <si>
    <t>HDFCH01178771152</t>
  </si>
  <si>
    <t>DHCEYYK1S4ZX9W-CBICICEGATE</t>
  </si>
  <si>
    <t>SSP Enterprises</t>
  </si>
  <si>
    <t>HDFCH01181354083</t>
  </si>
  <si>
    <t>Neo Kinetics Enginee</t>
  </si>
  <si>
    <t>Neo Kinetics Engineering-Crs</t>
  </si>
  <si>
    <t>HDFCH01181355082</t>
  </si>
  <si>
    <t>Test 2 Build</t>
  </si>
  <si>
    <t>HDFCH01181357783</t>
  </si>
  <si>
    <t>CBDT/Bank Reference No:Y2621952235458/CIN No:26080700956716HDFC/Online</t>
  </si>
  <si>
    <t>TDS Payable</t>
  </si>
  <si>
    <t>CBDT/Bank Reference No:Y2621952235693/CIN No:26080700949826HDFC/Online</t>
  </si>
  <si>
    <t>CBDT/Bank Reference No:Y2621952235695/CIN No:26080700911530HDFC/Online</t>
  </si>
  <si>
    <t>CC 000555153XXXXXX1236 Autopay SI-TAD</t>
  </si>
  <si>
    <t>-</t>
  </si>
  <si>
    <t>Postage &amp; Courrier</t>
  </si>
  <si>
    <t>JCB Hire Charges</t>
  </si>
  <si>
    <t>As of 10-08-2026</t>
  </si>
  <si>
    <t>Raw material</t>
  </si>
  <si>
    <t>Remarks</t>
  </si>
  <si>
    <t>legal mail</t>
  </si>
  <si>
    <t>Diesel exp</t>
  </si>
  <si>
    <t>dev</t>
  </si>
  <si>
    <t>ashutosh</t>
  </si>
  <si>
    <t>devanand sir</t>
  </si>
  <si>
    <t>Rakesh Sir</t>
  </si>
  <si>
    <t>Cleared</t>
  </si>
  <si>
    <t>Abhay</t>
  </si>
  <si>
    <t>Abhay 20 aug</t>
  </si>
  <si>
    <t>Mail</t>
  </si>
  <si>
    <t>JV</t>
  </si>
  <si>
    <t>Saif Sir</t>
  </si>
  <si>
    <t>To be paid</t>
  </si>
  <si>
    <t>above 120 days</t>
  </si>
  <si>
    <t xml:space="preserve">Test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</si>
</sst>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 * #,##0.00_ ;_ * \-#,##0.00_ ;_ * &quot;-&quot;??_ ;_ @_ "/>
    <numFmt numFmtId="165" formatCode="#,##0.00;\(#,##0.00\);\-"/>
    <numFmt numFmtId="166" formatCode="dd\-mmm\-yy"/>
    <numFmt numFmtId="167" formatCode="_(* #,##0_);_(* \(#,##0\);_(* &quot;-&quot;??_);_(@_)"/>
  </numFmts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i/>
      <sz val="10"/>
      <color rgb="FF555555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9E0"/>
      </patternFill>
    </fill>
    <fill>
      <patternFill patternType="solid">
        <fgColor rgb="FF1F4E78"/>
        <bgColor rgb="FF003366"/>
      </patternFill>
    </fill>
    <fill>
      <patternFill patternType="solid">
        <fgColor rgb="FFFFF9E0"/>
        <bgColor rgb="FFFFF2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65" fontId="6" fillId="0" borderId="1" xfId="0" applyNumberFormat="1" applyFont="1" applyBorder="1"/>
    <xf numFmtId="0" fontId="6" fillId="4" borderId="1" xfId="0" applyFont="1" applyFill="1" applyBorder="1"/>
    <xf numFmtId="165" fontId="6" fillId="4" borderId="1" xfId="0" applyNumberFormat="1" applyFont="1" applyFill="1" applyBorder="1"/>
    <xf numFmtId="0" fontId="4" fillId="0" borderId="0" xfId="0" applyFont="1"/>
    <xf numFmtId="0" fontId="5" fillId="3" borderId="1" xfId="0" applyFont="1" applyFill="1" applyBorder="1"/>
    <xf numFmtId="166" fontId="6" fillId="0" borderId="0" xfId="0" applyNumberFormat="1" applyFont="1"/>
    <xf numFmtId="0" fontId="6" fillId="0" borderId="0" xfId="0" applyFont="1"/>
    <xf numFmtId="165" fontId="6" fillId="0" borderId="0" xfId="0" applyNumberFormat="1" applyFont="1"/>
    <xf numFmtId="0" fontId="0" fillId="0" borderId="0" xfId="0" applyFont="1"/>
    <xf numFmtId="49" fontId="11" fillId="0" borderId="4" xfId="0" applyNumberFormat="1" applyFont="1" applyFill="1" applyBorder="1" applyAlignment="1" applyProtection="1">
      <alignment vertical="top"/>
    </xf>
    <xf numFmtId="49" fontId="10" fillId="0" borderId="4" xfId="0" applyNumberFormat="1" applyFont="1" applyFill="1" applyBorder="1" applyAlignment="1" applyProtection="1">
      <alignment horizontal="left" vertical="top" indent="2"/>
    </xf>
    <xf numFmtId="49" fontId="11" fillId="5" borderId="4" xfId="0" applyNumberFormat="1" applyFont="1" applyFill="1" applyBorder="1" applyAlignment="1" applyProtection="1">
      <alignment horizontal="center" vertical="top"/>
    </xf>
    <xf numFmtId="164" fontId="11" fillId="0" borderId="4" xfId="1" applyFont="1" applyFill="1" applyBorder="1" applyAlignment="1" applyProtection="1">
      <alignment horizontal="right" vertical="top"/>
    </xf>
    <xf numFmtId="164" fontId="10" fillId="0" borderId="4" xfId="1" applyFont="1" applyFill="1" applyBorder="1" applyAlignment="1" applyProtection="1">
      <alignment horizontal="right" vertical="top"/>
    </xf>
    <xf numFmtId="49" fontId="9" fillId="0" borderId="2" xfId="0" applyNumberFormat="1" applyFont="1" applyFill="1" applyBorder="1" applyAlignment="1" applyProtection="1">
      <alignment vertical="top"/>
    </xf>
    <xf numFmtId="164" fontId="9" fillId="0" borderId="2" xfId="1" applyFont="1" applyFill="1" applyBorder="1" applyAlignment="1" applyProtection="1">
      <alignment vertical="top"/>
    </xf>
    <xf numFmtId="0" fontId="12" fillId="0" borderId="0" xfId="2" applyFont="1" applyBorder="1" applyAlignment="1">
      <alignment horizontal="left"/>
    </xf>
    <xf numFmtId="0" fontId="13" fillId="0" borderId="0" xfId="2" applyFont="1" applyBorder="1" applyAlignment="1">
      <alignment horizontal="left"/>
    </xf>
    <xf numFmtId="167" fontId="13" fillId="0" borderId="0" xfId="3" applyNumberFormat="1" applyFont="1" applyBorder="1" applyAlignment="1">
      <alignment horizontal="left"/>
    </xf>
    <xf numFmtId="22" fontId="13" fillId="6" borderId="4" xfId="2" applyNumberFormat="1" applyFont="1" applyFill="1" applyBorder="1" applyAlignment="1">
      <alignment horizontal="left" wrapText="1"/>
    </xf>
    <xf numFmtId="22" fontId="13" fillId="6" borderId="4" xfId="2" applyNumberFormat="1" applyFont="1" applyFill="1" applyBorder="1" applyAlignment="1">
      <alignment horizontal="center" wrapText="1"/>
    </xf>
    <xf numFmtId="167" fontId="13" fillId="6" borderId="4" xfId="3" applyNumberFormat="1" applyFont="1" applyFill="1" applyBorder="1" applyAlignment="1">
      <alignment horizontal="left" wrapText="1"/>
    </xf>
    <xf numFmtId="22" fontId="12" fillId="0" borderId="4" xfId="2" applyNumberFormat="1" applyFont="1" applyBorder="1" applyAlignment="1">
      <alignment horizontal="left" wrapText="1"/>
    </xf>
    <xf numFmtId="0" fontId="12" fillId="0" borderId="4" xfId="2" applyFont="1" applyBorder="1" applyAlignment="1">
      <alignment horizontal="left" wrapText="1"/>
    </xf>
    <xf numFmtId="0" fontId="12" fillId="0" borderId="4" xfId="2" applyFont="1" applyFill="1" applyBorder="1" applyAlignment="1">
      <alignment horizontal="left" wrapText="1"/>
    </xf>
    <xf numFmtId="167" fontId="0" fillId="0" borderId="4" xfId="3" applyNumberFormat="1" applyFont="1" applyBorder="1" applyAlignment="1">
      <alignment horizontal="left" wrapText="1"/>
    </xf>
    <xf numFmtId="1" fontId="12" fillId="0" borderId="4" xfId="2" quotePrefix="1" applyNumberFormat="1" applyFont="1" applyBorder="1" applyAlignment="1">
      <alignment horizontal="left" wrapText="1"/>
    </xf>
    <xf numFmtId="0" fontId="12" fillId="0" borderId="4" xfId="2" applyFont="1" applyFill="1" applyBorder="1" applyAlignment="1">
      <alignment vertical="top" wrapText="1"/>
    </xf>
    <xf numFmtId="22" fontId="12" fillId="0" borderId="4" xfId="2" applyNumberFormat="1" applyFont="1" applyBorder="1" applyAlignment="1">
      <alignment horizontal="center" wrapText="1"/>
    </xf>
    <xf numFmtId="167" fontId="0" fillId="0" borderId="0" xfId="3" applyNumberFormat="1" applyFont="1" applyBorder="1" applyAlignment="1">
      <alignment horizontal="left"/>
    </xf>
    <xf numFmtId="164" fontId="6" fillId="0" borderId="1" xfId="1" applyFont="1" applyBorder="1"/>
    <xf numFmtId="164" fontId="0" fillId="0" borderId="0" xfId="1" applyFont="1"/>
    <xf numFmtId="164" fontId="0" fillId="2" borderId="1" xfId="1" applyFont="1" applyFill="1" applyBorder="1"/>
    <xf numFmtId="164" fontId="5" fillId="3" borderId="1" xfId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/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/>
    <xf numFmtId="165" fontId="6" fillId="0" borderId="4" xfId="0" applyNumberFormat="1" applyFont="1" applyBorder="1"/>
    <xf numFmtId="0" fontId="0" fillId="0" borderId="4" xfId="0" applyBorder="1"/>
    <xf numFmtId="165" fontId="4" fillId="2" borderId="4" xfId="0" applyNumberFormat="1" applyFont="1" applyFill="1" applyBorder="1"/>
    <xf numFmtId="49" fontId="10" fillId="5" borderId="4" xfId="0" applyNumberFormat="1" applyFont="1" applyFill="1" applyBorder="1" applyAlignment="1" applyProtection="1">
      <alignment horizontal="center" vertical="top"/>
    </xf>
    <xf numFmtId="49" fontId="10" fillId="5" borderId="4" xfId="0" applyNumberFormat="1" applyFont="1" applyFill="1" applyBorder="1" applyAlignment="1" applyProtection="1">
      <alignment horizontal="center" vertical="center"/>
    </xf>
    <xf numFmtId="49" fontId="8" fillId="0" borderId="3" xfId="0" applyNumberFormat="1" applyFont="1" applyFill="1" applyBorder="1" applyAlignment="1" applyProtection="1">
      <alignment vertical="top"/>
    </xf>
    <xf numFmtId="49" fontId="9" fillId="0" borderId="0" xfId="0" applyNumberFormat="1" applyFont="1" applyFill="1" applyBorder="1" applyAlignment="1" applyProtection="1">
      <alignment vertical="top"/>
    </xf>
    <xf numFmtId="49" fontId="8" fillId="0" borderId="0" xfId="0" applyNumberFormat="1" applyFont="1" applyFill="1" applyBorder="1" applyAlignment="1" applyProtection="1">
      <alignment vertical="top"/>
    </xf>
    <xf numFmtId="49" fontId="9" fillId="0" borderId="2" xfId="0" applyNumberFormat="1" applyFont="1" applyFill="1" applyBorder="1" applyAlignment="1" applyProtection="1">
      <alignment vertical="top"/>
    </xf>
    <xf numFmtId="0" fontId="1" fillId="0" borderId="4" xfId="2" applyFont="1" applyFill="1" applyBorder="1" applyAlignment="1">
      <alignment horizontal="left" wrapText="1"/>
    </xf>
    <xf numFmtId="164" fontId="6" fillId="0" borderId="1" xfId="0" applyNumberFormat="1" applyFont="1" applyFill="1" applyBorder="1"/>
    <xf numFmtId="0" fontId="6" fillId="0" borderId="1" xfId="0" applyFont="1" applyFill="1" applyBorder="1"/>
    <xf numFmtId="0" fontId="6" fillId="0" borderId="5" xfId="0" applyFont="1" applyBorder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9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ITANSHI%20JAIN/Desktop/Ultrafine/Bank/July%202026/29th%20July%202026%20UF%20Cashfl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yment"/>
      <sheetName val="Sheet1"/>
      <sheetName val="Payments"/>
      <sheetName val="Receipts"/>
      <sheetName val="Ratios"/>
    </sheetNames>
    <sheetDataSet>
      <sheetData sheetId="0"/>
      <sheetData sheetId="1"/>
      <sheetData sheetId="2"/>
      <sheetData sheetId="3">
        <row r="4">
          <cell r="C4" t="str">
            <v>AUTO INTEREST PAYMENT ON TERM LOAN AGAINST 5WSLN06240060003</v>
          </cell>
          <cell r="D4" t="str">
            <v>Interest on Term Loan</v>
          </cell>
        </row>
        <row r="5">
          <cell r="C5" t="str">
            <v>Chq Paid-CTS S1-RK S-DATTAKRUOA MINERALS</v>
          </cell>
          <cell r="D5" t="str">
            <v>Dattakrupa Minerals - Crs</v>
          </cell>
        </row>
        <row r="6">
          <cell r="C6" t="str">
            <v>Chq Paid-CTS S1-RK S-THIRUMALA ENTERPRIS</v>
          </cell>
          <cell r="D6" t="str">
            <v>Thirumala Enterprises - Crs</v>
          </cell>
        </row>
        <row r="7">
          <cell r="C7" t="str">
            <v>Pramod Shinde</v>
          </cell>
          <cell r="D7" t="str">
            <v>Pramod Shinde - EMPLOYEE</v>
          </cell>
        </row>
        <row r="8">
          <cell r="C8" t="str">
            <v>FT-IOCLXPP1002085506-IOCL</v>
          </cell>
          <cell r="D8" t="str">
            <v>Indian Oil Corporation Limited - Crs</v>
          </cell>
        </row>
        <row r="9">
          <cell r="C9" t="str">
            <v>FT-IOCLXPP1002085506-IOCL</v>
          </cell>
          <cell r="D9" t="str">
            <v>Indian Oil Corporation Limited - Crs</v>
          </cell>
        </row>
        <row r="10">
          <cell r="C10" t="str">
            <v>FT-IOCLXPP1002085506-IOCL</v>
          </cell>
          <cell r="D10" t="str">
            <v>Indian Oil Corporation Limited - Crs</v>
          </cell>
        </row>
        <row r="11">
          <cell r="C11" t="str">
            <v>Deepak Shrivastava</v>
          </cell>
          <cell r="D11" t="str">
            <v>Deepak Shrivastava - Employee</v>
          </cell>
        </row>
        <row r="12">
          <cell r="C12" t="str">
            <v>Ashish Kumar</v>
          </cell>
          <cell r="D12" t="str">
            <v>Ashish Kumar (Patna) - Employee</v>
          </cell>
        </row>
        <row r="13">
          <cell r="C13" t="str">
            <v>Abhishek Nayak</v>
          </cell>
          <cell r="D13" t="str">
            <v>Abhishek Kumar Nayak - Employee</v>
          </cell>
        </row>
        <row r="14">
          <cell r="C14" t="str">
            <v>Dextrose Technology</v>
          </cell>
          <cell r="D14" t="str">
            <v>Dextrose Technologies Private Limited - Crs</v>
          </cell>
        </row>
        <row r="15">
          <cell r="C15" t="str">
            <v>Harsh Raj</v>
          </cell>
          <cell r="D15" t="str">
            <v>Harsh Raj - EMPLOYEE</v>
          </cell>
        </row>
        <row r="16">
          <cell r="C16" t="str">
            <v>AMBUJA CEMENTS</v>
          </cell>
          <cell r="D16" t="str">
            <v>AMBUJA CEMENTS LIMITED -Crs</v>
          </cell>
        </row>
        <row r="17">
          <cell r="C17" t="str">
            <v>K D Enterprises</v>
          </cell>
          <cell r="D17" t="str">
            <v>K D Enterprises-Crs</v>
          </cell>
        </row>
        <row r="18">
          <cell r="C18" t="str">
            <v>Kapadia Global</v>
          </cell>
          <cell r="D18" t="str">
            <v>Kapadia Global Actuaries-Crs</v>
          </cell>
        </row>
        <row r="19">
          <cell r="C19" t="str">
            <v>Andezath Joshi</v>
          </cell>
          <cell r="D19" t="str">
            <v>Joshi Dharmarajan Andezath - Employee</v>
          </cell>
        </row>
        <row r="20">
          <cell r="C20" t="str">
            <v>C K Paul Gas Agency</v>
          </cell>
          <cell r="D20" t="str">
            <v>C K Paul Gas Agency - Crs</v>
          </cell>
        </row>
        <row r="21">
          <cell r="C21" t="str">
            <v>Rohit Prasad</v>
          </cell>
          <cell r="D21" t="str">
            <v>Rohit Prasad - Employee</v>
          </cell>
        </row>
        <row r="22">
          <cell r="C22" t="str">
            <v>Abhay Singh</v>
          </cell>
          <cell r="D22" t="str">
            <v>Abhay Singh-Employee</v>
          </cell>
        </row>
        <row r="23">
          <cell r="C23" t="str">
            <v>Jhuman Bagdi- Crs</v>
          </cell>
          <cell r="D23" t="str">
            <v>Jhuman Bagdi- Crs</v>
          </cell>
        </row>
        <row r="24">
          <cell r="C24" t="str">
            <v>BHUMAN ENTERPRISE</v>
          </cell>
          <cell r="D24" t="str">
            <v>BHUMAN ENTERPRISE-Crs</v>
          </cell>
        </row>
        <row r="25">
          <cell r="C25" t="str">
            <v>LUCKY TOOLS CENTRE</v>
          </cell>
          <cell r="D25" t="str">
            <v>LUCKY TOOLS CENTRE-CRS</v>
          </cell>
        </row>
        <row r="26">
          <cell r="C26" t="str">
            <v>Rabiul Ansari</v>
          </cell>
          <cell r="D26" t="str">
            <v>Rabiul Ansari - Crs</v>
          </cell>
        </row>
        <row r="27">
          <cell r="C27" t="str">
            <v>Jadav  Enterprise</v>
          </cell>
          <cell r="D27" t="str">
            <v>M/s  Jadav  Enterprise - Crs</v>
          </cell>
        </row>
        <row r="28">
          <cell r="C28" t="str">
            <v>FT-IOCLXPP1002085506-IOCL</v>
          </cell>
          <cell r="D28" t="str">
            <v>Indian Oil Corporation Limited - Crs</v>
          </cell>
        </row>
        <row r="29">
          <cell r="C29" t="str">
            <v>FT-IOCLXPP1002085506-IOCL</v>
          </cell>
          <cell r="D29" t="str">
            <v>Indian Oil Corporation Limited - Crs</v>
          </cell>
        </row>
        <row r="30">
          <cell r="C30" t="str">
            <v>FT-IOCLXPP1002085506-IOCL</v>
          </cell>
          <cell r="D30" t="str">
            <v>Indian Oil Corporation Limited - Crs</v>
          </cell>
        </row>
        <row r="31">
          <cell r="C31" t="str">
            <v>MAA ENTERPRISE</v>
          </cell>
          <cell r="D31" t="str">
            <v>MAA ENTERPRISE-Crs</v>
          </cell>
        </row>
        <row r="32">
          <cell r="C32" t="str">
            <v>Sumit Goods</v>
          </cell>
          <cell r="D32" t="str">
            <v>Sumit Goods Carrier(Arabinda Kumar Das) - CRS</v>
          </cell>
        </row>
        <row r="33">
          <cell r="C33" t="str">
            <v>C K Paul Gas Agency</v>
          </cell>
          <cell r="D33" t="str">
            <v>C K Paul Gas Agency - Crs</v>
          </cell>
        </row>
        <row r="34">
          <cell r="C34" t="str">
            <v>FT-IOCLXPP1002085506-IOCL</v>
          </cell>
          <cell r="D34" t="str">
            <v>Indian Oil Corporation Limited - Crs</v>
          </cell>
        </row>
        <row r="35">
          <cell r="C35" t="str">
            <v>FT-IOCLXPP1002085506-IOCL</v>
          </cell>
          <cell r="D35" t="str">
            <v>Indian Oil Corporation Limited - Crs</v>
          </cell>
        </row>
        <row r="36">
          <cell r="C36" t="str">
            <v>FT-IOCLXPP1002085506-IOCL</v>
          </cell>
          <cell r="D36" t="str">
            <v>Indian Oil Corporation Limited - Crs</v>
          </cell>
        </row>
        <row r="37">
          <cell r="C37" t="str">
            <v>Bhamra Transport</v>
          </cell>
          <cell r="D37" t="str">
            <v>Bhamra Transport - Crs</v>
          </cell>
        </row>
        <row r="38">
          <cell r="C38" t="str">
            <v>SREERAMA INDUSTRIES</v>
          </cell>
          <cell r="D38" t="str">
            <v>SREERAMA INDUSTRIES PRIVATE LIMITED-Crs</v>
          </cell>
        </row>
        <row r="39">
          <cell r="C39" t="str">
            <v>Ambuja</v>
          </cell>
          <cell r="D39" t="str">
            <v>AMBUJA CEMENTS LIMITED -Crs</v>
          </cell>
        </row>
        <row r="40">
          <cell r="C40" t="str">
            <v>Harish Ludhani</v>
          </cell>
          <cell r="D40" t="str">
            <v>Harish Ludhani - Employee</v>
          </cell>
        </row>
        <row r="41">
          <cell r="C41" t="str">
            <v>NP Services</v>
          </cell>
          <cell r="D41" t="str">
            <v>N P Services - Crs</v>
          </cell>
        </row>
        <row r="42">
          <cell r="C42" t="str">
            <v>Akbar</v>
          </cell>
          <cell r="D42" t="str">
            <v>AKBAR TRAVELS OF INDIA PVT. LTD-Crs</v>
          </cell>
        </row>
        <row r="43">
          <cell r="C43" t="str">
            <v>SREERAMA INDUSTRIES</v>
          </cell>
          <cell r="D43" t="str">
            <v>SREERAMA INDUSTRIES PRIVATE LIMITED-Crs</v>
          </cell>
        </row>
        <row r="44">
          <cell r="C44" t="str">
            <v>Sid CoolCars</v>
          </cell>
          <cell r="D44" t="str">
            <v>SHREE SIDDHIVINAYAK COOL CARS - CRS</v>
          </cell>
        </row>
        <row r="45">
          <cell r="C45" t="str">
            <v>Arcelormittal Nippon</v>
          </cell>
          <cell r="D45" t="str">
            <v>Arcelormittal Nippon Steel India Limited - Crs</v>
          </cell>
        </row>
        <row r="46">
          <cell r="C46" t="str">
            <v>AUTO TERM LOAN LIQUIDATED AGAINST 5WSLN06240060003</v>
          </cell>
          <cell r="D46" t="str">
            <v>HDFC Term Loan</v>
          </cell>
        </row>
        <row r="47">
          <cell r="C47" t="str">
            <v>Teamlease Salary</v>
          </cell>
          <cell r="D47" t="str">
            <v>TEAMLEASE SERVICES LTD. - Crs</v>
          </cell>
        </row>
        <row r="48">
          <cell r="C48" t="str">
            <v>Teamlease Salary</v>
          </cell>
          <cell r="D48" t="str">
            <v>TEAMLEASE SERVICES LTD. - Crs</v>
          </cell>
        </row>
        <row r="49">
          <cell r="C49" t="str">
            <v>FT-IOCLXPP1002085506-IOCL</v>
          </cell>
          <cell r="D49" t="str">
            <v>Indian Oil Corporation Limited - Crs</v>
          </cell>
        </row>
        <row r="50">
          <cell r="C50" t="str">
            <v>FT-IOCLXPP1002085506-IOCL</v>
          </cell>
          <cell r="D50" t="str">
            <v>Indian Oil Corporation Limited - Crs</v>
          </cell>
        </row>
        <row r="51">
          <cell r="C51" t="str">
            <v>FT-IOCLXPP1002085506-IOCL</v>
          </cell>
          <cell r="D51" t="str">
            <v>Indian Oil Corporation Limited - Crs</v>
          </cell>
        </row>
        <row r="52">
          <cell r="C52" t="str">
            <v>FT-CHETTINAD9214181-Chettinad Cement</v>
          </cell>
          <cell r="D52" t="str">
            <v>Chettinad Cement Corporation Private Limited - Crs</v>
          </cell>
        </row>
        <row r="53">
          <cell r="C53" t="str">
            <v>Bhailal Jethva</v>
          </cell>
          <cell r="D53" t="str">
            <v>Bhailal Jethva - Employee</v>
          </cell>
        </row>
        <row r="54">
          <cell r="C54" t="str">
            <v>Veereshwar</v>
          </cell>
          <cell r="D54" t="str">
            <v>Shri Veereshwar Transport</v>
          </cell>
        </row>
        <row r="55">
          <cell r="C55" t="str">
            <v>Balram Chakrawarti</v>
          </cell>
          <cell r="D55" t="str">
            <v>Balram Kumar Chakrawarti - Employee</v>
          </cell>
        </row>
        <row r="56">
          <cell r="C56" t="str">
            <v>Karim Shah</v>
          </cell>
          <cell r="D56" t="str">
            <v>Karim Shah - Employee</v>
          </cell>
        </row>
        <row r="57">
          <cell r="C57" t="str">
            <v>Mohd Saif Khan</v>
          </cell>
          <cell r="D57" t="str">
            <v>Mohd. Saif - Employee</v>
          </cell>
        </row>
        <row r="58">
          <cell r="C58" t="str">
            <v>Naresh Gupta</v>
          </cell>
          <cell r="D58" t="str">
            <v>Naresh Gupta - Employee</v>
          </cell>
        </row>
        <row r="59">
          <cell r="C59" t="str">
            <v>BHARTIBEN SATISHBHAI</v>
          </cell>
          <cell r="D59" t="str">
            <v>BHARTIBEN SATISHBHAI PATEL-CR</v>
          </cell>
        </row>
        <row r="60">
          <cell r="C60" t="str">
            <v>Basava Ravi Sankar</v>
          </cell>
          <cell r="D60" t="str">
            <v>Basava Ravi Sankar-(Vizag Rent Vendor)-Crs</v>
          </cell>
        </row>
        <row r="61">
          <cell r="C61" t="str">
            <v>Avijit Chaubey</v>
          </cell>
          <cell r="D61" t="str">
            <v>Avijit Chaubey - Employee</v>
          </cell>
        </row>
        <row r="62">
          <cell r="C62" t="str">
            <v>Upendra Hirabhai Pat</v>
          </cell>
          <cell r="D62" t="str">
            <v>Upendra Hirabhai Patel - Crs</v>
          </cell>
        </row>
        <row r="63">
          <cell r="C63" t="str">
            <v>Jaiswal Enterprise</v>
          </cell>
          <cell r="D63" t="str">
            <v>M/s Jaiswal Enterprise- Crs</v>
          </cell>
        </row>
        <row r="64">
          <cell r="C64" t="str">
            <v>PANCHANGNULA BINDIYA</v>
          </cell>
          <cell r="D64" t="str">
            <v>PANCHANGNULA BINDIYA- CR</v>
          </cell>
        </row>
        <row r="65">
          <cell r="C65" t="str">
            <v>Bandu Naik</v>
          </cell>
          <cell r="D65" t="str">
            <v>Bandu Naik - Employee</v>
          </cell>
        </row>
        <row r="66">
          <cell r="C66" t="str">
            <v>AVENGERS SECURITY SE</v>
          </cell>
          <cell r="D66" t="str">
            <v>AVENGERS SECURITY SERVICES-CR</v>
          </cell>
        </row>
        <row r="67">
          <cell r="C67" t="str">
            <v>Rohit Prasad</v>
          </cell>
          <cell r="D67" t="str">
            <v>Rohit Prasad - Employee</v>
          </cell>
        </row>
        <row r="68">
          <cell r="C68" t="str">
            <v>NAVEEN P REDDY   Crs</v>
          </cell>
          <cell r="D68" t="str">
            <v>NAVEEN P REDDY - Crs</v>
          </cell>
        </row>
        <row r="69">
          <cell r="C69" t="str">
            <v>CC 000555153XXXXXX1236 Autopay SI-TAD</v>
          </cell>
          <cell r="D69" t="str">
            <v>HDFC IOCL CREDIT CARD</v>
          </cell>
        </row>
        <row r="70">
          <cell r="C70" t="str">
            <v>CC 000555153XXXXXX1236 Autopay SI-TAD</v>
          </cell>
          <cell r="D70" t="str">
            <v>HDFC IOCL CREDIT CARD</v>
          </cell>
        </row>
        <row r="71">
          <cell r="C71" t="str">
            <v>CC 000555153XXXXXX1236 Autopay SI-TAD</v>
          </cell>
          <cell r="D71" t="str">
            <v>HDFC IOCL CREDIT CARD</v>
          </cell>
        </row>
        <row r="72">
          <cell r="C72" t="str">
            <v>Devanand B Singh</v>
          </cell>
          <cell r="D72" t="str">
            <v>Devanand B. Singh - Employee</v>
          </cell>
        </row>
        <row r="73">
          <cell r="C73" t="str">
            <v>Ecogent Industries</v>
          </cell>
          <cell r="D73" t="str">
            <v>ECOGENT INDUSTRIES PRIVATE LIMITED - CRS</v>
          </cell>
        </row>
        <row r="74">
          <cell r="C74" t="str">
            <v>Kamakhya Enterprise</v>
          </cell>
          <cell r="D74" t="str">
            <v>Kamakhya Enterprises - Crs</v>
          </cell>
        </row>
        <row r="75">
          <cell r="C75" t="str">
            <v>DAKSHIN GUJARAT VIJ</v>
          </cell>
          <cell r="D75" t="str">
            <v>DAKSHIN GUJARAT VIJ CO LTD RTGS NEFT COLLECTION-CR</v>
          </cell>
        </row>
        <row r="76">
          <cell r="C76" t="str">
            <v>Krishna Supplier</v>
          </cell>
          <cell r="D76" t="str">
            <v>SHREEKRISHNA SUPPLIERS-Crs</v>
          </cell>
        </row>
        <row r="77">
          <cell r="C77" t="str">
            <v>Harrier Security Ser</v>
          </cell>
          <cell r="D77" t="str">
            <v>Harrier Security Services Private Limited-Crs</v>
          </cell>
        </row>
        <row r="78">
          <cell r="C78" t="str">
            <v>Avijit Chaubey</v>
          </cell>
          <cell r="D78" t="str">
            <v>Avijit Chaubey - Employee</v>
          </cell>
        </row>
        <row r="79">
          <cell r="C79" t="str">
            <v>Kamakhya Enterprise</v>
          </cell>
          <cell r="D79" t="str">
            <v>Kamakhya Enterprises - Crs</v>
          </cell>
        </row>
        <row r="80">
          <cell r="C80" t="str">
            <v>GD Packaging</v>
          </cell>
          <cell r="D80" t="str">
            <v>G D Packaging - Crs</v>
          </cell>
        </row>
        <row r="81">
          <cell r="C81" t="str">
            <v>FIRDOSH ERUCH ICHHAP</v>
          </cell>
          <cell r="D81" t="str">
            <v>FIRDOSH ERUCH ICHHAPORIA-Crs</v>
          </cell>
        </row>
        <row r="82">
          <cell r="C82" t="str">
            <v>RTGS Dr-SBIN0007074-RDCConcreteIndiaLtd-NETBANK MUM-HDFCR52026070880723773</v>
          </cell>
          <cell r="D82" t="str">
            <v>RDC CONCRETE (INDIA) Pvt Ltd -ICD</v>
          </cell>
        </row>
        <row r="83">
          <cell r="C83" t="str">
            <v>RTGS Dr-SBIN0007074-RDCConcreteIndiaLtd-NETBANK MUM-HDFCR52026070880654901</v>
          </cell>
          <cell r="D83" t="str">
            <v>RDC CONCRETE (INDIA) Pvt Ltd -ICD</v>
          </cell>
        </row>
        <row r="84">
          <cell r="C84" t="str">
            <v>RTGS Dr-SBIN0007074-RDCConcreteIndiaLtd-NETBANK MUM-HDFCR52026070880702883</v>
          </cell>
          <cell r="D84" t="str">
            <v>RDC CONCRETE (INDIA) Pvt Ltd -ICD</v>
          </cell>
        </row>
        <row r="85">
          <cell r="C85" t="str">
            <v>RTGS Dr-HSBC0400002-RDCConcreteIndiaLtd-NETBANK MUM-HDFCR52026070880654904</v>
          </cell>
          <cell r="D85" t="str">
            <v>RDC CONCRETE (INDIA) Pvt Ltd -ICD</v>
          </cell>
        </row>
        <row r="86">
          <cell r="C86" t="str">
            <v>RTGS Dr-SBIN0007074-RDCConcreteIndiaLtd-NETBANK MUM-HDFCR52026070880676150</v>
          </cell>
          <cell r="D86" t="str">
            <v>RDC CONCRETE (INDIA) Pvt Ltd -ICD</v>
          </cell>
        </row>
        <row r="87">
          <cell r="C87" t="str">
            <v>RTGS Dr-SBIN0005996-ArcelormittalNippo-NETBANK MUM-HDFCR52026070880744178</v>
          </cell>
          <cell r="D87" t="str">
            <v>Arcelormittal Nippon Steel India Limited - Crs</v>
          </cell>
        </row>
        <row r="88">
          <cell r="C88" t="str">
            <v>VANDANA SHARMA</v>
          </cell>
          <cell r="D88" t="str">
            <v>VANDANA SHARMA - Crs</v>
          </cell>
        </row>
        <row r="89">
          <cell r="C89" t="str">
            <v>Rabiul Ansari - Crs</v>
          </cell>
          <cell r="D89" t="str">
            <v>Rabiul Ansari - Crs</v>
          </cell>
        </row>
        <row r="90">
          <cell r="C90" t="str">
            <v>Veena Dilip Bokde</v>
          </cell>
          <cell r="D90" t="str">
            <v>Veena Dilip Bokde - Crs</v>
          </cell>
        </row>
        <row r="91">
          <cell r="C91" t="str">
            <v>DOED JUNG KUEN PHEN</v>
          </cell>
          <cell r="D91" t="str">
            <v>DOED JUNG KUEN PHEN TRADING HOUSE-CRS</v>
          </cell>
        </row>
        <row r="92">
          <cell r="C92" t="str">
            <v>Arya CS</v>
          </cell>
          <cell r="D92" t="str">
            <v>Arya CS - Crs</v>
          </cell>
        </row>
        <row r="93">
          <cell r="C93" t="str">
            <v>Harrier Security</v>
          </cell>
          <cell r="D93" t="str">
            <v>Harrier Security Services Private Limited-Crs</v>
          </cell>
        </row>
        <row r="94">
          <cell r="C94" t="str">
            <v>Sumangala Naik</v>
          </cell>
          <cell r="D94" t="str">
            <v>Sumangala Naik - Crs</v>
          </cell>
        </row>
        <row r="95">
          <cell r="C95" t="str">
            <v>KAMAL S PATIL</v>
          </cell>
          <cell r="D95" t="str">
            <v>KAMAL S PATIL - Crs</v>
          </cell>
        </row>
        <row r="96">
          <cell r="C96" t="str">
            <v>Harsh Raj</v>
          </cell>
          <cell r="D96" t="str">
            <v>Harsh Raj - EMPLOYEE</v>
          </cell>
        </row>
        <row r="97">
          <cell r="C97" t="str">
            <v>D   H SECHERON</v>
          </cell>
          <cell r="D97" t="str">
            <v>D &amp; H SECHERON INFRASTRUCTURE PVT LTD - CRS</v>
          </cell>
        </row>
        <row r="98">
          <cell r="C98" t="str">
            <v>Kinshar Metals</v>
          </cell>
          <cell r="D98" t="str">
            <v>Kinshar Metals - Crs</v>
          </cell>
        </row>
        <row r="99">
          <cell r="C99" t="str">
            <v>MSEDCL - CRS</v>
          </cell>
          <cell r="D99" t="str">
            <v>MSEDCL - CRS</v>
          </cell>
        </row>
        <row r="100">
          <cell r="C100" t="str">
            <v>CtrlP Solutions</v>
          </cell>
          <cell r="D100" t="str">
            <v>CtrlP Solutions Private Limited - Crs</v>
          </cell>
        </row>
        <row r="101">
          <cell r="C101" t="str">
            <v>Rajeswar Polai</v>
          </cell>
          <cell r="D101" t="str">
            <v>Rajeswar Polai - Employee</v>
          </cell>
        </row>
        <row r="102">
          <cell r="C102" t="str">
            <v>SAI SAMARTH SECURITY</v>
          </cell>
          <cell r="D102" t="str">
            <v>SAI SAMARTH SECURITY SERVICES &amp; LABOUR SUPPLIER - Crs</v>
          </cell>
        </row>
        <row r="103">
          <cell r="C103" t="str">
            <v>BGR Constructions</v>
          </cell>
          <cell r="D103" t="str">
            <v>BGR Constructions - Crs</v>
          </cell>
        </row>
        <row r="104">
          <cell r="C104" t="str">
            <v>Vadlamudi Veerab</v>
          </cell>
          <cell r="D104" t="str">
            <v>Vadlamudi Veerabhadra Rao - Crs</v>
          </cell>
        </row>
        <row r="105">
          <cell r="C105" t="str">
            <v>ADVITA POLYCRAFT LL</v>
          </cell>
          <cell r="D105" t="str">
            <v>ADVITA POLYCRAFT LLP - Crs</v>
          </cell>
        </row>
        <row r="106">
          <cell r="C106" t="str">
            <v>Bharti Airtel LTD</v>
          </cell>
          <cell r="D106" t="str">
            <v>Bharti Airtel Limited - Crs</v>
          </cell>
        </row>
        <row r="107">
          <cell r="C107" t="str">
            <v>Horiba India Pv ltd</v>
          </cell>
          <cell r="D107" t="str">
            <v>Horiba India Private Limited - Crs</v>
          </cell>
        </row>
        <row r="108">
          <cell r="C108" t="str">
            <v>BHUMAN ENTERPRIS</v>
          </cell>
          <cell r="D108" t="str">
            <v>BHUMAN ENTERPRISE-Crs</v>
          </cell>
        </row>
        <row r="109">
          <cell r="C109" t="str">
            <v>BHASKAR ENTER</v>
          </cell>
          <cell r="D109" t="str">
            <v>BHASKAR ENTERPRISE - Crs</v>
          </cell>
        </row>
        <row r="110">
          <cell r="C110" t="str">
            <v>FAITH INFRA</v>
          </cell>
          <cell r="D110" t="str">
            <v>FAITH INFRA-CRS</v>
          </cell>
        </row>
        <row r="111">
          <cell r="C111" t="str">
            <v>TPI Industries</v>
          </cell>
          <cell r="D111" t="str">
            <v>TPI Industries</v>
          </cell>
        </row>
        <row r="112">
          <cell r="C112" t="str">
            <v>Rehaman Transport</v>
          </cell>
          <cell r="D112" t="str">
            <v>Rehaman Transport - Crs</v>
          </cell>
        </row>
        <row r="113">
          <cell r="C113" t="str">
            <v>BHASKAR ENTERPRI</v>
          </cell>
          <cell r="D113" t="str">
            <v>BHASKAR ENTERPRISE - Crs</v>
          </cell>
        </row>
        <row r="114">
          <cell r="C114" t="str">
            <v>Bipin Jadhav Guest</v>
          </cell>
          <cell r="D114" t="str">
            <v>Bipin Jadhav Guest House - Crs</v>
          </cell>
        </row>
        <row r="115">
          <cell r="C115" t="str">
            <v>Ashish Kumar</v>
          </cell>
          <cell r="D115" t="str">
            <v>Ashish Kumar (Patna) - Employee</v>
          </cell>
        </row>
        <row r="116">
          <cell r="C116" t="str">
            <v>Anantha Reddy</v>
          </cell>
          <cell r="D116" t="str">
            <v>Anantha Vamshider Reddy - Employee</v>
          </cell>
        </row>
        <row r="117">
          <cell r="C117" t="str">
            <v>Deepak Shrivastava</v>
          </cell>
          <cell r="D117" t="str">
            <v>Deepak Shrivastava - Employee</v>
          </cell>
        </row>
        <row r="118">
          <cell r="C118" t="str">
            <v>Abhay Singh</v>
          </cell>
          <cell r="D118" t="str">
            <v>Abhay Singh-Employee</v>
          </cell>
        </row>
        <row r="119">
          <cell r="C119" t="str">
            <v>VIPIN SINGH</v>
          </cell>
          <cell r="D119" t="str">
            <v>VIPIN SINGH - EMPLOYEE</v>
          </cell>
        </row>
        <row r="120">
          <cell r="C120" t="str">
            <v>D H SECHERON PVT LTD</v>
          </cell>
          <cell r="D120" t="str">
            <v>D &amp; H SECHERON INFRASTRUCTURE PVT LTD - CRS</v>
          </cell>
        </row>
        <row r="121">
          <cell r="C121" t="str">
            <v>Avijit Chaubey</v>
          </cell>
          <cell r="D121" t="str">
            <v>Avijit Chaubey - Employee</v>
          </cell>
        </row>
        <row r="122">
          <cell r="C122" t="str">
            <v>Pramod  Marotirao</v>
          </cell>
          <cell r="D122" t="str">
            <v>Pramod  Marotirao Kumbhare- Crs</v>
          </cell>
        </row>
        <row r="123">
          <cell r="C123" t="str">
            <v>D H SECHERON PVT LTD</v>
          </cell>
          <cell r="D123" t="str">
            <v>D &amp; H SECHERON INFRASTRUCTURE PVT LTD - CRS</v>
          </cell>
        </row>
        <row r="124">
          <cell r="C124" t="str">
            <v>Rohit Prasad</v>
          </cell>
          <cell r="D124" t="str">
            <v>Rohit Prasad - Employee</v>
          </cell>
        </row>
        <row r="125">
          <cell r="C125" t="str">
            <v>Ashvarya Kumar Verma</v>
          </cell>
          <cell r="D125" t="str">
            <v>Ashvarya Kumar Verma-Employee</v>
          </cell>
        </row>
        <row r="126">
          <cell r="C126" t="str">
            <v>Sandeep Singh</v>
          </cell>
          <cell r="D126" t="str">
            <v>Sandeep Singh - Employee</v>
          </cell>
        </row>
        <row r="127">
          <cell r="C127" t="str">
            <v>Harish Ludhani</v>
          </cell>
          <cell r="D127" t="str">
            <v>Harish Ludhani - Employee</v>
          </cell>
        </row>
        <row r="128">
          <cell r="C128" t="str">
            <v>BOMMI SUNEEL KUMAR</v>
          </cell>
          <cell r="D128" t="str">
            <v>BOMMI SUNEEL KUMAR-Employee</v>
          </cell>
        </row>
        <row r="129">
          <cell r="C129" t="str">
            <v>WBSEDCL Aggregate</v>
          </cell>
          <cell r="D129" t="str">
            <v>WBSEDCL-CRS</v>
          </cell>
        </row>
        <row r="130">
          <cell r="C130" t="str">
            <v>GST/Bank Reference No: E2619073882649/CIN No: HDFC26071900030472</v>
          </cell>
          <cell r="D130" t="str">
            <v>GST Payable</v>
          </cell>
        </row>
        <row r="131">
          <cell r="C131" t="str">
            <v>GST/Bank Reference No: E2619073882649/CIN No: HDFC26071900030472</v>
          </cell>
          <cell r="D131" t="str">
            <v>GST Payable</v>
          </cell>
        </row>
        <row r="132">
          <cell r="C132" t="str">
            <v>D H SECHERON PVT LTD</v>
          </cell>
          <cell r="D132" t="str">
            <v>D &amp; H SECHERON INFRASTRUCTURE PVT LTD - CRS</v>
          </cell>
        </row>
        <row r="133">
          <cell r="C133" t="str">
            <v>TMS ENTERPRISES</v>
          </cell>
          <cell r="D133" t="str">
            <v>TMS ENTERPRISES - Crs</v>
          </cell>
        </row>
        <row r="134">
          <cell r="C134" t="str">
            <v>Andezath Joshi</v>
          </cell>
          <cell r="D134" t="str">
            <v>Joshi Dharmarajan Andezath - Employee</v>
          </cell>
        </row>
        <row r="135">
          <cell r="C135" t="str">
            <v>RTGS Dr-KKBK0002847-DokaniaPurushottamCrs-NETBANK MUM-HDFCR52026070981254954</v>
          </cell>
          <cell r="D135" t="str">
            <v>Dokania Purushottam - Crs</v>
          </cell>
        </row>
        <row r="136">
          <cell r="C136" t="str">
            <v>RTGS Dr-IDIB000A063-SHREYASHIHVAKHARIACrs-NETBANK MUM-HDFCR52026070981290313</v>
          </cell>
          <cell r="D136" t="str">
            <v>SHREYASHI H VAKHARIA - Crs</v>
          </cell>
        </row>
        <row r="137">
          <cell r="C137" t="str">
            <v>Asia Minerals a Mach</v>
          </cell>
          <cell r="D137" t="str">
            <v>Asia Minerals and Machinery Company - Crs</v>
          </cell>
        </row>
        <row r="138">
          <cell r="C138" t="str">
            <v>DHCEXT01PAUPD8-CBICICEGATE</v>
          </cell>
          <cell r="D138" t="str">
            <v>DOED JUNG KUEN PHEN TRADING HOUSE-CRS</v>
          </cell>
        </row>
        <row r="139">
          <cell r="C139" t="str">
            <v>DOED JUNG KUEN PHEN</v>
          </cell>
          <cell r="D139" t="str">
            <v>DOED JUNG KUEN PHEN TRADING HOUSE-CRS</v>
          </cell>
        </row>
        <row r="140">
          <cell r="C140" t="str">
            <v>Yaa Baba Taj</v>
          </cell>
          <cell r="D140" t="str">
            <v>Yaa Baba Taj Restaurants - CRS</v>
          </cell>
        </row>
        <row r="141">
          <cell r="C141" t="str">
            <v>Ramakant L Dalal</v>
          </cell>
          <cell r="D141" t="str">
            <v>Ramakant L Dalal - Crs</v>
          </cell>
        </row>
        <row r="142">
          <cell r="C142" t="str">
            <v>ETC POOL</v>
          </cell>
          <cell r="D142" t="str">
            <v>ETC POOL - Crs</v>
          </cell>
        </row>
        <row r="143">
          <cell r="C143" t="str">
            <v>D.K. SERVICES</v>
          </cell>
          <cell r="D143" t="str">
            <v>D.K. SERVICES - Crs</v>
          </cell>
        </row>
        <row r="144">
          <cell r="C144" t="str">
            <v>ROYAL ENGINEERING</v>
          </cell>
          <cell r="D144" t="str">
            <v>ROYAL ENGINEERING WORKS - Crs</v>
          </cell>
        </row>
        <row r="145">
          <cell r="C145" t="str">
            <v>R G Brothers Enginee</v>
          </cell>
          <cell r="D145" t="str">
            <v>R. G. Brothers Engineering Works - Crs</v>
          </cell>
        </row>
        <row r="146">
          <cell r="C146" t="str">
            <v>Luk Enterprises</v>
          </cell>
          <cell r="D146" t="str">
            <v>Luk Enterprises - Crs</v>
          </cell>
        </row>
        <row r="147">
          <cell r="C147" t="str">
            <v>Fourteckh Enviro</v>
          </cell>
          <cell r="D147" t="str">
            <v>Fourteckh Enviro India Pvt Ltd - Crs</v>
          </cell>
        </row>
        <row r="148">
          <cell r="C148" t="str">
            <v>Miloni Internation</v>
          </cell>
          <cell r="D148" t="str">
            <v>Miloni International - Crs</v>
          </cell>
        </row>
        <row r="149">
          <cell r="C149" t="str">
            <v>RTGS Dr-SBIN0005996-ArcelormittalNippo-NETBANK MUM-HDFCR52026071181930293</v>
          </cell>
          <cell r="D149" t="str">
            <v>Arcelormittal Nippon Steel India Limited - Crs</v>
          </cell>
        </row>
        <row r="150">
          <cell r="C150" t="str">
            <v>Mbs Enterprise- Crs</v>
          </cell>
          <cell r="D150" t="str">
            <v>Mbs Enterprise (Crusher) - Crs</v>
          </cell>
        </row>
        <row r="151">
          <cell r="C151" t="str">
            <v>Kamakhya Enterprise</v>
          </cell>
          <cell r="D151" t="str">
            <v>Kamakhya Enterprises - Crs</v>
          </cell>
        </row>
        <row r="152">
          <cell r="C152" t="str">
            <v>NIGAM CAR SERVICES</v>
          </cell>
          <cell r="D152" t="str">
            <v>NIGAM CAR SERVICES</v>
          </cell>
        </row>
        <row r="153">
          <cell r="C153" t="str">
            <v>Vikas Kumar Tiwari</v>
          </cell>
          <cell r="D153" t="str">
            <v>Vikas Kumar Tiwari- Drs</v>
          </cell>
        </row>
        <row r="154">
          <cell r="C154" t="str">
            <v>Dev Security Servic</v>
          </cell>
          <cell r="D154" t="str">
            <v>Dev Security Services- Crs</v>
          </cell>
        </row>
        <row r="155">
          <cell r="C155" t="str">
            <v>Infotech Computers</v>
          </cell>
          <cell r="D155" t="str">
            <v>Info Tech Computers - Crs</v>
          </cell>
        </row>
        <row r="156">
          <cell r="C156" t="str">
            <v>MADAN MOHAN SINGH</v>
          </cell>
          <cell r="D156" t="str">
            <v>MADAN MOHAN SINGH-CRS</v>
          </cell>
        </row>
        <row r="157">
          <cell r="C157" t="str">
            <v>Krishna Enterprise G</v>
          </cell>
          <cell r="D157" t="str">
            <v>Krishna Enterprise(Guj)-Crs</v>
          </cell>
        </row>
        <row r="158">
          <cell r="C158" t="str">
            <v>Accurate Engineering</v>
          </cell>
          <cell r="D158" t="str">
            <v>Accurate Engineering Works-Crs</v>
          </cell>
        </row>
        <row r="159">
          <cell r="C159" t="str">
            <v>Shree Mahalaxmi Tra</v>
          </cell>
          <cell r="D159" t="str">
            <v>Shree Mahalaxmi Traders-Crs</v>
          </cell>
        </row>
        <row r="160">
          <cell r="C160" t="str">
            <v>Subhendu Konar</v>
          </cell>
          <cell r="D160" t="str">
            <v>Subhendu Konar - Crs</v>
          </cell>
        </row>
        <row r="161">
          <cell r="C161" t="str">
            <v>CB SURATWALA AND SON</v>
          </cell>
          <cell r="D161" t="str">
            <v>CB SURATWALA AND SONS-CRS</v>
          </cell>
        </row>
        <row r="162">
          <cell r="C162" t="str">
            <v>MSJ Movers</v>
          </cell>
          <cell r="D162" t="str">
            <v>MSJ Movers - CRS</v>
          </cell>
        </row>
        <row r="163">
          <cell r="C163" t="str">
            <v>AKRUTI ENTERPRISE</v>
          </cell>
          <cell r="D163" t="str">
            <v>AKRUTI ENTERPRISE-CRS</v>
          </cell>
        </row>
        <row r="164">
          <cell r="C164" t="str">
            <v>WBSEDCL Galsi</v>
          </cell>
          <cell r="D164" t="str">
            <v>WBSEDCL (Galsi) - Crs</v>
          </cell>
        </row>
        <row r="165">
          <cell r="C165" t="str">
            <v>SBI Transfer</v>
          </cell>
          <cell r="D165" t="str">
            <v>State Bank of India</v>
          </cell>
        </row>
        <row r="166">
          <cell r="C166" t="str">
            <v>Sumit Goods Carrier</v>
          </cell>
          <cell r="D166" t="str">
            <v>Sumit Goods Carrier(Arabinda Kumar Das) - CRS</v>
          </cell>
        </row>
        <row r="167">
          <cell r="C167" t="str">
            <v>S K Traders-Crs</v>
          </cell>
          <cell r="D167" t="str">
            <v>S. K. Traders-Crs</v>
          </cell>
        </row>
        <row r="168">
          <cell r="C168" t="str">
            <v>Sumit Goods Carrier</v>
          </cell>
          <cell r="D168" t="str">
            <v>Sumit Goods Carrier(Arabinda Kumar Das) - CRS</v>
          </cell>
        </row>
        <row r="169">
          <cell r="C169" t="str">
            <v>BN TRADING AND TRA</v>
          </cell>
          <cell r="D169" t="str">
            <v>BN TRADING AND TRANSPORT COMPANY-CR</v>
          </cell>
        </row>
        <row r="170">
          <cell r="C170" t="str">
            <v>M B ENTERPRISE</v>
          </cell>
          <cell r="D170" t="str">
            <v>M B ENTERPRISE- Crs</v>
          </cell>
        </row>
        <row r="171">
          <cell r="C171" t="str">
            <v>JINENDRA AUTO PARTS</v>
          </cell>
          <cell r="D171" t="str">
            <v>JINENDRA AUTO PARTS-Crs</v>
          </cell>
        </row>
        <row r="172">
          <cell r="C172" t="str">
            <v>Kiran Rubber-Crs</v>
          </cell>
          <cell r="D172" t="str">
            <v>Kiran Rubber-Crs</v>
          </cell>
        </row>
        <row r="173">
          <cell r="C173" t="str">
            <v>Ankush Chavan</v>
          </cell>
          <cell r="D173" t="str">
            <v>Ankush Chavan- Employee</v>
          </cell>
        </row>
        <row r="174">
          <cell r="C174" t="str">
            <v>Purnendu Konar</v>
          </cell>
          <cell r="D174" t="str">
            <v>Purnendu Konar - Crs</v>
          </cell>
        </row>
        <row r="175">
          <cell r="C175" t="str">
            <v>Mataji Trading Co</v>
          </cell>
          <cell r="D175" t="str">
            <v>Mataji Trading Co - Crs</v>
          </cell>
        </row>
        <row r="176">
          <cell r="C176" t="str">
            <v>Jagannath Electric W</v>
          </cell>
          <cell r="D176" t="str">
            <v>Jagannath Electric Works</v>
          </cell>
        </row>
        <row r="177">
          <cell r="C177" t="str">
            <v>Sairaj Enterprises</v>
          </cell>
          <cell r="D177" t="str">
            <v>Sairaj Enterprises - Crs</v>
          </cell>
        </row>
        <row r="178">
          <cell r="C178" t="str">
            <v>Yantraman Automac</v>
          </cell>
          <cell r="D178" t="str">
            <v>Yantraman Automac Pvt Ltd-Crs</v>
          </cell>
        </row>
        <row r="179">
          <cell r="C179" t="str">
            <v>Rice Lake Weighing</v>
          </cell>
          <cell r="D179" t="str">
            <v>Rice Lake Weighing System India - Crs</v>
          </cell>
        </row>
        <row r="180">
          <cell r="C180" t="str">
            <v>Nanak Auto Parts</v>
          </cell>
          <cell r="D180" t="str">
            <v>Nanak Auto Parts-Crs</v>
          </cell>
        </row>
        <row r="181">
          <cell r="C181" t="str">
            <v>Krishnendu Konar</v>
          </cell>
          <cell r="D181" t="str">
            <v>Krishnendu Konar CRS</v>
          </cell>
        </row>
        <row r="182">
          <cell r="C182" t="str">
            <v>CtrlP Solutions Pvt</v>
          </cell>
          <cell r="D182" t="str">
            <v>CtrlP Solutions Private Limited - Crs</v>
          </cell>
        </row>
        <row r="183">
          <cell r="C183" t="str">
            <v>AIRMAX AUTOMATION</v>
          </cell>
          <cell r="D183" t="str">
            <v>AIRMAX AUTOMATION - CRS</v>
          </cell>
        </row>
        <row r="184">
          <cell r="C184" t="str">
            <v>KAPIL THAKARE</v>
          </cell>
          <cell r="D184" t="str">
            <v>KAPIL THAKARE - Crs</v>
          </cell>
        </row>
        <row r="185">
          <cell r="C185" t="str">
            <v>Infotech Computers</v>
          </cell>
          <cell r="D185" t="str">
            <v>Info Tech Computers - Crs</v>
          </cell>
        </row>
        <row r="186">
          <cell r="C186" t="str">
            <v>Shri Mangalmurti</v>
          </cell>
          <cell r="D186" t="str">
            <v>Shri Mangalmurti Logistics - Crs</v>
          </cell>
        </row>
        <row r="187">
          <cell r="C187" t="str">
            <v>Om Sai Krupa Chai</v>
          </cell>
          <cell r="D187" t="str">
            <v>Om Sai Krupa Chai - Crs</v>
          </cell>
        </row>
        <row r="188">
          <cell r="C188" t="str">
            <v>Krishna Konar</v>
          </cell>
          <cell r="D188" t="str">
            <v>Krishna Konar - Crs</v>
          </cell>
        </row>
        <row r="189">
          <cell r="C189" t="str">
            <v>Hms Internationa</v>
          </cell>
          <cell r="D189" t="str">
            <v>M/s Hms International-Crs</v>
          </cell>
        </row>
        <row r="190">
          <cell r="C190" t="str">
            <v>Neofines Solution</v>
          </cell>
          <cell r="D190" t="str">
            <v>Neofines Solution-CRS</v>
          </cell>
        </row>
        <row r="191">
          <cell r="C191" t="str">
            <v>FT-CHETTINAD9214181-Chettinad Cement</v>
          </cell>
          <cell r="D191" t="str">
            <v>Chettinad Cement Corporation Private Limited - Crs</v>
          </cell>
        </row>
        <row r="192">
          <cell r="C192" t="str">
            <v>Vaishnavi Aggregates</v>
          </cell>
          <cell r="D192" t="str">
            <v>Vaishnavi Aggregates - Crs</v>
          </cell>
        </row>
        <row r="193">
          <cell r="C193" t="str">
            <v>Vaishnavi Aggregates</v>
          </cell>
          <cell r="D193" t="str">
            <v>Vaishnavi Aggregates - Crs</v>
          </cell>
        </row>
        <row r="194">
          <cell r="C194" t="str">
            <v>Ms Hms International</v>
          </cell>
          <cell r="D194" t="str">
            <v>M/s Hms International-Crs</v>
          </cell>
        </row>
        <row r="195">
          <cell r="C195" t="str">
            <v>RTGS Dr-SBIN0005996-ArcelormittalNippo-NETBANK MUM-HDFCR52026071483190242</v>
          </cell>
          <cell r="D195" t="str">
            <v>Arcelormittal Nippon Steel India Limited - Crs</v>
          </cell>
        </row>
        <row r="196">
          <cell r="C196" t="str">
            <v>Saket Road Carriers</v>
          </cell>
          <cell r="D196" t="str">
            <v>Saket Road Carriers Pvt Ltd - Crs</v>
          </cell>
        </row>
        <row r="197">
          <cell r="C197" t="str">
            <v>Shree Krishna Enterp</v>
          </cell>
          <cell r="D197" t="str">
            <v>Shree Krishna Enterprises (MH)-Crs</v>
          </cell>
        </row>
        <row r="198">
          <cell r="C198" t="str">
            <v>Ashutosh Jha</v>
          </cell>
          <cell r="D198" t="str">
            <v>Ashutosh Ranjan Jha - Employee</v>
          </cell>
        </row>
        <row r="199">
          <cell r="C199" t="str">
            <v>Raghul Rajendiran</v>
          </cell>
          <cell r="D199" t="str">
            <v>Raghul Rajendiran R- Employee</v>
          </cell>
        </row>
        <row r="200">
          <cell r="C200" t="str">
            <v>VRAJ Cement Carrier</v>
          </cell>
          <cell r="D200" t="str">
            <v>VRAJ Cement Carrier LLP Maharashtra - Crs</v>
          </cell>
        </row>
        <row r="201">
          <cell r="C201" t="str">
            <v>Bhailal Jethva</v>
          </cell>
          <cell r="D201" t="str">
            <v>Bhailal Jethva - Employee</v>
          </cell>
        </row>
        <row r="202">
          <cell r="C202" t="str">
            <v>Karim Shah</v>
          </cell>
          <cell r="D202" t="str">
            <v>Karim Shah - Employee</v>
          </cell>
        </row>
        <row r="203">
          <cell r="C203" t="str">
            <v>VRAJ Cement Carrier</v>
          </cell>
          <cell r="D203" t="str">
            <v>VRAJ Cement Carrier LLP Maharashtra - Crs</v>
          </cell>
        </row>
        <row r="204">
          <cell r="C204" t="str">
            <v>PUNAGHAR MATA</v>
          </cell>
          <cell r="D204" t="str">
            <v>PUNAGHAR MATA TOOL CENTER - Crs</v>
          </cell>
        </row>
        <row r="205">
          <cell r="C205" t="str">
            <v>AMBUJA CEMENTS</v>
          </cell>
          <cell r="D205" t="str">
            <v>AMBUJA CEMENTS LIMITED -Crs</v>
          </cell>
        </row>
        <row r="206">
          <cell r="C206" t="str">
            <v>M.B.S. Construction</v>
          </cell>
          <cell r="D206" t="str">
            <v>M.B.S. Construction</v>
          </cell>
        </row>
        <row r="207">
          <cell r="C207" t="str">
            <v>Rushika Enterprise</v>
          </cell>
          <cell r="D207" t="str">
            <v>Rushika Enterprise - Crs</v>
          </cell>
        </row>
        <row r="208">
          <cell r="C208" t="str">
            <v>RND Bearings</v>
          </cell>
          <cell r="D208" t="str">
            <v>RND Bearings - Crs</v>
          </cell>
        </row>
        <row r="209">
          <cell r="C209" t="str">
            <v>RATHI ASSOCIATES</v>
          </cell>
          <cell r="D209" t="str">
            <v>RATHI ASSOCIATES - Crs</v>
          </cell>
        </row>
        <row r="210">
          <cell r="C210" t="str">
            <v>AMBUJA CEMENTS</v>
          </cell>
          <cell r="D210" t="str">
            <v>AMBUJA CEMENTS LIMITED -Crs</v>
          </cell>
        </row>
        <row r="211">
          <cell r="C211" t="str">
            <v>KD Enterprise</v>
          </cell>
          <cell r="D211" t="str">
            <v>K D Enterprises-Crs</v>
          </cell>
        </row>
        <row r="212">
          <cell r="C212" t="str">
            <v>Rajeswar Polai</v>
          </cell>
          <cell r="D212" t="str">
            <v>Rajeswar Polai - Employee</v>
          </cell>
        </row>
        <row r="213">
          <cell r="C213" t="str">
            <v>P.S. Agency-CRS</v>
          </cell>
          <cell r="D213" t="str">
            <v>P.S. Agency-CRS</v>
          </cell>
        </row>
        <row r="214">
          <cell r="C214" t="str">
            <v>KD Enterprise</v>
          </cell>
          <cell r="D214" t="str">
            <v>K D Enterprises-Crs</v>
          </cell>
        </row>
        <row r="215">
          <cell r="C215" t="str">
            <v>Jadav  Enterprise</v>
          </cell>
          <cell r="D215" t="str">
            <v>M/s  Jadav  Enterprise - Crs</v>
          </cell>
        </row>
        <row r="216">
          <cell r="C216" t="str">
            <v>SHREEKRISHNA SUPPL</v>
          </cell>
          <cell r="D216" t="str">
            <v>SHREEKRISHNA SUPPLIERS-Crs</v>
          </cell>
        </row>
        <row r="217">
          <cell r="C217" t="str">
            <v>DHCEKBX1PR3NLU-EPFOBD</v>
          </cell>
          <cell r="D217" t="str">
            <v>PF PAYABLE</v>
          </cell>
        </row>
        <row r="218">
          <cell r="C218" t="str">
            <v>DHCEY1T1PQJMLB-EPFOBD</v>
          </cell>
          <cell r="D218" t="str">
            <v>PF PAYABLE</v>
          </cell>
        </row>
        <row r="219">
          <cell r="C219" t="str">
            <v>DHCEIGT1PQTZ88-EPFOBD</v>
          </cell>
          <cell r="D219" t="str">
            <v>PF PAYABLE</v>
          </cell>
        </row>
        <row r="220">
          <cell r="C220" t="str">
            <v>RTGS Dr-SBIN0007074-RDCSBIICD-NETBANK MUM-HDFCR52026071583186210</v>
          </cell>
          <cell r="D220" t="str">
            <v>Rdc Concrete (India) Pvt Ltd</v>
          </cell>
        </row>
        <row r="221">
          <cell r="C221" t="str">
            <v>ACH D- TP ACH ICICI BANK-2266349567</v>
          </cell>
          <cell r="D221" t="str">
            <v>ICICI Term Loan</v>
          </cell>
        </row>
        <row r="222">
          <cell r="C222" t="str">
            <v>ACH D- TP ACH ICICI BANK-2266315265</v>
          </cell>
          <cell r="D222" t="str">
            <v>ICICI Term Loan</v>
          </cell>
        </row>
        <row r="223">
          <cell r="C223" t="str">
            <v>ACH D- TP ACH ICICI BANK-2266349566</v>
          </cell>
          <cell r="D223" t="str">
            <v>ICICI Term Loan</v>
          </cell>
        </row>
        <row r="224">
          <cell r="C224" t="str">
            <v>ACH D- TP ACH ICICI BANK-2266349565</v>
          </cell>
          <cell r="D224" t="str">
            <v>ICICI Term Loan</v>
          </cell>
        </row>
        <row r="225">
          <cell r="C225" t="str">
            <v>ACH D- TP ACH ICICI BANK-2266315266</v>
          </cell>
          <cell r="D225" t="str">
            <v>ICICI Term Loan</v>
          </cell>
        </row>
        <row r="226">
          <cell r="C226" t="str">
            <v>RTGS Dr-DBSS0IN0877-AslLogisticsPrivateLimitedCrs-NETBANK MUM-HDFCR52026071583353994</v>
          </cell>
          <cell r="D226" t="str">
            <v>Asl Logistics Private Limited-Crs</v>
          </cell>
        </row>
        <row r="227">
          <cell r="C227" t="str">
            <v>Siddhi Vinayak Corpo</v>
          </cell>
          <cell r="D227" t="str">
            <v>Siddhi Vinayak Corporation-Crs</v>
          </cell>
        </row>
        <row r="228">
          <cell r="C228" t="str">
            <v>Yogya Logistics</v>
          </cell>
          <cell r="D228" t="str">
            <v>Yogya Logistics Pvt Ltd-CRS</v>
          </cell>
        </row>
        <row r="229">
          <cell r="C229" t="str">
            <v>BGR Constructions</v>
          </cell>
          <cell r="D229" t="str">
            <v>BGR Constructions - Crs</v>
          </cell>
        </row>
        <row r="230">
          <cell r="C230" t="str">
            <v>URC Logistics</v>
          </cell>
          <cell r="D230" t="str">
            <v>URC Logistics Private Limited - Crs</v>
          </cell>
        </row>
        <row r="231">
          <cell r="C231" t="str">
            <v>SREERAMA INDUSTRY</v>
          </cell>
          <cell r="D231" t="str">
            <v>SREERAMA INDUSTRIES PRIVATE LIMITED-Crs</v>
          </cell>
        </row>
        <row r="232">
          <cell r="C232" t="str">
            <v>CJ DARCL Logistics</v>
          </cell>
          <cell r="D232" t="str">
            <v>CJ DARCL Logistics Limited-Crs</v>
          </cell>
        </row>
        <row r="233">
          <cell r="C233" t="str">
            <v>AMBUJA CEMENTS</v>
          </cell>
          <cell r="D233" t="str">
            <v>AMBUJA CEMENTS LIMITED -Crs</v>
          </cell>
        </row>
        <row r="234">
          <cell r="C234" t="str">
            <v>Shree Parivahan Lt</v>
          </cell>
          <cell r="D234" t="str">
            <v>Shree Parivahan Limited - Crs</v>
          </cell>
        </row>
        <row r="235">
          <cell r="C235" t="str">
            <v>ACH D- CONNECT RESIDUARY PR-UMAPL 005</v>
          </cell>
          <cell r="D235" t="str">
            <v>Connect Residuary Pvt Ltd - Crs</v>
          </cell>
        </row>
        <row r="236">
          <cell r="C236" t="str">
            <v>CBDT/Bank Reference No:Y2619650876973/CIN No:26071500191458HDFC/Online</v>
          </cell>
          <cell r="D236" t="str">
            <v>192B TDS on Salary</v>
          </cell>
        </row>
        <row r="237">
          <cell r="C237" t="str">
            <v>CBDT/Bank Reference No:Y2619650876975/CIN No:26071500194877HDFC/Online</v>
          </cell>
          <cell r="D237" t="str">
            <v>194H TDS on Brokerage and Commssion</v>
          </cell>
        </row>
        <row r="238">
          <cell r="C238" t="str">
            <v>CBDT/Bank Reference No:Y2619650876975/CIN No:26071500194877HDFC/Online</v>
          </cell>
          <cell r="D238" t="str">
            <v>194I TDS on Rent</v>
          </cell>
        </row>
        <row r="239">
          <cell r="C239" t="str">
            <v>CBDT/Bank Reference No:Y2619650876975/CIN No:26071500194877HDFC/Online</v>
          </cell>
          <cell r="D239" t="str">
            <v>194J TDS on Professional Fees</v>
          </cell>
        </row>
        <row r="240">
          <cell r="C240" t="str">
            <v>CBDT/Bank Reference No:Y2619650876975/CIN No:26071500194877HDFC/Online</v>
          </cell>
          <cell r="D240" t="str">
            <v>194Q TDS Payable</v>
          </cell>
        </row>
        <row r="241">
          <cell r="C241" t="str">
            <v>CBDT/Bank Reference No:Y2619650876976/CIN No:26071500197564HDFC/Online</v>
          </cell>
          <cell r="D241" t="str">
            <v>194H TDS on Brokerage and Commssion</v>
          </cell>
        </row>
        <row r="242">
          <cell r="C242" t="str">
            <v>CBDT/Bank Reference No:Y2619650876976/CIN No:26071500197564HDFC/Online</v>
          </cell>
          <cell r="D242" t="str">
            <v>194I TDS on Rent</v>
          </cell>
        </row>
        <row r="243">
          <cell r="C243" t="str">
            <v>CBDT/Bank Reference No:Y2619650876976/CIN No:26071500197564HDFC/Online</v>
          </cell>
          <cell r="D243" t="str">
            <v>194J TDS on Professional Fees</v>
          </cell>
        </row>
        <row r="244">
          <cell r="C244" t="str">
            <v>CBDT/Bank Reference No:Y2619650876976/CIN No:26071500197564HDFC/Online</v>
          </cell>
          <cell r="D244" t="str">
            <v>194Q TDS Payable</v>
          </cell>
        </row>
        <row r="245">
          <cell r="C245" t="str">
            <v>Sumit Goods Carrier</v>
          </cell>
          <cell r="D245" t="str">
            <v>Sumit Goods Carrier(Arabinda Kumar Das) - CRS</v>
          </cell>
        </row>
        <row r="246">
          <cell r="C246" t="str">
            <v>KRISHNA ENTERPRISES</v>
          </cell>
          <cell r="D246" t="str">
            <v>KRISHNA ENTERPRISES- Crs</v>
          </cell>
        </row>
        <row r="247">
          <cell r="C247" t="str">
            <v>JFC Logistics</v>
          </cell>
          <cell r="D247" t="str">
            <v>JFC Logistics - Crs</v>
          </cell>
        </row>
        <row r="248">
          <cell r="C248" t="str">
            <v>Kaneria Building Pvt</v>
          </cell>
          <cell r="D248" t="str">
            <v>Kaneria Building Solutions Pvt Ltd - Crs</v>
          </cell>
        </row>
        <row r="249">
          <cell r="C249" t="str">
            <v>Veereshwar Transport</v>
          </cell>
          <cell r="D249" t="str">
            <v>Shri Veereshwar Transport</v>
          </cell>
        </row>
        <row r="250">
          <cell r="C250" t="str">
            <v>Dmk Logistic</v>
          </cell>
          <cell r="D250" t="str">
            <v>Dmk Logistic - Crs</v>
          </cell>
        </row>
        <row r="251">
          <cell r="C251" t="str">
            <v>Rushika Enterprise</v>
          </cell>
          <cell r="D251" t="str">
            <v>Rushika Enterprise - Crs</v>
          </cell>
        </row>
        <row r="252">
          <cell r="C252" t="str">
            <v>ARKAY LOGISTICS</v>
          </cell>
          <cell r="D252" t="str">
            <v>ARKAY LOGISTICS-Crs</v>
          </cell>
        </row>
        <row r="253">
          <cell r="C253" t="str">
            <v>Shri Raghavendra En</v>
          </cell>
          <cell r="D253" t="str">
            <v>Shri Raghavendra Enterprises - Crs</v>
          </cell>
        </row>
        <row r="254">
          <cell r="C254" t="str">
            <v>Incred Financial Ltd</v>
          </cell>
          <cell r="D254" t="str">
            <v>Connect Residuary Pvt Ltd - Crs</v>
          </cell>
        </row>
        <row r="255">
          <cell r="C255" t="str">
            <v>Vadlamudi Veerabhadr</v>
          </cell>
          <cell r="D255" t="str">
            <v>Vadlamudi Veerabhadra Rao - Crs</v>
          </cell>
        </row>
        <row r="256">
          <cell r="C256" t="str">
            <v>Atharva Enterprises</v>
          </cell>
          <cell r="D256" t="str">
            <v>Atharva Enterprises - Crs</v>
          </cell>
        </row>
        <row r="257">
          <cell r="C257" t="str">
            <v>Vadlamudi Veerabhadr</v>
          </cell>
          <cell r="D257" t="str">
            <v>Vadlamudi Veerabhadra Rao - Crs</v>
          </cell>
        </row>
        <row r="258">
          <cell r="C258" t="str">
            <v>MANNAT CONSTRUCTION</v>
          </cell>
          <cell r="D258" t="str">
            <v>MANNAT CONSTRUCTIONS - Crs</v>
          </cell>
        </row>
        <row r="259">
          <cell r="C259" t="str">
            <v>Shreeji Sales Corpor</v>
          </cell>
          <cell r="D259" t="str">
            <v>Shreeji Sales Corporation-Crs</v>
          </cell>
        </row>
        <row r="260">
          <cell r="C260" t="str">
            <v>WIREMESH WEAVING</v>
          </cell>
          <cell r="D260" t="str">
            <v>WIREMESH WEAVING INDUSTRIES - CRS</v>
          </cell>
        </row>
        <row r="261">
          <cell r="C261" t="str">
            <v>Kamakhya Enterpris</v>
          </cell>
          <cell r="D261" t="str">
            <v>Kamakhya Enterprises - Crs</v>
          </cell>
        </row>
        <row r="262">
          <cell r="C262" t="str">
            <v>Rehaman Transport</v>
          </cell>
          <cell r="D262" t="str">
            <v>Rehaman Transport - Crs</v>
          </cell>
        </row>
        <row r="263">
          <cell r="C263" t="str">
            <v>SRL Group   Company</v>
          </cell>
          <cell r="D263" t="str">
            <v>SRL Group and Company - Crs</v>
          </cell>
        </row>
        <row r="264">
          <cell r="C264" t="str">
            <v>FT-CHETTINAD9214181-Chettinad Cement</v>
          </cell>
          <cell r="D264" t="str">
            <v>Chettinad Cement Corporation Private Limited - Crs</v>
          </cell>
        </row>
        <row r="265">
          <cell r="C265" t="str">
            <v>CBDT/Bank Reference No:Y2619850919073/CIN No:26071700071902HDFC/Online</v>
          </cell>
          <cell r="D265" t="str">
            <v>194Q TDS Payable</v>
          </cell>
        </row>
        <row r="266">
          <cell r="C266" t="str">
            <v>CBDT/Bank Reference No:Y2619850919073/CIN No:26071700071902HDFC/Online</v>
          </cell>
          <cell r="D266" t="str">
            <v>194Q TDS Payable</v>
          </cell>
        </row>
        <row r="267">
          <cell r="C267" t="str">
            <v>CBDT/Bank Reference No:Y2619850919074/CIN No:26071700076754HDFC/Online</v>
          </cell>
          <cell r="D267" t="str">
            <v>194A TDS on Interest</v>
          </cell>
        </row>
        <row r="268">
          <cell r="C268" t="str">
            <v>CBDT/Bank Reference No:Y2619850919074/CIN No:26071700076754HDFC/Online</v>
          </cell>
          <cell r="D268" t="str">
            <v>194A TDS on Interest</v>
          </cell>
        </row>
        <row r="269">
          <cell r="C269" t="str">
            <v>CBDT/Bank Reference No:Y2619850918910/CIN No:26071700073337HDFC/Online</v>
          </cell>
          <cell r="D269" t="str">
            <v>194Q TDS Payable</v>
          </cell>
        </row>
        <row r="270">
          <cell r="C270" t="str">
            <v>CBDT/Bank Reference No:Y2619850918910/CIN No:26071700073337HDFC/Online</v>
          </cell>
          <cell r="D270" t="str">
            <v>194Q TDS Payable</v>
          </cell>
        </row>
        <row r="271">
          <cell r="C271" t="str">
            <v>GST/Bank Reference No: E2619874020669/CIN No: HDFC26071900127727</v>
          </cell>
          <cell r="D271" t="str">
            <v>GST Payable</v>
          </cell>
        </row>
        <row r="272">
          <cell r="C272" t="str">
            <v>GST/Bank Reference No: E2619874020669/CIN No: HDFC26071900127727</v>
          </cell>
          <cell r="D272" t="str">
            <v>GST Payable</v>
          </cell>
        </row>
        <row r="273">
          <cell r="C273" t="str">
            <v>Andezath Joshi</v>
          </cell>
          <cell r="D273" t="str">
            <v>Joshi Dharmarajan Andezath - Employee</v>
          </cell>
        </row>
        <row r="274">
          <cell r="C274" t="str">
            <v>Rohit Prasad</v>
          </cell>
          <cell r="D274" t="str">
            <v>Rohit Prasad - Employee</v>
          </cell>
        </row>
        <row r="275">
          <cell r="C275" t="str">
            <v>JPGR automobile</v>
          </cell>
          <cell r="D275" t="str">
            <v>Jpgr Automobile Private Limited-Crs</v>
          </cell>
        </row>
        <row r="276">
          <cell r="C276" t="str">
            <v>Harish Ludhani</v>
          </cell>
          <cell r="D276" t="str">
            <v>Harish Ludhani - Employee</v>
          </cell>
        </row>
        <row r="277">
          <cell r="C277" t="str">
            <v>RTGS Dr-SBIN0005996-ArcelormittalNippo-NETBANK MUM-HDFCR52026071784335969</v>
          </cell>
          <cell r="D277" t="str">
            <v>Arcelormittal Nippon Steel India Limited - Crs</v>
          </cell>
        </row>
        <row r="278">
          <cell r="C278" t="str">
            <v>Deepak Shrivastava</v>
          </cell>
          <cell r="D278" t="str">
            <v>Deepak Shrivastava - Employee</v>
          </cell>
        </row>
        <row r="279">
          <cell r="C279" t="str">
            <v>Harsh Raj</v>
          </cell>
          <cell r="D279" t="str">
            <v>Harsh Raj - EMPLOYEE</v>
          </cell>
        </row>
        <row r="280">
          <cell r="C280" t="str">
            <v>Ashutosh Singh</v>
          </cell>
          <cell r="D280" t="str">
            <v>Ashutosh Kumar Singh-Employee</v>
          </cell>
        </row>
        <row r="281">
          <cell r="C281" t="str">
            <v>Balram Chakrawarti</v>
          </cell>
          <cell r="D281" t="str">
            <v>Balram Kumar Chakrawarti - Employee</v>
          </cell>
        </row>
        <row r="282">
          <cell r="C282" t="str">
            <v>RDC ICD HDFC CC</v>
          </cell>
          <cell r="D282" t="str">
            <v>RDC CONCRETE (INDIA) Pvt Ltd -ICD</v>
          </cell>
        </row>
        <row r="283">
          <cell r="C283" t="str">
            <v>Mangal Pack</v>
          </cell>
          <cell r="D283" t="str">
            <v>Mangal Packaging Industries - Crs</v>
          </cell>
        </row>
        <row r="284">
          <cell r="C284" t="str">
            <v>Infotech</v>
          </cell>
          <cell r="D284" t="str">
            <v>Info Tech Computers - Crs</v>
          </cell>
        </row>
        <row r="285">
          <cell r="C285" t="str">
            <v>Shivaami</v>
          </cell>
          <cell r="D285" t="str">
            <v>Shivaami Cloud Services Private Limited-Crs</v>
          </cell>
        </row>
        <row r="286">
          <cell r="C286" t="str">
            <v>CBDT/Bank Reference No:Y2619950960095/CIN No:26071800078864HDFC/Online</v>
          </cell>
          <cell r="D286" t="str">
            <v>194C TDS on Contractor</v>
          </cell>
        </row>
        <row r="287">
          <cell r="C287" t="str">
            <v>CBDT/Bank Reference No:Y2619950960021/CIN No:26071800080371HDFC/Online</v>
          </cell>
          <cell r="D287" t="str">
            <v>194C TDS on Contractor</v>
          </cell>
        </row>
        <row r="288">
          <cell r="C288" t="str">
            <v>Eurocem Pvt Ltd</v>
          </cell>
          <cell r="D288" t="str">
            <v>Eurocem Additives Private Limited-Crs</v>
          </cell>
        </row>
        <row r="289">
          <cell r="C289" t="str">
            <v>AMBUJA CEMENTS</v>
          </cell>
          <cell r="D289" t="str">
            <v>AMBUJA CEMENTS LIMITED -Crs</v>
          </cell>
        </row>
        <row r="290">
          <cell r="C290" t="str">
            <v>Uttam Engineering</v>
          </cell>
          <cell r="D290" t="str">
            <v>Uttam Engineering - Crs</v>
          </cell>
        </row>
        <row r="291">
          <cell r="C291" t="str">
            <v>GST/Bank Reference No: E2620174435007/CIN No: HDFC26073200163845</v>
          </cell>
          <cell r="D291" t="str">
            <v>GST Payable</v>
          </cell>
        </row>
        <row r="292">
          <cell r="C292" t="str">
            <v>GST/Bank Reference No: E2620174435008/CIN No: HDFC26070600225034</v>
          </cell>
          <cell r="D292" t="str">
            <v>GST Payable</v>
          </cell>
        </row>
        <row r="293">
          <cell r="C293" t="str">
            <v>GST/Bank Reference No: E2620174435010/CIN No: HDFC26073700161899</v>
          </cell>
          <cell r="D293" t="str">
            <v>GST Payable</v>
          </cell>
        </row>
        <row r="294">
          <cell r="C294" t="str">
            <v>GST/Bank Reference No: E2620174435011/CIN No: HDFC26072400633578</v>
          </cell>
          <cell r="D294" t="str">
            <v>GST Payable</v>
          </cell>
        </row>
        <row r="295">
          <cell r="C295" t="str">
            <v>DHCETI91QA9J4H-CBICICEGATE</v>
          </cell>
          <cell r="D295" t="str">
            <v>DOED JUNG KUEN PHEN TRADING HOUSE-CRS</v>
          </cell>
        </row>
        <row r="296">
          <cell r="C296" t="str">
            <v>GST/Bank Reference No: E2620174436033/CIN No: HDFC26073000026505</v>
          </cell>
          <cell r="D296" t="str">
            <v>GST Payable</v>
          </cell>
        </row>
        <row r="297">
          <cell r="C297" t="str">
            <v>GST/Bank Reference No: E2620174436032/CIN No: HDFC26072700944443</v>
          </cell>
          <cell r="D297" t="str">
            <v>GST Payable</v>
          </cell>
        </row>
        <row r="298">
          <cell r="C298" t="str">
            <v>GST/Bank Reference No: E2620174436032/CIN No: HDFC26072700944443</v>
          </cell>
          <cell r="D298" t="str">
            <v>GST Payable</v>
          </cell>
        </row>
        <row r="299">
          <cell r="C299" t="str">
            <v>GST/Bank Reference No: E2620174436034/CIN No: HDFC26071900272374</v>
          </cell>
          <cell r="D299" t="str">
            <v>GST Payable</v>
          </cell>
        </row>
        <row r="300">
          <cell r="C300" t="str">
            <v>RTGS Dr-SBIN0005996-ArcelormittalNippo-NETBANK MUM-HDFCR52026072085712489</v>
          </cell>
          <cell r="D300" t="str">
            <v>Arcelormittal Nippon Steel India Limited - Crs</v>
          </cell>
        </row>
        <row r="301">
          <cell r="C301" t="str">
            <v>Prabhat Crane Servic</v>
          </cell>
          <cell r="D301" t="str">
            <v>Prabhat Crane Service-CRS</v>
          </cell>
        </row>
        <row r="302">
          <cell r="C302" t="str">
            <v>P A Steel and Co</v>
          </cell>
          <cell r="D302" t="str">
            <v>P A Steel and Co - Crs</v>
          </cell>
        </row>
        <row r="303">
          <cell r="C303" t="str">
            <v>Vadlamudi Veerabhadr</v>
          </cell>
          <cell r="D303" t="str">
            <v>Vadlamudi Veerabhadra Rao - Crs</v>
          </cell>
        </row>
        <row r="304">
          <cell r="C304" t="str">
            <v>Tara Maa Enterprise</v>
          </cell>
          <cell r="D304" t="str">
            <v>Tara Maa Enterprise - Crs</v>
          </cell>
        </row>
        <row r="305">
          <cell r="C305" t="str">
            <v>Vashi Solution Ltd</v>
          </cell>
          <cell r="D305" t="str">
            <v>Vashi Integrated Solution Limited - Crs</v>
          </cell>
        </row>
        <row r="306">
          <cell r="C306" t="str">
            <v>Vodafone Idea Ltd</v>
          </cell>
          <cell r="D306" t="str">
            <v>Vodafone Idea Ltd-crs</v>
          </cell>
        </row>
        <row r="307">
          <cell r="C307" t="str">
            <v>Modern Logistics</v>
          </cell>
          <cell r="D307" t="str">
            <v>Modern Logistics - Crs</v>
          </cell>
        </row>
        <row r="308">
          <cell r="C308" t="str">
            <v>Sainath Roadways</v>
          </cell>
          <cell r="D308" t="str">
            <v>Sainath Roadways &amp; Co. - Crs</v>
          </cell>
        </row>
        <row r="309">
          <cell r="C309" t="str">
            <v>Mehar Engineering</v>
          </cell>
          <cell r="D309" t="str">
            <v>Mehar Engineering Works</v>
          </cell>
        </row>
        <row r="310">
          <cell r="C310" t="str">
            <v>Kamakhya Enterpris</v>
          </cell>
          <cell r="D310" t="str">
            <v>Kamakhya Enterprises - Crs</v>
          </cell>
        </row>
        <row r="311">
          <cell r="C311" t="str">
            <v>Rashmi Cement Ltd</v>
          </cell>
          <cell r="D311" t="str">
            <v>Rashmi Cement - Crs</v>
          </cell>
        </row>
        <row r="312">
          <cell r="C312" t="str">
            <v>RDC HSBC ICD</v>
          </cell>
          <cell r="D312" t="str">
            <v>RDC CONCRETE (INDIA) Pvt Ltd -ICD</v>
          </cell>
        </row>
        <row r="313">
          <cell r="C313" t="str">
            <v>Nachiyar Transport</v>
          </cell>
          <cell r="D313" t="str">
            <v>Nachiyar Transport - Crs</v>
          </cell>
        </row>
        <row r="314">
          <cell r="C314" t="str">
            <v>RTGS Dr-HSBC0400002-RDCHSBCICD-NETBANK MUM-HDFCR52026072185909087</v>
          </cell>
          <cell r="D314" t="str">
            <v>RDC CONCRETE (INDIA) Pvt Ltd -ICD</v>
          </cell>
        </row>
        <row r="315">
          <cell r="C315" t="str">
            <v>Continental Belting</v>
          </cell>
          <cell r="D315" t="str">
            <v>Continental Belting Pvt Ltd - Crs</v>
          </cell>
        </row>
        <row r="316">
          <cell r="C316" t="str">
            <v>FT-CHETTINAD9214181-Chettinad</v>
          </cell>
          <cell r="D316" t="str">
            <v>Chettinad Cement Corporation Private Limited - Crs</v>
          </cell>
        </row>
        <row r="317">
          <cell r="C317" t="str">
            <v>BAHUBALI CHEMICAL</v>
          </cell>
          <cell r="D317" t="str">
            <v>BAHUBALI CHEMICAL INDUSTRIES-CRS</v>
          </cell>
        </row>
        <row r="318">
          <cell r="C318" t="str">
            <v>BISTA DEPARTMENTAL</v>
          </cell>
          <cell r="D318" t="str">
            <v>BISTA DEPARTMENTAL STORES PRIVATE LIMITED - Crs</v>
          </cell>
        </row>
        <row r="319">
          <cell r="C319" t="str">
            <v>SHREE PAWAN ENTERPRI</v>
          </cell>
          <cell r="D319" t="str">
            <v>SHREE PAWAN ENTERPRISES -CRS</v>
          </cell>
        </row>
        <row r="320">
          <cell r="C320" t="str">
            <v>SAM Contruction</v>
          </cell>
          <cell r="D320" t="str">
            <v>SAM Contruction-Crs</v>
          </cell>
        </row>
        <row r="321">
          <cell r="C321" t="str">
            <v>CJ DARCL Logistics</v>
          </cell>
          <cell r="D321" t="str">
            <v>CJ DARCL Logistics Limited-Crs</v>
          </cell>
        </row>
        <row r="322">
          <cell r="C322" t="str">
            <v>Dutta Auto Centre</v>
          </cell>
          <cell r="D322" t="str">
            <v>Dutta Auto Centre</v>
          </cell>
        </row>
        <row r="323">
          <cell r="C323" t="str">
            <v>INDIA INTERNATIONAL</v>
          </cell>
          <cell r="D323" t="str">
            <v>INDIA INTERNATIONAL COMPANY - Crs</v>
          </cell>
        </row>
        <row r="324">
          <cell r="C324" t="str">
            <v>Rabiul Ansari</v>
          </cell>
          <cell r="D324" t="str">
            <v>Rabiul Ansari - Crs</v>
          </cell>
        </row>
        <row r="325">
          <cell r="C325" t="str">
            <v>M.B.S. Construction</v>
          </cell>
          <cell r="D325" t="str">
            <v>M.B.S. Construction</v>
          </cell>
        </row>
        <row r="326">
          <cell r="C326" t="str">
            <v>P.S. Agency-CRS</v>
          </cell>
          <cell r="D326" t="str">
            <v>P.S. Agency-CRS</v>
          </cell>
        </row>
        <row r="327">
          <cell r="C327" t="str">
            <v>BHUMAN ENTERPRISE</v>
          </cell>
          <cell r="D327" t="str">
            <v>BHUMAN ENTERPRISE-Crs</v>
          </cell>
        </row>
        <row r="328">
          <cell r="C328" t="str">
            <v>Yogya Logistics</v>
          </cell>
          <cell r="D328" t="str">
            <v>Yogya Logistics Pvt Ltd-CRS</v>
          </cell>
        </row>
        <row r="329">
          <cell r="C329" t="str">
            <v>Harsh Raj</v>
          </cell>
          <cell r="D329" t="str">
            <v>Harsh Raj - EMPLOYEE</v>
          </cell>
        </row>
        <row r="330">
          <cell r="C330" t="str">
            <v>Abhay Singh</v>
          </cell>
          <cell r="D330" t="str">
            <v>Abhay Singh-Employee</v>
          </cell>
        </row>
        <row r="331">
          <cell r="C331" t="str">
            <v>Shri Raghavendra En</v>
          </cell>
          <cell r="D331" t="str">
            <v>Shri Raghavendra Enterprises - Crs</v>
          </cell>
        </row>
        <row r="332">
          <cell r="C332" t="str">
            <v>Jadav  Enterprise</v>
          </cell>
          <cell r="D332" t="str">
            <v>M/s  Jadav  Enterprise - Crs</v>
          </cell>
        </row>
        <row r="333">
          <cell r="C333" t="str">
            <v>Jagannath Electric</v>
          </cell>
          <cell r="D333" t="str">
            <v>Jagannath Electric Works</v>
          </cell>
        </row>
        <row r="334">
          <cell r="C334" t="str">
            <v>RAJASTHAN KAMANI WOR</v>
          </cell>
          <cell r="D334" t="str">
            <v>Rajasthan Kamani Workshop-Crs</v>
          </cell>
        </row>
        <row r="335">
          <cell r="C335" t="str">
            <v>VRAJ Cement</v>
          </cell>
          <cell r="D335" t="str">
            <v>VRAJ Cement Carrier LLP Maharashtra - Crs</v>
          </cell>
        </row>
        <row r="336">
          <cell r="C336" t="str">
            <v>VRAJ Cement</v>
          </cell>
          <cell r="D336" t="str">
            <v>VRAJ Cement Carrier LLP Maharashtra - Crs</v>
          </cell>
        </row>
        <row r="337">
          <cell r="C337" t="str">
            <v>Prosperity Asset 11</v>
          </cell>
          <cell r="D337" t="str">
            <v>Connect Residuary Pvt Ltd - Crs</v>
          </cell>
        </row>
        <row r="338">
          <cell r="C338" t="str">
            <v>Veereshwar Transport</v>
          </cell>
          <cell r="D338" t="str">
            <v>Shri Veereshwar Transport</v>
          </cell>
        </row>
        <row r="339">
          <cell r="C339" t="str">
            <v>Dmk Logistics</v>
          </cell>
          <cell r="D339" t="str">
            <v>Dmk Logistic - Crs</v>
          </cell>
        </row>
        <row r="340">
          <cell r="C340" t="str">
            <v>Shri Raghavendra En</v>
          </cell>
          <cell r="D340" t="str">
            <v>Shri Raghavendra Enterprises - Crs</v>
          </cell>
        </row>
        <row r="341">
          <cell r="C341" t="str">
            <v>SREERAMA INDUSTRIES</v>
          </cell>
          <cell r="D341" t="str">
            <v>SREERAMA INDUSTRIES PRIVATE LIMITED-Crs</v>
          </cell>
        </row>
        <row r="342">
          <cell r="C342" t="str">
            <v>AMBUJA CEMENTS</v>
          </cell>
          <cell r="D342" t="str">
            <v>AMBUJA CEMENTS LIMITED -Crs</v>
          </cell>
        </row>
        <row r="343">
          <cell r="C343" t="str">
            <v>RTGS Dr-SBIN0005996-ArcelormittalNippo-NETBANK MUM-HDFCR52026072286472365</v>
          </cell>
          <cell r="D343" t="str">
            <v>Arcelormittal Nippon Steel India Limited - Crs</v>
          </cell>
        </row>
        <row r="344">
          <cell r="C344" t="str">
            <v>Bhamra Transport</v>
          </cell>
          <cell r="D344" t="str">
            <v>Bhamra Transport - Crs</v>
          </cell>
        </row>
        <row r="345">
          <cell r="C345" t="str">
            <v>SHREEKRISHNA SUPP</v>
          </cell>
          <cell r="D345" t="str">
            <v>SHREEKRISHNA SUPPLIERS-Crs</v>
          </cell>
        </row>
        <row r="346">
          <cell r="C346" t="str">
            <v>Veereshwar Transport</v>
          </cell>
          <cell r="D346" t="str">
            <v>Shri Veereshwar Transport</v>
          </cell>
        </row>
        <row r="347">
          <cell r="C347" t="str">
            <v>FT-IOCLXPP1002085506-IOCL</v>
          </cell>
          <cell r="D347" t="str">
            <v>Indian Oil Corporation Limited - Crs</v>
          </cell>
        </row>
        <row r="348">
          <cell r="C348" t="str">
            <v>FT-IOCLXPP1002085506-IOCL</v>
          </cell>
          <cell r="D348" t="str">
            <v>Indian Oil Corporation Limited - Crs</v>
          </cell>
        </row>
        <row r="349">
          <cell r="C349" t="str">
            <v>FT-IOCLXPP1002085506-IOCL</v>
          </cell>
          <cell r="D349" t="str">
            <v>Indian Oil Corporation Limited - Crs</v>
          </cell>
        </row>
        <row r="350">
          <cell r="C350" t="str">
            <v>Sumit Goods Carrier</v>
          </cell>
          <cell r="D350" t="str">
            <v>Sumit Goods Carrier(Arabinda Kumar Das) - CRS</v>
          </cell>
        </row>
        <row r="351">
          <cell r="C351" t="str">
            <v>P A Steel and Co</v>
          </cell>
          <cell r="D351" t="str">
            <v>P A Steel and Co - Crs</v>
          </cell>
        </row>
        <row r="352">
          <cell r="C352" t="str">
            <v>Miloni Internation</v>
          </cell>
          <cell r="D352" t="str">
            <v>Miloni International - Crs</v>
          </cell>
        </row>
        <row r="353">
          <cell r="C353" t="str">
            <v>Uttam Engineering</v>
          </cell>
          <cell r="D353" t="str">
            <v>Uttam Engineering - Crs</v>
          </cell>
        </row>
        <row r="354">
          <cell r="C354" t="str">
            <v>Manuwar Shaikh</v>
          </cell>
          <cell r="D354" t="str">
            <v>M/s Manuwar Shaikh - Crs</v>
          </cell>
        </row>
        <row r="355">
          <cell r="C355" t="str">
            <v>DOED JUNG KUEN PHEN</v>
          </cell>
          <cell r="D355" t="str">
            <v>DOED JUNG KUEN PHEN TRADING HOUSE-CRS</v>
          </cell>
        </row>
        <row r="356">
          <cell r="C356" t="str">
            <v>Mahalaxmi Industrial</v>
          </cell>
          <cell r="D356" t="str">
            <v>Mahalaxmi Industrial &amp; Hardware Store - Crs</v>
          </cell>
        </row>
        <row r="357">
          <cell r="C357" t="str">
            <v>DOED JUNG KUEN PHEN</v>
          </cell>
          <cell r="D357" t="str">
            <v>DOED JUNG KUEN PHEN TRADING HOUSE-CRS</v>
          </cell>
        </row>
        <row r="358">
          <cell r="C358" t="str">
            <v>ETC POOL</v>
          </cell>
          <cell r="D358" t="str">
            <v>ETC POOL - Crs</v>
          </cell>
        </row>
        <row r="359">
          <cell r="C359" t="str">
            <v>SMAS AUTO</v>
          </cell>
          <cell r="D359" t="str">
            <v>SMAS AUTO LEASING INDIA PRIVATE LIMITED-CRS</v>
          </cell>
        </row>
        <row r="360">
          <cell r="C360" t="str">
            <v>PUNAGHAR MATA</v>
          </cell>
          <cell r="D360" t="str">
            <v>PUNAGHAR MATA TOOL CENTER - Crs</v>
          </cell>
        </row>
        <row r="361">
          <cell r="C361" t="str">
            <v>Saket road</v>
          </cell>
          <cell r="D361" t="str">
            <v>Saket Road Carriers Pvt Ltd - Crs</v>
          </cell>
        </row>
        <row r="362">
          <cell r="C362" t="str">
            <v>Connect Residuary</v>
          </cell>
          <cell r="D362" t="str">
            <v>Connect Residuary Pvt Ltd - Crs</v>
          </cell>
        </row>
        <row r="363">
          <cell r="C363" t="str">
            <v>Mohd Saif Khan</v>
          </cell>
          <cell r="D363" t="str">
            <v>Mohd. Saif - Employee</v>
          </cell>
        </row>
        <row r="364">
          <cell r="C364" t="str">
            <v>FT-IOCLXPP1002085506-IOCL</v>
          </cell>
          <cell r="D364" t="str">
            <v>Indian Oil Corporation Limited - Crs</v>
          </cell>
        </row>
        <row r="365">
          <cell r="C365" t="str">
            <v>FT-IOCLXPP1002085506-IOCL</v>
          </cell>
          <cell r="D365" t="str">
            <v>Indian Oil Corporation Limited - Crs</v>
          </cell>
        </row>
        <row r="366">
          <cell r="C366" t="str">
            <v>FT-IOCLXPP1002085506-IOCL</v>
          </cell>
          <cell r="D366" t="str">
            <v>Indian Oil Corporation Limited - Crs</v>
          </cell>
        </row>
        <row r="367">
          <cell r="C367" t="str">
            <v>Ankush Chavan</v>
          </cell>
          <cell r="D367" t="str">
            <v>Ankush Chavan- Employee</v>
          </cell>
        </row>
        <row r="368">
          <cell r="C368" t="str">
            <v>Praful Moharle</v>
          </cell>
          <cell r="D368" t="str">
            <v>Praful Moharle - Employee</v>
          </cell>
        </row>
        <row r="369">
          <cell r="C369" t="str">
            <v>Harish Ludhani</v>
          </cell>
          <cell r="D369" t="str">
            <v>Harish Ludhani - Employee</v>
          </cell>
        </row>
        <row r="370">
          <cell r="C370" t="str">
            <v>Harsh Raj</v>
          </cell>
          <cell r="D370" t="str">
            <v>Harsh Raj - EMPLOYEE</v>
          </cell>
        </row>
        <row r="371">
          <cell r="C371" t="str">
            <v>Devanand B Singh</v>
          </cell>
          <cell r="D371" t="str">
            <v>Devanand B. Singh - Employee</v>
          </cell>
        </row>
        <row r="372">
          <cell r="C372" t="str">
            <v>Fourteckh Enviro</v>
          </cell>
          <cell r="D372" t="str">
            <v>Fourteckh Enviro India Pvt Ltd - Crs</v>
          </cell>
        </row>
        <row r="373">
          <cell r="C373" t="str">
            <v>Kamakhya Enterpris</v>
          </cell>
          <cell r="D373" t="str">
            <v>Kamakhya Enterprises - Crs</v>
          </cell>
        </row>
        <row r="374">
          <cell r="C374" t="str">
            <v>Luk Enterprises</v>
          </cell>
          <cell r="D374" t="str">
            <v>Luk Enterprises - Crs</v>
          </cell>
        </row>
        <row r="375">
          <cell r="C375" t="str">
            <v>Sigma Automation</v>
          </cell>
          <cell r="D375" t="str">
            <v>Sigma Automation - Crs</v>
          </cell>
        </row>
        <row r="376">
          <cell r="C376" t="str">
            <v>ROYAL ENGINEERING</v>
          </cell>
          <cell r="D376" t="str">
            <v>ROYAL ENGINEERING WORKS - Crs</v>
          </cell>
        </row>
        <row r="377">
          <cell r="C377" t="str">
            <v>Sunshine Associat</v>
          </cell>
          <cell r="D377" t="str">
            <v>Sunshine Associates-Crs</v>
          </cell>
        </row>
        <row r="378">
          <cell r="C378" t="str">
            <v>R G Brothers Enginee</v>
          </cell>
          <cell r="D378" t="str">
            <v>R. G. Brothers Engineering Works - Crs</v>
          </cell>
        </row>
        <row r="379">
          <cell r="C379" t="str">
            <v>RTGS Dr-SBIN0005996-ArcelormittalNippo-NETBANK MUM-HDFCR52026072487620712</v>
          </cell>
          <cell r="D379" t="str">
            <v>Arcelormittal Nippon Steel India Limited - Crs</v>
          </cell>
        </row>
        <row r="380">
          <cell r="C380" t="str">
            <v>RTGS Dr-SBIN0005996-ArcelormittalNippo-NETBANK MUM-HDFCR52026072788402641</v>
          </cell>
          <cell r="D380" t="str">
            <v>Arcelormittal Nippon Steel India Limited - Crs</v>
          </cell>
        </row>
        <row r="381">
          <cell r="C381" t="str">
            <v>SREERAMA INDUSTRIES</v>
          </cell>
          <cell r="D381" t="str">
            <v>SREERAMA INDUSTRIES PRIVATE LIMITED-Crs</v>
          </cell>
        </row>
        <row r="382">
          <cell r="C382" t="str">
            <v>RTGS Dr-ICIC0000104-DAKSHINGUJARATVIJ-NETBANK MUM-HDFCR52026072788347712</v>
          </cell>
          <cell r="D382" t="str">
            <v>DAKSHIN GUJARAT VIJ CO LTD RTGS NEFT COLLECTION-CR</v>
          </cell>
        </row>
        <row r="383">
          <cell r="C383" t="str">
            <v>RTGS Dr-ICIC0000104-DAKSHINGUJARATVIJ-NETBANK MUM-HDFCR52026072788347710</v>
          </cell>
          <cell r="D383" t="str">
            <v>DAKSHIN GUJARAT VIJ CO LTD RTGS NEFT COLLECTION-CR</v>
          </cell>
        </row>
        <row r="384">
          <cell r="C384" t="str">
            <v>Walker Chandiok Co</v>
          </cell>
          <cell r="D384" t="str">
            <v>Walker Chandiok &amp; Co Llp - Crs</v>
          </cell>
        </row>
        <row r="385">
          <cell r="C385" t="str">
            <v>RTGS Dr-ICIC0000104-DAKSHINGUJARATVIJ-NETBANK MUM-HDFCR52026072788347713</v>
          </cell>
          <cell r="D385" t="str">
            <v>DAKSHIN GUJARAT VIJ CO LTD RTGS NEFT COLLECTION-CR</v>
          </cell>
        </row>
        <row r="386">
          <cell r="C386" t="str">
            <v>RM LAW OFFICE</v>
          </cell>
          <cell r="D386" t="str">
            <v>RM LAW OFFICE ( REVATHI MANIVANNAN ) -  CRS</v>
          </cell>
        </row>
        <row r="387">
          <cell r="C387" t="str">
            <v>DHCE55R1QZWVFL-EPFOBD</v>
          </cell>
          <cell r="D387" t="str">
            <v>PF PAYABLE</v>
          </cell>
        </row>
        <row r="388">
          <cell r="C388" t="str">
            <v>CBDT/Bank Reference No:Y2620851340615/CIN No:26072700162228HDFC/Online</v>
          </cell>
          <cell r="D388" t="str">
            <v>194A TDS on Interest</v>
          </cell>
        </row>
        <row r="389">
          <cell r="C389" t="str">
            <v>CHQ RET EFFECTS NOT CLEARED- PRESENT AGA</v>
          </cell>
          <cell r="D389" t="str">
            <v>Rdc Concrete (India) Pvt Ltd</v>
          </cell>
        </row>
        <row r="390">
          <cell r="C390" t="str">
            <v>FT-IOCLXPP1002085506-Indian Oil Corporati</v>
          </cell>
          <cell r="D390" t="str">
            <v>Indian Oil Corporation Limited - Crs</v>
          </cell>
        </row>
        <row r="391">
          <cell r="C391" t="str">
            <v>FT-IOCLXPP1002085506-Indian Oil Corporati</v>
          </cell>
          <cell r="D391" t="str">
            <v>Indian Oil Corporation Limited - Crs</v>
          </cell>
        </row>
        <row r="392">
          <cell r="C392" t="str">
            <v>FT-IOCLXPP1002085506-Indian Oil Corporati</v>
          </cell>
          <cell r="D392" t="str">
            <v>Indian Oil Corporation Limited - Crs</v>
          </cell>
        </row>
        <row r="393">
          <cell r="C393" t="str">
            <v>FT-IOCLXPP1002085506-Indian Oil Corporati</v>
          </cell>
          <cell r="D393" t="str">
            <v>Indian Oil Corporation Limited - Crs</v>
          </cell>
        </row>
        <row r="394">
          <cell r="C394" t="str">
            <v>FT-IOCLXPP1002085506-Indian Oil Corporati</v>
          </cell>
          <cell r="D394" t="str">
            <v>Indian Oil Corporation Limited - Crs</v>
          </cell>
        </row>
        <row r="395">
          <cell r="C395" t="str">
            <v>FT-IOCLXPP1002085506-Indian Oil Corporati</v>
          </cell>
          <cell r="D395" t="str">
            <v>Indian Oil Corporation Limited - Crs</v>
          </cell>
        </row>
        <row r="396">
          <cell r="C396" t="str">
            <v>YCH32715416838_SPDC-BILLSPDCAPL</v>
          </cell>
          <cell r="D396" t="str">
            <v>SOUTHERNPOWERDISTRIBUTIONCOMPANYOFANDHRA-Cr</v>
          </cell>
        </row>
        <row r="397">
          <cell r="C397" t="str">
            <v>YCH32715417309_SPDC-BILLSPDCAPL</v>
          </cell>
          <cell r="D397" t="str">
            <v>SOUTHERNPOWERDISTRIBUTIONCOMPANYOFANDHRA-Cr</v>
          </cell>
        </row>
        <row r="398">
          <cell r="C398" t="str">
            <v>FT-CHETTINAD9214181-Chettinad Cement</v>
          </cell>
          <cell r="D398" t="str">
            <v>Chettinad Cement Corporation Private Limited - Crs</v>
          </cell>
        </row>
        <row r="399">
          <cell r="C399" t="str">
            <v>FT-CHETTINAD9214181-Chettinad Cement</v>
          </cell>
          <cell r="D399" t="str">
            <v>Chettinad Cement Corporation Private Limited - Crs</v>
          </cell>
        </row>
        <row r="400">
          <cell r="C400" t="str">
            <v>D C Enterprise</v>
          </cell>
          <cell r="D400" t="str">
            <v>D C Enterprise-Crs</v>
          </cell>
        </row>
        <row r="401">
          <cell r="C401" t="str">
            <v>Siddhivincayak Cars</v>
          </cell>
          <cell r="D401" t="str">
            <v>SHREE SIDDHIVINAYAK COOL CARS - CRS</v>
          </cell>
        </row>
        <row r="402">
          <cell r="C402" t="str">
            <v>Nanak Auto Parts</v>
          </cell>
          <cell r="D402" t="str">
            <v>Nanak Auto Parts-Crs</v>
          </cell>
        </row>
        <row r="403">
          <cell r="C403" t="str">
            <v>Nirmal and Co - Crs</v>
          </cell>
          <cell r="D403" t="str">
            <v>Nirmal and Co - Crs</v>
          </cell>
        </row>
        <row r="404">
          <cell r="C404" t="str">
            <v>Ichchapore GIDC Ind</v>
          </cell>
          <cell r="D404" t="str">
            <v>Ichchapore G.I.D.C. Ind Plot Holders Sahkari Mandli Ltd - Crs</v>
          </cell>
        </row>
        <row r="405">
          <cell r="C405" t="str">
            <v>Siddhi Vinayak Corpo</v>
          </cell>
          <cell r="D405" t="str">
            <v>Siddhi Vinayak Corporation-Crs</v>
          </cell>
        </row>
        <row r="406">
          <cell r="C406" t="str">
            <v>PUNAGHAR MATA</v>
          </cell>
          <cell r="D406" t="str">
            <v>PUNAGHAR MATA TOOL CENTER - Crs</v>
          </cell>
        </row>
        <row r="407">
          <cell r="C407" t="str">
            <v>THORON TURNKEY SOLU</v>
          </cell>
          <cell r="D407" t="str">
            <v>THORON TURNKEY SOLUTIONS PRIVATE LIMITED-CRS</v>
          </cell>
        </row>
        <row r="408">
          <cell r="C408" t="str">
            <v>Ichchapore GIDC Ind</v>
          </cell>
          <cell r="D408" t="str">
            <v>Ichchapore G.I.D.C. Ind Plot Holders Sahkari Mandli Ltd - Crs</v>
          </cell>
        </row>
        <row r="409">
          <cell r="C409" t="str">
            <v>Harrier Security Ser</v>
          </cell>
          <cell r="D409" t="str">
            <v>Harrier Security Services Private Limited-Crs</v>
          </cell>
        </row>
        <row r="410">
          <cell r="C410" t="str">
            <v>Accurate Engineering</v>
          </cell>
          <cell r="D410" t="str">
            <v>Accurate Engineering Works-Crs</v>
          </cell>
        </row>
        <row r="411">
          <cell r="C411" t="str">
            <v>Mataji Trading Co</v>
          </cell>
          <cell r="D411" t="str">
            <v>Mataji Trading Co - Crs</v>
          </cell>
        </row>
        <row r="412">
          <cell r="C412" t="str">
            <v>Puneet Logistics-Crs</v>
          </cell>
          <cell r="D412" t="str">
            <v>Puneet Logistics-Crs</v>
          </cell>
        </row>
        <row r="413">
          <cell r="C413" t="str">
            <v>Jvbh Surface and Coa</v>
          </cell>
          <cell r="D413" t="str">
            <v>Jvbh Surface &amp; Coating-Crs</v>
          </cell>
        </row>
        <row r="414">
          <cell r="C414" t="str">
            <v>MADAN MOHAN SINGH</v>
          </cell>
          <cell r="D414" t="str">
            <v>MADAN MOHAN SINGH-CRS</v>
          </cell>
        </row>
        <row r="415">
          <cell r="C415" t="str">
            <v>Kiran Rubber-Crs</v>
          </cell>
          <cell r="D415" t="str">
            <v>Kiran Rubber-Crs</v>
          </cell>
        </row>
        <row r="416">
          <cell r="C416" t="str">
            <v>STEEL PLUS</v>
          </cell>
          <cell r="D416" t="str">
            <v>Steel Plus - Crs</v>
          </cell>
        </row>
        <row r="417">
          <cell r="C417" t="str">
            <v>WAM INDIA PRIVATE LT</v>
          </cell>
          <cell r="D417" t="str">
            <v>WAM INDIA PRIVATE LTD-CRS</v>
          </cell>
        </row>
        <row r="418">
          <cell r="C418" t="str">
            <v>Patel Auto Electrica</v>
          </cell>
          <cell r="D418" t="str">
            <v>Patel Auto Electrical Works-Crs</v>
          </cell>
        </row>
        <row r="419">
          <cell r="C419" t="str">
            <v xml:space="preserve">Outward Chq RTN Charges </v>
          </cell>
          <cell r="D419" t="str">
            <v>Bank Charges</v>
          </cell>
        </row>
        <row r="420">
          <cell r="C420" t="str">
            <v>CGST-Outward Chq RTN Charges-NCB2720982835201</v>
          </cell>
          <cell r="D420" t="str">
            <v>Bank Charges</v>
          </cell>
        </row>
        <row r="421">
          <cell r="C421" t="str">
            <v>SGST-Outward Chq RTN Charges-NCB2720982835201</v>
          </cell>
          <cell r="D421" t="str">
            <v>Bank Charges</v>
          </cell>
        </row>
        <row r="422">
          <cell r="C422" t="str">
            <v>FT-IOCLXPP1002085506-IOCL</v>
          </cell>
          <cell r="D422" t="str">
            <v>Indian Oil Corporation Limited - Crs</v>
          </cell>
        </row>
        <row r="423">
          <cell r="C423" t="str">
            <v>FT-IOCLXPP1002085506-IOCL</v>
          </cell>
          <cell r="D423" t="str">
            <v>Indian Oil Corporation Limited - Crs</v>
          </cell>
        </row>
        <row r="424">
          <cell r="C424" t="str">
            <v>FT-IOCLXPP1002085506-IOCL</v>
          </cell>
          <cell r="D424" t="str">
            <v>Indian Oil Corporation Limited - Crs</v>
          </cell>
        </row>
        <row r="425">
          <cell r="C425" t="str">
            <v>Exalt Druk Envirokl</v>
          </cell>
          <cell r="D425" t="str">
            <v>Exalt Druk Enviroklens Pvt Ltd - Crs</v>
          </cell>
        </row>
        <row r="426">
          <cell r="C426" t="str">
            <v>DHCEJ7F1R72I08-CBICICEGATE</v>
          </cell>
          <cell r="D426" t="str">
            <v>DOED JUNG KUEN PHEN TRADING HOUSE-CRS</v>
          </cell>
        </row>
        <row r="427">
          <cell r="C427" t="str">
            <v>RTGS Dr-SBIN0005996-ArcelormittalNippo-NETBANK MUM-HDFCR52026072989348563</v>
          </cell>
          <cell r="D427" t="str">
            <v>Arcelormittal Nippon Steel India Limited - Crs</v>
          </cell>
        </row>
        <row r="428">
          <cell r="C428" t="str">
            <v>FT-CHETTINAD9214181-Chettinad Cement</v>
          </cell>
          <cell r="D428" t="str">
            <v>Chettinad Cement Corporation Private Limited - Crs</v>
          </cell>
        </row>
        <row r="429">
          <cell r="C429" t="str">
            <v>VRAJ Cement Carrier</v>
          </cell>
          <cell r="D429" t="str">
            <v>VRAJ Cement Carrier LLP Maharashtra - Crs</v>
          </cell>
        </row>
        <row r="430">
          <cell r="C430" t="str">
            <v>Sai Computer Care</v>
          </cell>
          <cell r="D430" t="str">
            <v>Sai Computer Care - Crs</v>
          </cell>
        </row>
        <row r="431">
          <cell r="C431" t="str">
            <v>Akbar Travels India</v>
          </cell>
          <cell r="D431" t="str">
            <v>AKBAR TRAVELS OF INDIA PVT. LTD-Crs</v>
          </cell>
        </row>
        <row r="432">
          <cell r="C432" t="str">
            <v>SHREEKRISHNA SUPPL</v>
          </cell>
          <cell r="D432" t="str">
            <v>SHREEKRISHNA SUPPLIERS-Crs</v>
          </cell>
        </row>
        <row r="433">
          <cell r="C433" t="str">
            <v>AMBUJA CEMENTS</v>
          </cell>
          <cell r="D433" t="str">
            <v>AMBUJA CEMENTS LIMITED -Crs</v>
          </cell>
        </row>
        <row r="434">
          <cell r="C434" t="str">
            <v>ARKAY LOGISTICS</v>
          </cell>
          <cell r="D434" t="str">
            <v>ARKAY LOGISTICS-Crs</v>
          </cell>
        </row>
        <row r="435">
          <cell r="C435" t="str">
            <v>Sainath Roadways</v>
          </cell>
          <cell r="D435" t="str">
            <v>Sainath Roadways &amp; Co. - Crs</v>
          </cell>
        </row>
        <row r="436">
          <cell r="C436" t="str">
            <v>RTGS Dr-SBIN0001053-SBIAC-NETBANK MUM-HDFCR52026073089887280</v>
          </cell>
          <cell r="D436" t="str">
            <v>State Bank of India</v>
          </cell>
        </row>
        <row r="437">
          <cell r="C437" t="str">
            <v>RTGS Dr-SBIN0005996-ArcelormittalNippo-NETBANK MUM-HDFCR52026073190440452</v>
          </cell>
          <cell r="D437" t="str">
            <v>Arcelormittal Nippon Steel India Limited - Crs</v>
          </cell>
        </row>
        <row r="438">
          <cell r="C438" t="str">
            <v>FT-IOCLXPP1002085506-IOCL</v>
          </cell>
          <cell r="D438" t="str">
            <v>Indian Oil Corporation Limited - Crs</v>
          </cell>
        </row>
        <row r="439">
          <cell r="C439" t="str">
            <v>FT-IOCLXPP1002085506-IOCL</v>
          </cell>
          <cell r="D439" t="str">
            <v>Indian Oil Corporation Limited - Crs</v>
          </cell>
        </row>
        <row r="440">
          <cell r="C440" t="str">
            <v>FT-IOCLXPP1002085506-IOCL</v>
          </cell>
          <cell r="D440" t="str">
            <v>Indian Oil Corporation Limited - Crs</v>
          </cell>
        </row>
        <row r="441">
          <cell r="C441" t="str">
            <v>ULT44NES3107.001 31072026</v>
          </cell>
          <cell r="D441" t="str">
            <v>Salary Payable</v>
          </cell>
        </row>
        <row r="442">
          <cell r="C442" t="str">
            <v>ULT44NES3107.001 31072026</v>
          </cell>
          <cell r="D442" t="str">
            <v>Salary Payable</v>
          </cell>
        </row>
        <row r="443">
          <cell r="C443" t="str">
            <v>ULT44NES3107.001 31072026</v>
          </cell>
          <cell r="D443" t="str">
            <v>Salary Payable</v>
          </cell>
        </row>
        <row r="444">
          <cell r="C444" t="str">
            <v>ULT44NES3107.001 31072026</v>
          </cell>
          <cell r="D444" t="str">
            <v>Salary Payable</v>
          </cell>
        </row>
        <row r="445">
          <cell r="C445" t="str">
            <v>Ankush Chavan</v>
          </cell>
          <cell r="D445" t="str">
            <v>Ankush Chavan- Employee</v>
          </cell>
        </row>
        <row r="446">
          <cell r="C446" t="str">
            <v>Bhailal Jethva</v>
          </cell>
          <cell r="D446" t="str">
            <v>Bhailal Jethva - Employee</v>
          </cell>
        </row>
        <row r="447">
          <cell r="C447" t="str">
            <v>Shahabaz Khan</v>
          </cell>
          <cell r="D447" t="str">
            <v>Shahabaz Khan - Employee</v>
          </cell>
        </row>
        <row r="448">
          <cell r="C448" t="str">
            <v>Harish Ludhani</v>
          </cell>
          <cell r="D448" t="str">
            <v>Harish Ludhani - Employee</v>
          </cell>
        </row>
        <row r="449">
          <cell r="C449" t="str">
            <v>Rohit Prasad</v>
          </cell>
          <cell r="D449" t="str">
            <v>Rohit Prasad - Employee</v>
          </cell>
        </row>
        <row r="450">
          <cell r="C450" t="str">
            <v>Abhay Singh</v>
          </cell>
          <cell r="D450" t="str">
            <v>Abhay Singh-Employee</v>
          </cell>
        </row>
        <row r="451">
          <cell r="C451" t="str">
            <v>Abhishek Nayak</v>
          </cell>
          <cell r="D451" t="str">
            <v>Abhishek Kumar Nayak - Employee</v>
          </cell>
        </row>
        <row r="452">
          <cell r="C452" t="str">
            <v>Bhailal Jethva</v>
          </cell>
          <cell r="D452" t="str">
            <v>Bhailal Jethva - Employee</v>
          </cell>
        </row>
        <row r="453">
          <cell r="C453" t="str">
            <v>Walker Chandiok Co</v>
          </cell>
          <cell r="D453" t="str">
            <v>Walker Chandiok &amp; Co Llp - Crs</v>
          </cell>
        </row>
        <row r="454">
          <cell r="C454" t="str">
            <v>ECOGENT INDUSTRIES</v>
          </cell>
          <cell r="D454" t="str">
            <v>ECOGENT INDUSTRIES PRIVATE LIMITED - CRS</v>
          </cell>
        </row>
        <row r="455">
          <cell r="C455" t="str">
            <v>Pollution Control En</v>
          </cell>
          <cell r="D455" t="str">
            <v>Pollution Control Enterprises - Crs</v>
          </cell>
        </row>
        <row r="456">
          <cell r="C456" t="str">
            <v>BALANCE CONFIRMATION CHARGES</v>
          </cell>
          <cell r="D456" t="str">
            <v>Bank Charges</v>
          </cell>
        </row>
        <row r="457">
          <cell r="C457" t="str">
            <v>CGST-ServiceCharge-STAX Upload-NCB2721294462582</v>
          </cell>
          <cell r="D457" t="str">
            <v>Bank Charges</v>
          </cell>
        </row>
        <row r="458">
          <cell r="C458" t="str">
            <v>SGST-ServiceCharge-STAX Upload-NCB2721294462582</v>
          </cell>
          <cell r="D458" t="str">
            <v>Bank Charges</v>
          </cell>
        </row>
        <row r="459">
          <cell r="C459" t="str">
            <v>Interest debited till 31-JUL-2026</v>
          </cell>
          <cell r="D459" t="str">
            <v>Interest on Term Loan</v>
          </cell>
        </row>
      </sheetData>
      <sheetData sheetId="4">
        <row r="4">
          <cell r="C4" t="str">
            <v>UPI-SANTOSH GOVIND NAIK-santoshnaik2475@oksbi-SBIN0006435-618261780140-UPI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6"/>
  <sheetViews>
    <sheetView tabSelected="1" workbookViewId="0">
      <selection sqref="A1:C1"/>
    </sheetView>
  </sheetViews>
  <sheetFormatPr defaultRowHeight="15" x14ac:dyDescent="0.25"/>
  <cols>
    <col min="1" max="1" width="55.85546875" style="16" bestFit="1" customWidth="1"/>
    <col min="2" max="2" width="14.5703125" style="16" bestFit="1" customWidth="1"/>
    <col min="3" max="3" width="15.5703125" style="16" bestFit="1" customWidth="1"/>
    <col min="4" max="16384" width="9.140625" style="16"/>
  </cols>
  <sheetData>
    <row r="1" spans="1:3" ht="15.75" x14ac:dyDescent="0.25">
      <c r="A1" s="52" t="s">
        <v>1847</v>
      </c>
      <c r="B1" s="52"/>
      <c r="C1" s="52"/>
    </row>
    <row r="2" spans="1:3" x14ac:dyDescent="0.25">
      <c r="A2" s="51" t="s">
        <v>1848</v>
      </c>
      <c r="B2" s="51"/>
      <c r="C2" s="51"/>
    </row>
    <row r="3" spans="1:3" x14ac:dyDescent="0.25">
      <c r="A3" s="51" t="s">
        <v>1849</v>
      </c>
      <c r="B3" s="51"/>
      <c r="C3" s="51"/>
    </row>
    <row r="4" spans="1:3" x14ac:dyDescent="0.25">
      <c r="A4" s="51" t="s">
        <v>1850</v>
      </c>
      <c r="B4" s="51"/>
      <c r="C4" s="51"/>
    </row>
    <row r="5" spans="1:3" x14ac:dyDescent="0.25">
      <c r="A5" s="51" t="s">
        <v>1851</v>
      </c>
      <c r="B5" s="51"/>
      <c r="C5" s="51"/>
    </row>
    <row r="6" spans="1:3" x14ac:dyDescent="0.25">
      <c r="A6" s="53" t="s">
        <v>1852</v>
      </c>
      <c r="B6" s="53"/>
      <c r="C6" s="53"/>
    </row>
    <row r="7" spans="1:3" ht="15.75" x14ac:dyDescent="0.25">
      <c r="A7" s="50" t="s">
        <v>1853</v>
      </c>
      <c r="B7" s="50"/>
      <c r="C7" s="50"/>
    </row>
    <row r="8" spans="1:3" x14ac:dyDescent="0.25">
      <c r="A8" s="51" t="s">
        <v>1854</v>
      </c>
      <c r="B8" s="51"/>
      <c r="C8" s="51"/>
    </row>
    <row r="9" spans="1:3" x14ac:dyDescent="0.25">
      <c r="A9" s="22" t="s">
        <v>1855</v>
      </c>
      <c r="B9" s="23">
        <f>SUBTOTAL(9,B12:B255)</f>
        <v>45031978.350000001</v>
      </c>
      <c r="C9" s="23">
        <f>SUBTOTAL(9,C12:C255)</f>
        <v>278969650.67000002</v>
      </c>
    </row>
    <row r="10" spans="1:3" x14ac:dyDescent="0.25">
      <c r="A10" s="49" t="s">
        <v>1859</v>
      </c>
      <c r="B10" s="48" t="s">
        <v>1856</v>
      </c>
      <c r="C10" s="48"/>
    </row>
    <row r="11" spans="1:3" x14ac:dyDescent="0.25">
      <c r="A11" s="49"/>
      <c r="B11" s="19" t="s">
        <v>1857</v>
      </c>
      <c r="C11" s="19" t="s">
        <v>1858</v>
      </c>
    </row>
    <row r="12" spans="1:3" x14ac:dyDescent="0.25">
      <c r="A12" s="17" t="s">
        <v>19</v>
      </c>
      <c r="B12" s="20"/>
      <c r="C12" s="20">
        <v>225000</v>
      </c>
    </row>
    <row r="13" spans="1:3" x14ac:dyDescent="0.25">
      <c r="A13" s="17" t="s">
        <v>41</v>
      </c>
      <c r="B13" s="20"/>
      <c r="C13" s="20">
        <v>106912.12</v>
      </c>
    </row>
    <row r="14" spans="1:3" x14ac:dyDescent="0.25">
      <c r="A14" s="17" t="s">
        <v>256</v>
      </c>
      <c r="B14" s="20">
        <v>7148</v>
      </c>
      <c r="C14" s="20"/>
    </row>
    <row r="15" spans="1:3" x14ac:dyDescent="0.25">
      <c r="A15" s="17" t="s">
        <v>257</v>
      </c>
      <c r="B15" s="20">
        <v>4484</v>
      </c>
      <c r="C15" s="20"/>
    </row>
    <row r="16" spans="1:3" x14ac:dyDescent="0.25">
      <c r="A16" s="17" t="s">
        <v>253</v>
      </c>
      <c r="B16" s="20">
        <v>94000</v>
      </c>
      <c r="C16" s="20"/>
    </row>
    <row r="17" spans="1:3" x14ac:dyDescent="0.25">
      <c r="A17" s="17" t="s">
        <v>23</v>
      </c>
      <c r="B17" s="20"/>
      <c r="C17" s="20">
        <v>104939.38</v>
      </c>
    </row>
    <row r="18" spans="1:3" x14ac:dyDescent="0.25">
      <c r="A18" s="17" t="s">
        <v>27</v>
      </c>
      <c r="B18" s="20"/>
      <c r="C18" s="20">
        <v>731548.93</v>
      </c>
    </row>
    <row r="19" spans="1:3" x14ac:dyDescent="0.25">
      <c r="A19" s="17" t="s">
        <v>44</v>
      </c>
      <c r="B19" s="20"/>
      <c r="C19" s="20">
        <v>11328</v>
      </c>
    </row>
    <row r="20" spans="1:3" x14ac:dyDescent="0.25">
      <c r="A20" s="17" t="s">
        <v>30</v>
      </c>
      <c r="B20" s="20"/>
      <c r="C20" s="20">
        <v>29854</v>
      </c>
    </row>
    <row r="21" spans="1:3" x14ac:dyDescent="0.25">
      <c r="A21" s="17" t="s">
        <v>31</v>
      </c>
      <c r="B21" s="20"/>
      <c r="C21" s="20">
        <v>35913.4</v>
      </c>
    </row>
    <row r="22" spans="1:3" x14ac:dyDescent="0.25">
      <c r="A22" s="17" t="s">
        <v>47</v>
      </c>
      <c r="B22" s="20"/>
      <c r="C22" s="20">
        <v>300000.02</v>
      </c>
    </row>
    <row r="23" spans="1:3" x14ac:dyDescent="0.25">
      <c r="A23" s="17" t="s">
        <v>32</v>
      </c>
      <c r="B23" s="20"/>
      <c r="C23" s="20">
        <v>9642007.7799999993</v>
      </c>
    </row>
    <row r="24" spans="1:3" x14ac:dyDescent="0.25">
      <c r="A24" s="17" t="s">
        <v>258</v>
      </c>
      <c r="B24" s="20">
        <v>15000</v>
      </c>
      <c r="C24" s="20"/>
    </row>
    <row r="25" spans="1:3" x14ac:dyDescent="0.25">
      <c r="A25" s="17" t="s">
        <v>259</v>
      </c>
      <c r="B25" s="20">
        <v>531569.86</v>
      </c>
      <c r="C25" s="20"/>
    </row>
    <row r="26" spans="1:3" x14ac:dyDescent="0.25">
      <c r="A26" s="17" t="s">
        <v>36</v>
      </c>
      <c r="B26" s="20"/>
      <c r="C26" s="20">
        <v>837826.02</v>
      </c>
    </row>
    <row r="27" spans="1:3" x14ac:dyDescent="0.25">
      <c r="A27" s="17" t="s">
        <v>48</v>
      </c>
      <c r="B27" s="20"/>
      <c r="C27" s="20">
        <v>3000</v>
      </c>
    </row>
    <row r="28" spans="1:3" x14ac:dyDescent="0.25">
      <c r="A28" s="17" t="s">
        <v>37</v>
      </c>
      <c r="B28" s="20"/>
      <c r="C28" s="20">
        <v>8980658.5700000003</v>
      </c>
    </row>
    <row r="29" spans="1:3" x14ac:dyDescent="0.25">
      <c r="A29" s="17" t="s">
        <v>50</v>
      </c>
      <c r="B29" s="20"/>
      <c r="C29" s="20">
        <v>139597</v>
      </c>
    </row>
    <row r="30" spans="1:3" x14ac:dyDescent="0.25">
      <c r="A30" s="17" t="s">
        <v>254</v>
      </c>
      <c r="B30" s="20">
        <v>163127.04000000001</v>
      </c>
      <c r="C30" s="20"/>
    </row>
    <row r="31" spans="1:3" x14ac:dyDescent="0.25">
      <c r="A31" s="17" t="s">
        <v>260</v>
      </c>
      <c r="B31" s="20">
        <v>23510</v>
      </c>
      <c r="C31" s="20"/>
    </row>
    <row r="32" spans="1:3" x14ac:dyDescent="0.25">
      <c r="A32" s="17" t="s">
        <v>53</v>
      </c>
      <c r="B32" s="20"/>
      <c r="C32" s="20">
        <v>9139346.2200000007</v>
      </c>
    </row>
    <row r="33" spans="1:3" x14ac:dyDescent="0.25">
      <c r="A33" s="17" t="s">
        <v>38</v>
      </c>
      <c r="B33" s="20"/>
      <c r="C33" s="20">
        <v>33434.68</v>
      </c>
    </row>
    <row r="34" spans="1:3" x14ac:dyDescent="0.25">
      <c r="A34" s="17" t="s">
        <v>56</v>
      </c>
      <c r="B34" s="20"/>
      <c r="C34" s="20">
        <v>6562298.2000000002</v>
      </c>
    </row>
    <row r="35" spans="1:3" x14ac:dyDescent="0.25">
      <c r="A35" s="17" t="s">
        <v>65</v>
      </c>
      <c r="B35" s="20"/>
      <c r="C35" s="20">
        <v>413424</v>
      </c>
    </row>
    <row r="36" spans="1:3" x14ac:dyDescent="0.25">
      <c r="A36" s="17" t="s">
        <v>262</v>
      </c>
      <c r="B36" s="20">
        <v>187504</v>
      </c>
      <c r="C36" s="20"/>
    </row>
    <row r="37" spans="1:3" x14ac:dyDescent="0.25">
      <c r="A37" s="17" t="s">
        <v>67</v>
      </c>
      <c r="B37" s="20"/>
      <c r="C37" s="20">
        <v>9762.76</v>
      </c>
    </row>
    <row r="38" spans="1:3" x14ac:dyDescent="0.25">
      <c r="A38" s="17" t="s">
        <v>59</v>
      </c>
      <c r="B38" s="20"/>
      <c r="C38" s="20">
        <v>807940</v>
      </c>
    </row>
    <row r="39" spans="1:3" x14ac:dyDescent="0.25">
      <c r="A39" s="17" t="s">
        <v>68</v>
      </c>
      <c r="B39" s="20"/>
      <c r="C39" s="20">
        <v>311205.15999999997</v>
      </c>
    </row>
    <row r="40" spans="1:3" x14ac:dyDescent="0.25">
      <c r="A40" s="17" t="s">
        <v>69</v>
      </c>
      <c r="B40" s="20"/>
      <c r="C40" s="20">
        <v>9150</v>
      </c>
    </row>
    <row r="41" spans="1:3" x14ac:dyDescent="0.25">
      <c r="A41" s="17" t="s">
        <v>71</v>
      </c>
      <c r="B41" s="20"/>
      <c r="C41" s="20">
        <v>503912</v>
      </c>
    </row>
    <row r="42" spans="1:3" x14ac:dyDescent="0.25">
      <c r="A42" s="17" t="s">
        <v>72</v>
      </c>
      <c r="B42" s="20"/>
      <c r="C42" s="20">
        <v>64940.1</v>
      </c>
    </row>
    <row r="43" spans="1:3" x14ac:dyDescent="0.25">
      <c r="A43" s="17" t="s">
        <v>60</v>
      </c>
      <c r="B43" s="20"/>
      <c r="C43" s="20">
        <v>8000</v>
      </c>
    </row>
    <row r="44" spans="1:3" x14ac:dyDescent="0.25">
      <c r="A44" s="17" t="s">
        <v>62</v>
      </c>
      <c r="B44" s="20"/>
      <c r="C44" s="20">
        <v>1331796.1499999999</v>
      </c>
    </row>
    <row r="45" spans="1:3" x14ac:dyDescent="0.25">
      <c r="A45" s="17" t="s">
        <v>263</v>
      </c>
      <c r="B45" s="20">
        <v>17998</v>
      </c>
      <c r="C45" s="20"/>
    </row>
    <row r="46" spans="1:3" x14ac:dyDescent="0.25">
      <c r="A46" s="17" t="s">
        <v>73</v>
      </c>
      <c r="B46" s="20"/>
      <c r="C46" s="20">
        <v>4500</v>
      </c>
    </row>
    <row r="47" spans="1:3" x14ac:dyDescent="0.25">
      <c r="A47" s="17" t="s">
        <v>63</v>
      </c>
      <c r="B47" s="20"/>
      <c r="C47" s="20">
        <v>64334.879999999997</v>
      </c>
    </row>
    <row r="48" spans="1:3" x14ac:dyDescent="0.25">
      <c r="A48" s="17" t="s">
        <v>64</v>
      </c>
      <c r="B48" s="20"/>
      <c r="C48" s="20">
        <v>495364.28</v>
      </c>
    </row>
    <row r="49" spans="1:3" x14ac:dyDescent="0.25">
      <c r="A49" s="17" t="s">
        <v>261</v>
      </c>
      <c r="B49" s="20">
        <v>25000</v>
      </c>
      <c r="C49" s="20"/>
    </row>
    <row r="50" spans="1:3" x14ac:dyDescent="0.25">
      <c r="A50" s="17" t="s">
        <v>54</v>
      </c>
      <c r="B50" s="20"/>
      <c r="C50" s="20">
        <v>47027.5</v>
      </c>
    </row>
    <row r="51" spans="1:3" x14ac:dyDescent="0.25">
      <c r="A51" s="17" t="s">
        <v>74</v>
      </c>
      <c r="B51" s="20"/>
      <c r="C51" s="20">
        <v>7167</v>
      </c>
    </row>
    <row r="52" spans="1:3" x14ac:dyDescent="0.25">
      <c r="A52" s="17" t="s">
        <v>76</v>
      </c>
      <c r="B52" s="20"/>
      <c r="C52" s="20">
        <v>5614023.6299999999</v>
      </c>
    </row>
    <row r="53" spans="1:3" x14ac:dyDescent="0.25">
      <c r="A53" s="17" t="s">
        <v>78</v>
      </c>
      <c r="B53" s="20"/>
      <c r="C53" s="20">
        <v>32191.759999999998</v>
      </c>
    </row>
    <row r="54" spans="1:3" x14ac:dyDescent="0.25">
      <c r="A54" s="17" t="s">
        <v>75</v>
      </c>
      <c r="B54" s="20"/>
      <c r="C54" s="20">
        <v>3978034.4</v>
      </c>
    </row>
    <row r="55" spans="1:3" x14ac:dyDescent="0.25">
      <c r="A55" s="17" t="s">
        <v>264</v>
      </c>
      <c r="B55" s="20">
        <v>0.25</v>
      </c>
      <c r="C55" s="20"/>
    </row>
    <row r="56" spans="1:3" x14ac:dyDescent="0.25">
      <c r="A56" s="17" t="s">
        <v>81</v>
      </c>
      <c r="B56" s="20"/>
      <c r="C56" s="20">
        <v>3.48</v>
      </c>
    </row>
    <row r="57" spans="1:3" x14ac:dyDescent="0.25">
      <c r="A57" s="17" t="s">
        <v>84</v>
      </c>
      <c r="B57" s="20"/>
      <c r="C57" s="20">
        <v>3933</v>
      </c>
    </row>
    <row r="58" spans="1:3" x14ac:dyDescent="0.25">
      <c r="A58" s="17" t="s">
        <v>86</v>
      </c>
      <c r="B58" s="20"/>
      <c r="C58" s="20">
        <v>700</v>
      </c>
    </row>
    <row r="59" spans="1:3" x14ac:dyDescent="0.25">
      <c r="A59" s="17" t="s">
        <v>92</v>
      </c>
      <c r="B59" s="20"/>
      <c r="C59" s="20">
        <v>0.2</v>
      </c>
    </row>
    <row r="60" spans="1:3" x14ac:dyDescent="0.25">
      <c r="A60" s="17" t="s">
        <v>88</v>
      </c>
      <c r="B60" s="20"/>
      <c r="C60" s="20">
        <v>3000</v>
      </c>
    </row>
    <row r="61" spans="1:3" x14ac:dyDescent="0.25">
      <c r="A61" s="17" t="s">
        <v>265</v>
      </c>
      <c r="B61" s="20">
        <v>13962953.220000001</v>
      </c>
      <c r="C61" s="20"/>
    </row>
    <row r="62" spans="1:3" x14ac:dyDescent="0.25">
      <c r="A62" s="17" t="s">
        <v>94</v>
      </c>
      <c r="B62" s="20"/>
      <c r="C62" s="20">
        <v>756000</v>
      </c>
    </row>
    <row r="63" spans="1:3" x14ac:dyDescent="0.25">
      <c r="A63" s="17" t="s">
        <v>89</v>
      </c>
      <c r="B63" s="20"/>
      <c r="C63" s="20">
        <v>43200</v>
      </c>
    </row>
    <row r="64" spans="1:3" x14ac:dyDescent="0.25">
      <c r="A64" s="17" t="s">
        <v>93</v>
      </c>
      <c r="B64" s="20"/>
      <c r="C64" s="20">
        <v>113558</v>
      </c>
    </row>
    <row r="65" spans="1:3" x14ac:dyDescent="0.25">
      <c r="A65" s="17" t="s">
        <v>95</v>
      </c>
      <c r="B65" s="20"/>
      <c r="C65" s="20">
        <v>4830.49</v>
      </c>
    </row>
    <row r="66" spans="1:3" x14ac:dyDescent="0.25">
      <c r="A66" s="17" t="s">
        <v>267</v>
      </c>
      <c r="B66" s="20">
        <v>29669.94</v>
      </c>
      <c r="C66" s="20"/>
    </row>
    <row r="67" spans="1:3" x14ac:dyDescent="0.25">
      <c r="A67" s="17" t="s">
        <v>87</v>
      </c>
      <c r="B67" s="20"/>
      <c r="C67" s="20">
        <v>45611.199999999997</v>
      </c>
    </row>
    <row r="68" spans="1:3" x14ac:dyDescent="0.25">
      <c r="A68" s="17" t="s">
        <v>97</v>
      </c>
      <c r="B68" s="20"/>
      <c r="C68" s="20">
        <v>465366.71</v>
      </c>
    </row>
    <row r="69" spans="1:3" x14ac:dyDescent="0.25">
      <c r="A69" s="17" t="s">
        <v>91</v>
      </c>
      <c r="B69" s="20"/>
      <c r="C69" s="20">
        <v>220864.5</v>
      </c>
    </row>
    <row r="70" spans="1:3" x14ac:dyDescent="0.25">
      <c r="A70" s="17" t="s">
        <v>98</v>
      </c>
      <c r="B70" s="20"/>
      <c r="C70" s="20">
        <v>0.5</v>
      </c>
    </row>
    <row r="71" spans="1:3" x14ac:dyDescent="0.25">
      <c r="A71" s="17" t="s">
        <v>100</v>
      </c>
      <c r="B71" s="20"/>
      <c r="C71" s="20">
        <v>36049.4</v>
      </c>
    </row>
    <row r="72" spans="1:3" x14ac:dyDescent="0.25">
      <c r="A72" s="17" t="s">
        <v>102</v>
      </c>
      <c r="B72" s="20"/>
      <c r="C72" s="20">
        <v>74026.679999999993</v>
      </c>
    </row>
    <row r="73" spans="1:3" x14ac:dyDescent="0.25">
      <c r="A73" s="17" t="s">
        <v>268</v>
      </c>
      <c r="B73" s="20">
        <v>7000</v>
      </c>
      <c r="C73" s="20"/>
    </row>
    <row r="74" spans="1:3" x14ac:dyDescent="0.25">
      <c r="A74" s="17" t="s">
        <v>270</v>
      </c>
      <c r="B74" s="20">
        <v>2714140</v>
      </c>
      <c r="C74" s="20"/>
    </row>
    <row r="75" spans="1:3" x14ac:dyDescent="0.25">
      <c r="A75" s="17" t="s">
        <v>272</v>
      </c>
      <c r="B75" s="20">
        <v>2687615</v>
      </c>
      <c r="C75" s="20"/>
    </row>
    <row r="76" spans="1:3" x14ac:dyDescent="0.25">
      <c r="A76" s="17" t="s">
        <v>103</v>
      </c>
      <c r="B76" s="20"/>
      <c r="C76" s="20">
        <v>601162.9</v>
      </c>
    </row>
    <row r="77" spans="1:3" x14ac:dyDescent="0.25">
      <c r="A77" s="17" t="s">
        <v>104</v>
      </c>
      <c r="B77" s="20"/>
      <c r="C77" s="20">
        <v>20000</v>
      </c>
    </row>
    <row r="78" spans="1:3" x14ac:dyDescent="0.25">
      <c r="A78" s="17" t="s">
        <v>105</v>
      </c>
      <c r="B78" s="20"/>
      <c r="C78" s="20">
        <v>153802.5</v>
      </c>
    </row>
    <row r="79" spans="1:3" x14ac:dyDescent="0.25">
      <c r="A79" s="17" t="s">
        <v>273</v>
      </c>
      <c r="B79" s="20">
        <v>2884000</v>
      </c>
      <c r="C79" s="20"/>
    </row>
    <row r="80" spans="1:3" x14ac:dyDescent="0.25">
      <c r="A80" s="17" t="s">
        <v>107</v>
      </c>
      <c r="B80" s="20"/>
      <c r="C80" s="20">
        <v>1800000</v>
      </c>
    </row>
    <row r="81" spans="1:3" x14ac:dyDescent="0.25">
      <c r="A81" s="17" t="s">
        <v>108</v>
      </c>
      <c r="B81" s="20"/>
      <c r="C81" s="20">
        <v>9801.08</v>
      </c>
    </row>
    <row r="82" spans="1:3" x14ac:dyDescent="0.25">
      <c r="A82" s="17" t="s">
        <v>106</v>
      </c>
      <c r="B82" s="20"/>
      <c r="C82" s="20">
        <v>137428</v>
      </c>
    </row>
    <row r="83" spans="1:3" x14ac:dyDescent="0.25">
      <c r="A83" s="17" t="s">
        <v>111</v>
      </c>
      <c r="B83" s="20"/>
      <c r="C83" s="20">
        <v>974095.2</v>
      </c>
    </row>
    <row r="84" spans="1:3" x14ac:dyDescent="0.25">
      <c r="A84" s="17" t="s">
        <v>112</v>
      </c>
      <c r="B84" s="20"/>
      <c r="C84" s="20">
        <v>60336.57</v>
      </c>
    </row>
    <row r="85" spans="1:3" x14ac:dyDescent="0.25">
      <c r="A85" s="17" t="s">
        <v>275</v>
      </c>
      <c r="B85" s="20">
        <v>4421</v>
      </c>
      <c r="C85" s="20"/>
    </row>
    <row r="86" spans="1:3" x14ac:dyDescent="0.25">
      <c r="A86" s="17" t="s">
        <v>109</v>
      </c>
      <c r="B86" s="20"/>
      <c r="C86" s="20">
        <v>1699664</v>
      </c>
    </row>
    <row r="87" spans="1:3" x14ac:dyDescent="0.25">
      <c r="A87" s="17" t="s">
        <v>332</v>
      </c>
      <c r="B87" s="20"/>
      <c r="C87" s="20">
        <v>13773300.220000001</v>
      </c>
    </row>
    <row r="88" spans="1:3" x14ac:dyDescent="0.25">
      <c r="A88" s="17" t="s">
        <v>274</v>
      </c>
      <c r="B88" s="20">
        <v>19032.8</v>
      </c>
      <c r="C88" s="20"/>
    </row>
    <row r="89" spans="1:3" x14ac:dyDescent="0.25">
      <c r="A89" s="17" t="s">
        <v>113</v>
      </c>
      <c r="B89" s="20"/>
      <c r="C89" s="20">
        <v>2322864</v>
      </c>
    </row>
    <row r="90" spans="1:3" x14ac:dyDescent="0.25">
      <c r="A90" s="17" t="s">
        <v>276</v>
      </c>
      <c r="B90" s="20">
        <v>195874.65</v>
      </c>
      <c r="C90" s="20"/>
    </row>
    <row r="91" spans="1:3" x14ac:dyDescent="0.25">
      <c r="A91" s="17" t="s">
        <v>114</v>
      </c>
      <c r="B91" s="20"/>
      <c r="C91" s="20">
        <v>924.16</v>
      </c>
    </row>
    <row r="92" spans="1:3" x14ac:dyDescent="0.25">
      <c r="A92" s="17" t="s">
        <v>119</v>
      </c>
      <c r="B92" s="20"/>
      <c r="C92" s="20">
        <v>10856</v>
      </c>
    </row>
    <row r="93" spans="1:3" x14ac:dyDescent="0.25">
      <c r="A93" s="17" t="s">
        <v>277</v>
      </c>
      <c r="B93" s="20">
        <v>4692357</v>
      </c>
      <c r="C93" s="20"/>
    </row>
    <row r="94" spans="1:3" x14ac:dyDescent="0.25">
      <c r="A94" s="17" t="s">
        <v>115</v>
      </c>
      <c r="B94" s="20"/>
      <c r="C94" s="20">
        <v>279918.46000000002</v>
      </c>
    </row>
    <row r="95" spans="1:3" x14ac:dyDescent="0.25">
      <c r="A95" s="17" t="s">
        <v>278</v>
      </c>
      <c r="B95" s="20">
        <v>653396</v>
      </c>
      <c r="C95" s="20"/>
    </row>
    <row r="96" spans="1:3" x14ac:dyDescent="0.25">
      <c r="A96" s="17" t="s">
        <v>116</v>
      </c>
      <c r="B96" s="20"/>
      <c r="C96" s="20">
        <v>1691845.6</v>
      </c>
    </row>
    <row r="97" spans="1:3" x14ac:dyDescent="0.25">
      <c r="A97" s="17" t="s">
        <v>120</v>
      </c>
      <c r="B97" s="20"/>
      <c r="C97" s="20">
        <v>6000</v>
      </c>
    </row>
    <row r="98" spans="1:3" x14ac:dyDescent="0.25">
      <c r="A98" s="17" t="s">
        <v>117</v>
      </c>
      <c r="B98" s="20"/>
      <c r="C98" s="20">
        <v>249687</v>
      </c>
    </row>
    <row r="99" spans="1:3" x14ac:dyDescent="0.25">
      <c r="A99" s="17" t="s">
        <v>118</v>
      </c>
      <c r="B99" s="20"/>
      <c r="C99" s="20">
        <v>10091</v>
      </c>
    </row>
    <row r="100" spans="1:3" x14ac:dyDescent="0.25">
      <c r="A100" s="17" t="s">
        <v>122</v>
      </c>
      <c r="B100" s="20"/>
      <c r="C100" s="20">
        <v>150000</v>
      </c>
    </row>
    <row r="101" spans="1:3" x14ac:dyDescent="0.25">
      <c r="A101" s="17" t="s">
        <v>280</v>
      </c>
      <c r="B101" s="20">
        <v>0.68</v>
      </c>
      <c r="C101" s="20"/>
    </row>
    <row r="102" spans="1:3" x14ac:dyDescent="0.25">
      <c r="A102" s="17" t="s">
        <v>128</v>
      </c>
      <c r="B102" s="20"/>
      <c r="C102" s="20">
        <v>1811080.14</v>
      </c>
    </row>
    <row r="103" spans="1:3" x14ac:dyDescent="0.25">
      <c r="A103" s="17" t="s">
        <v>124</v>
      </c>
      <c r="B103" s="20"/>
      <c r="C103" s="20">
        <v>34630.199999999997</v>
      </c>
    </row>
    <row r="104" spans="1:3" x14ac:dyDescent="0.25">
      <c r="A104" s="17" t="s">
        <v>129</v>
      </c>
      <c r="B104" s="20"/>
      <c r="C104" s="20">
        <v>455798</v>
      </c>
    </row>
    <row r="105" spans="1:3" x14ac:dyDescent="0.25">
      <c r="A105" s="17" t="s">
        <v>125</v>
      </c>
      <c r="B105" s="20"/>
      <c r="C105" s="20">
        <v>5495</v>
      </c>
    </row>
    <row r="106" spans="1:3" x14ac:dyDescent="0.25">
      <c r="A106" s="17" t="s">
        <v>282</v>
      </c>
      <c r="B106" s="20">
        <v>25507</v>
      </c>
      <c r="C106" s="20"/>
    </row>
    <row r="107" spans="1:3" x14ac:dyDescent="0.25">
      <c r="A107" s="17" t="s">
        <v>123</v>
      </c>
      <c r="B107" s="20"/>
      <c r="C107" s="20">
        <v>1329902.54</v>
      </c>
    </row>
    <row r="108" spans="1:3" x14ac:dyDescent="0.25">
      <c r="A108" s="17" t="s">
        <v>281</v>
      </c>
      <c r="B108" s="20">
        <v>5900</v>
      </c>
      <c r="C108" s="20"/>
    </row>
    <row r="109" spans="1:3" x14ac:dyDescent="0.25">
      <c r="A109" s="17" t="s">
        <v>126</v>
      </c>
      <c r="B109" s="20"/>
      <c r="C109" s="20">
        <v>0.7</v>
      </c>
    </row>
    <row r="110" spans="1:3" x14ac:dyDescent="0.25">
      <c r="A110" s="17" t="s">
        <v>283</v>
      </c>
      <c r="B110" s="20">
        <v>2874700</v>
      </c>
      <c r="C110" s="20"/>
    </row>
    <row r="111" spans="1:3" x14ac:dyDescent="0.25">
      <c r="A111" s="17" t="s">
        <v>130</v>
      </c>
      <c r="B111" s="20"/>
      <c r="C111" s="20">
        <v>5850</v>
      </c>
    </row>
    <row r="112" spans="1:3" x14ac:dyDescent="0.25">
      <c r="A112" s="17" t="s">
        <v>131</v>
      </c>
      <c r="B112" s="20"/>
      <c r="C112" s="20">
        <v>2478</v>
      </c>
    </row>
    <row r="113" spans="1:3" x14ac:dyDescent="0.25">
      <c r="A113" s="17" t="s">
        <v>127</v>
      </c>
      <c r="B113" s="20"/>
      <c r="C113" s="20">
        <v>251774.38</v>
      </c>
    </row>
    <row r="114" spans="1:3" x14ac:dyDescent="0.25">
      <c r="A114" s="17" t="s">
        <v>132</v>
      </c>
      <c r="B114" s="20"/>
      <c r="C114" s="20">
        <v>18000</v>
      </c>
    </row>
    <row r="115" spans="1:3" x14ac:dyDescent="0.25">
      <c r="A115" s="17" t="s">
        <v>133</v>
      </c>
      <c r="B115" s="20"/>
      <c r="C115" s="20">
        <v>37000</v>
      </c>
    </row>
    <row r="116" spans="1:3" x14ac:dyDescent="0.25">
      <c r="A116" s="17" t="s">
        <v>284</v>
      </c>
      <c r="B116" s="20">
        <v>5781.9</v>
      </c>
      <c r="C116" s="20"/>
    </row>
    <row r="117" spans="1:3" x14ac:dyDescent="0.25">
      <c r="A117" s="17" t="s">
        <v>134</v>
      </c>
      <c r="B117" s="20"/>
      <c r="C117" s="20">
        <v>274645</v>
      </c>
    </row>
    <row r="118" spans="1:3" x14ac:dyDescent="0.25">
      <c r="A118" s="17" t="s">
        <v>136</v>
      </c>
      <c r="B118" s="20"/>
      <c r="C118" s="20">
        <v>305400</v>
      </c>
    </row>
    <row r="119" spans="1:3" x14ac:dyDescent="0.25">
      <c r="A119" s="17" t="s">
        <v>135</v>
      </c>
      <c r="B119" s="20"/>
      <c r="C119" s="20">
        <v>786935</v>
      </c>
    </row>
    <row r="120" spans="1:3" x14ac:dyDescent="0.25">
      <c r="A120" s="17" t="s">
        <v>144</v>
      </c>
      <c r="B120" s="20"/>
      <c r="C120" s="20">
        <v>857382.61</v>
      </c>
    </row>
    <row r="121" spans="1:3" x14ac:dyDescent="0.25">
      <c r="A121" s="17" t="s">
        <v>289</v>
      </c>
      <c r="B121" s="20">
        <v>141300</v>
      </c>
      <c r="C121" s="20"/>
    </row>
    <row r="122" spans="1:3" x14ac:dyDescent="0.25">
      <c r="A122" s="17" t="s">
        <v>145</v>
      </c>
      <c r="B122" s="20"/>
      <c r="C122" s="20">
        <v>54516.76</v>
      </c>
    </row>
    <row r="123" spans="1:3" x14ac:dyDescent="0.25">
      <c r="A123" s="17" t="s">
        <v>146</v>
      </c>
      <c r="B123" s="20"/>
      <c r="C123" s="20">
        <v>517000</v>
      </c>
    </row>
    <row r="124" spans="1:3" x14ac:dyDescent="0.25">
      <c r="A124" s="17" t="s">
        <v>137</v>
      </c>
      <c r="B124" s="20"/>
      <c r="C124" s="20">
        <v>81011.199999999997</v>
      </c>
    </row>
    <row r="125" spans="1:3" x14ac:dyDescent="0.25">
      <c r="A125" s="17" t="s">
        <v>138</v>
      </c>
      <c r="B125" s="20"/>
      <c r="C125" s="20">
        <v>5887338.7599999998</v>
      </c>
    </row>
    <row r="126" spans="1:3" x14ac:dyDescent="0.25">
      <c r="A126" s="17" t="s">
        <v>147</v>
      </c>
      <c r="B126" s="20"/>
      <c r="C126" s="20">
        <v>352640</v>
      </c>
    </row>
    <row r="127" spans="1:3" x14ac:dyDescent="0.25">
      <c r="A127" s="17" t="s">
        <v>148</v>
      </c>
      <c r="B127" s="20"/>
      <c r="C127" s="20">
        <v>66080</v>
      </c>
    </row>
    <row r="128" spans="1:3" x14ac:dyDescent="0.25">
      <c r="A128" s="17" t="s">
        <v>149</v>
      </c>
      <c r="B128" s="20"/>
      <c r="C128" s="20">
        <v>730882.4</v>
      </c>
    </row>
    <row r="129" spans="1:3" x14ac:dyDescent="0.25">
      <c r="A129" s="17" t="s">
        <v>290</v>
      </c>
      <c r="B129" s="20">
        <v>6891.58</v>
      </c>
      <c r="C129" s="20"/>
    </row>
    <row r="130" spans="1:3" x14ac:dyDescent="0.25">
      <c r="A130" s="17" t="s">
        <v>150</v>
      </c>
      <c r="B130" s="20"/>
      <c r="C130" s="20">
        <v>623635.12</v>
      </c>
    </row>
    <row r="131" spans="1:3" x14ac:dyDescent="0.25">
      <c r="A131" s="17" t="s">
        <v>141</v>
      </c>
      <c r="B131" s="20"/>
      <c r="C131" s="20">
        <v>626430</v>
      </c>
    </row>
    <row r="132" spans="1:3" x14ac:dyDescent="0.25">
      <c r="A132" s="17" t="s">
        <v>285</v>
      </c>
      <c r="B132" s="20">
        <v>179000</v>
      </c>
      <c r="C132" s="20"/>
    </row>
    <row r="133" spans="1:3" x14ac:dyDescent="0.25">
      <c r="A133" s="17" t="s">
        <v>140</v>
      </c>
      <c r="B133" s="20"/>
      <c r="C133" s="20">
        <v>1304777.28</v>
      </c>
    </row>
    <row r="134" spans="1:3" x14ac:dyDescent="0.25">
      <c r="A134" s="17" t="s">
        <v>143</v>
      </c>
      <c r="B134" s="20"/>
      <c r="C134" s="20">
        <v>657030.24</v>
      </c>
    </row>
    <row r="135" spans="1:3" x14ac:dyDescent="0.25">
      <c r="A135" s="17" t="s">
        <v>287</v>
      </c>
      <c r="B135" s="20">
        <v>600000</v>
      </c>
      <c r="C135" s="20"/>
    </row>
    <row r="136" spans="1:3" x14ac:dyDescent="0.25">
      <c r="A136" s="17" t="s">
        <v>139</v>
      </c>
      <c r="B136" s="20"/>
      <c r="C136" s="20">
        <v>1763177.68</v>
      </c>
    </row>
    <row r="137" spans="1:3" x14ac:dyDescent="0.25">
      <c r="A137" s="17" t="s">
        <v>292</v>
      </c>
      <c r="B137" s="20">
        <v>6048</v>
      </c>
      <c r="C137" s="20"/>
    </row>
    <row r="138" spans="1:3" x14ac:dyDescent="0.25">
      <c r="A138" s="17" t="s">
        <v>151</v>
      </c>
      <c r="B138" s="20"/>
      <c r="C138" s="20">
        <v>27225</v>
      </c>
    </row>
    <row r="139" spans="1:3" x14ac:dyDescent="0.25">
      <c r="A139" s="17" t="s">
        <v>153</v>
      </c>
      <c r="B139" s="20"/>
      <c r="C139" s="20">
        <v>722437.3</v>
      </c>
    </row>
    <row r="140" spans="1:3" x14ac:dyDescent="0.25">
      <c r="A140" s="17" t="s">
        <v>326</v>
      </c>
      <c r="B140" s="20"/>
      <c r="C140" s="20">
        <v>731051</v>
      </c>
    </row>
    <row r="141" spans="1:3" x14ac:dyDescent="0.25">
      <c r="A141" s="17" t="s">
        <v>331</v>
      </c>
      <c r="B141" s="20"/>
      <c r="C141" s="20">
        <v>12579100.58</v>
      </c>
    </row>
    <row r="142" spans="1:3" x14ac:dyDescent="0.25">
      <c r="A142" s="17" t="s">
        <v>325</v>
      </c>
      <c r="B142" s="20"/>
      <c r="C142" s="20">
        <v>708759.9</v>
      </c>
    </row>
    <row r="143" spans="1:3" x14ac:dyDescent="0.25">
      <c r="A143" s="17" t="s">
        <v>152</v>
      </c>
      <c r="B143" s="20"/>
      <c r="C143" s="20">
        <v>20958</v>
      </c>
    </row>
    <row r="144" spans="1:3" x14ac:dyDescent="0.25">
      <c r="A144" s="17" t="s">
        <v>155</v>
      </c>
      <c r="B144" s="20"/>
      <c r="C144" s="20">
        <v>329828.23</v>
      </c>
    </row>
    <row r="145" spans="1:3" x14ac:dyDescent="0.25">
      <c r="A145" s="17" t="s">
        <v>156</v>
      </c>
      <c r="B145" s="20"/>
      <c r="C145" s="20">
        <v>479644.55</v>
      </c>
    </row>
    <row r="146" spans="1:3" x14ac:dyDescent="0.25">
      <c r="A146" s="17" t="s">
        <v>158</v>
      </c>
      <c r="B146" s="20"/>
      <c r="C146" s="20">
        <v>416074.92</v>
      </c>
    </row>
    <row r="147" spans="1:3" x14ac:dyDescent="0.25">
      <c r="A147" s="17" t="s">
        <v>159</v>
      </c>
      <c r="B147" s="20"/>
      <c r="C147" s="20">
        <v>9807</v>
      </c>
    </row>
    <row r="148" spans="1:3" x14ac:dyDescent="0.25">
      <c r="A148" s="17" t="s">
        <v>164</v>
      </c>
      <c r="B148" s="20"/>
      <c r="C148" s="20">
        <v>652567.53</v>
      </c>
    </row>
    <row r="149" spans="1:3" x14ac:dyDescent="0.25">
      <c r="A149" s="17" t="s">
        <v>160</v>
      </c>
      <c r="B149" s="20"/>
      <c r="C149" s="20">
        <v>2415538.4</v>
      </c>
    </row>
    <row r="150" spans="1:3" x14ac:dyDescent="0.25">
      <c r="A150" s="17" t="s">
        <v>165</v>
      </c>
      <c r="B150" s="20"/>
      <c r="C150" s="20">
        <v>34684</v>
      </c>
    </row>
    <row r="151" spans="1:3" x14ac:dyDescent="0.25">
      <c r="A151" s="17" t="s">
        <v>166</v>
      </c>
      <c r="B151" s="20"/>
      <c r="C151" s="20">
        <v>913160</v>
      </c>
    </row>
    <row r="152" spans="1:3" x14ac:dyDescent="0.25">
      <c r="A152" s="17" t="s">
        <v>162</v>
      </c>
      <c r="B152" s="20"/>
      <c r="C152" s="20">
        <v>1412110.92</v>
      </c>
    </row>
    <row r="153" spans="1:3" x14ac:dyDescent="0.25">
      <c r="A153" s="17" t="s">
        <v>163</v>
      </c>
      <c r="B153" s="20"/>
      <c r="C153" s="20">
        <v>276288.7</v>
      </c>
    </row>
    <row r="154" spans="1:3" x14ac:dyDescent="0.25">
      <c r="A154" s="17" t="s">
        <v>167</v>
      </c>
      <c r="B154" s="20"/>
      <c r="C154" s="20">
        <v>262666</v>
      </c>
    </row>
    <row r="155" spans="1:3" x14ac:dyDescent="0.25">
      <c r="A155" s="17" t="s">
        <v>168</v>
      </c>
      <c r="B155" s="20"/>
      <c r="C155" s="20">
        <v>18000</v>
      </c>
    </row>
    <row r="156" spans="1:3" x14ac:dyDescent="0.25">
      <c r="A156" s="17" t="s">
        <v>175</v>
      </c>
      <c r="B156" s="20"/>
      <c r="C156" s="20">
        <v>60700</v>
      </c>
    </row>
    <row r="157" spans="1:3" x14ac:dyDescent="0.25">
      <c r="A157" s="17" t="s">
        <v>294</v>
      </c>
      <c r="B157" s="20">
        <v>25000</v>
      </c>
      <c r="C157" s="20"/>
    </row>
    <row r="158" spans="1:3" x14ac:dyDescent="0.25">
      <c r="A158" s="17" t="s">
        <v>176</v>
      </c>
      <c r="B158" s="20"/>
      <c r="C158" s="20">
        <v>263520</v>
      </c>
    </row>
    <row r="159" spans="1:3" x14ac:dyDescent="0.25">
      <c r="A159" s="17" t="s">
        <v>179</v>
      </c>
      <c r="B159" s="20"/>
      <c r="C159" s="20">
        <v>3136</v>
      </c>
    </row>
    <row r="160" spans="1:3" x14ac:dyDescent="0.25">
      <c r="A160" s="17" t="s">
        <v>177</v>
      </c>
      <c r="B160" s="20"/>
      <c r="C160" s="20">
        <v>1000</v>
      </c>
    </row>
    <row r="161" spans="1:3" x14ac:dyDescent="0.25">
      <c r="A161" s="17" t="s">
        <v>171</v>
      </c>
      <c r="B161" s="20"/>
      <c r="C161" s="20">
        <v>600</v>
      </c>
    </row>
    <row r="162" spans="1:3" x14ac:dyDescent="0.25">
      <c r="A162" s="17" t="s">
        <v>320</v>
      </c>
      <c r="B162" s="20"/>
      <c r="C162" s="20">
        <v>215334</v>
      </c>
    </row>
    <row r="163" spans="1:3" x14ac:dyDescent="0.25">
      <c r="A163" s="17" t="s">
        <v>324</v>
      </c>
      <c r="B163" s="20"/>
      <c r="C163" s="20">
        <v>590000</v>
      </c>
    </row>
    <row r="164" spans="1:3" x14ac:dyDescent="0.25">
      <c r="A164" s="17" t="s">
        <v>327</v>
      </c>
      <c r="B164" s="20"/>
      <c r="C164" s="20">
        <v>1654914</v>
      </c>
    </row>
    <row r="165" spans="1:3" x14ac:dyDescent="0.25">
      <c r="A165" s="17" t="s">
        <v>328</v>
      </c>
      <c r="B165" s="20"/>
      <c r="C165" s="20">
        <v>1675373.05</v>
      </c>
    </row>
    <row r="166" spans="1:3" x14ac:dyDescent="0.25">
      <c r="A166" s="17" t="s">
        <v>321</v>
      </c>
      <c r="B166" s="20"/>
      <c r="C166" s="20">
        <v>332760</v>
      </c>
    </row>
    <row r="167" spans="1:3" x14ac:dyDescent="0.25">
      <c r="A167" s="17" t="s">
        <v>334</v>
      </c>
      <c r="B167" s="20"/>
      <c r="C167" s="20">
        <v>18974624.510000002</v>
      </c>
    </row>
    <row r="168" spans="1:3" x14ac:dyDescent="0.25">
      <c r="A168" s="17" t="s">
        <v>335</v>
      </c>
      <c r="B168" s="20"/>
      <c r="C168" s="20">
        <v>38159903.289999999</v>
      </c>
    </row>
    <row r="169" spans="1:3" x14ac:dyDescent="0.25">
      <c r="A169" s="17" t="s">
        <v>322</v>
      </c>
      <c r="B169" s="20"/>
      <c r="C169" s="20">
        <v>370425.59999999998</v>
      </c>
    </row>
    <row r="170" spans="1:3" x14ac:dyDescent="0.25">
      <c r="A170" s="17" t="s">
        <v>323</v>
      </c>
      <c r="B170" s="20"/>
      <c r="C170" s="20">
        <v>511161.75</v>
      </c>
    </row>
    <row r="171" spans="1:3" x14ac:dyDescent="0.25">
      <c r="A171" s="17" t="s">
        <v>318</v>
      </c>
      <c r="B171" s="20"/>
      <c r="C171" s="20">
        <v>30680</v>
      </c>
    </row>
    <row r="172" spans="1:3" x14ac:dyDescent="0.25">
      <c r="A172" s="17" t="s">
        <v>329</v>
      </c>
      <c r="B172" s="20"/>
      <c r="C172" s="20">
        <v>6318121.9699999997</v>
      </c>
    </row>
    <row r="173" spans="1:3" x14ac:dyDescent="0.25">
      <c r="A173" s="17" t="s">
        <v>180</v>
      </c>
      <c r="B173" s="20"/>
      <c r="C173" s="20">
        <v>457660.3</v>
      </c>
    </row>
    <row r="174" spans="1:3" x14ac:dyDescent="0.25">
      <c r="A174" s="17" t="s">
        <v>295</v>
      </c>
      <c r="B174" s="20">
        <v>1852.02</v>
      </c>
      <c r="C174" s="20"/>
    </row>
    <row r="175" spans="1:3" x14ac:dyDescent="0.25">
      <c r="A175" s="17" t="s">
        <v>169</v>
      </c>
      <c r="B175" s="20"/>
      <c r="C175" s="20">
        <v>2105009.3199999998</v>
      </c>
    </row>
    <row r="176" spans="1:3" x14ac:dyDescent="0.25">
      <c r="A176" s="17" t="s">
        <v>173</v>
      </c>
      <c r="B176" s="20"/>
      <c r="C176" s="20">
        <v>227360</v>
      </c>
    </row>
    <row r="177" spans="1:3" x14ac:dyDescent="0.25">
      <c r="A177" s="17" t="s">
        <v>172</v>
      </c>
      <c r="B177" s="20"/>
      <c r="C177" s="20">
        <v>562500</v>
      </c>
    </row>
    <row r="178" spans="1:3" x14ac:dyDescent="0.25">
      <c r="A178" s="17" t="s">
        <v>174</v>
      </c>
      <c r="B178" s="20"/>
      <c r="C178" s="20">
        <v>655955.28</v>
      </c>
    </row>
    <row r="179" spans="1:3" x14ac:dyDescent="0.25">
      <c r="A179" s="17" t="s">
        <v>333</v>
      </c>
      <c r="B179" s="20"/>
      <c r="C179" s="20">
        <v>16258192.439999999</v>
      </c>
    </row>
    <row r="180" spans="1:3" x14ac:dyDescent="0.25">
      <c r="A180" s="17" t="s">
        <v>296</v>
      </c>
      <c r="B180" s="20">
        <v>25000</v>
      </c>
      <c r="C180" s="20"/>
    </row>
    <row r="181" spans="1:3" x14ac:dyDescent="0.25">
      <c r="A181" s="17" t="s">
        <v>181</v>
      </c>
      <c r="B181" s="20"/>
      <c r="C181" s="20">
        <v>212652.48</v>
      </c>
    </row>
    <row r="182" spans="1:3" x14ac:dyDescent="0.25">
      <c r="A182" s="17" t="s">
        <v>183</v>
      </c>
      <c r="B182" s="20"/>
      <c r="C182" s="20">
        <v>99093</v>
      </c>
    </row>
    <row r="183" spans="1:3" x14ac:dyDescent="0.25">
      <c r="A183" s="17" t="s">
        <v>201</v>
      </c>
      <c r="B183" s="20"/>
      <c r="C183" s="20">
        <v>1140425.8899999999</v>
      </c>
    </row>
    <row r="184" spans="1:3" x14ac:dyDescent="0.25">
      <c r="A184" s="17" t="s">
        <v>302</v>
      </c>
      <c r="B184" s="20">
        <v>195838.66</v>
      </c>
      <c r="C184" s="20"/>
    </row>
    <row r="185" spans="1:3" x14ac:dyDescent="0.25">
      <c r="A185" s="17" t="s">
        <v>202</v>
      </c>
      <c r="B185" s="20"/>
      <c r="C185" s="20">
        <v>410912.37</v>
      </c>
    </row>
    <row r="186" spans="1:3" x14ac:dyDescent="0.25">
      <c r="A186" s="17" t="s">
        <v>184</v>
      </c>
      <c r="B186" s="20"/>
      <c r="C186" s="20">
        <v>33320</v>
      </c>
    </row>
    <row r="187" spans="1:3" x14ac:dyDescent="0.25">
      <c r="A187" s="17" t="s">
        <v>203</v>
      </c>
      <c r="B187" s="20"/>
      <c r="C187" s="20">
        <v>7078932</v>
      </c>
    </row>
    <row r="188" spans="1:3" x14ac:dyDescent="0.25">
      <c r="A188" s="17" t="s">
        <v>185</v>
      </c>
      <c r="B188" s="20"/>
      <c r="C188" s="20">
        <v>168548</v>
      </c>
    </row>
    <row r="189" spans="1:3" x14ac:dyDescent="0.25">
      <c r="A189" s="17" t="s">
        <v>204</v>
      </c>
      <c r="B189" s="20"/>
      <c r="C189" s="20">
        <v>4189</v>
      </c>
    </row>
    <row r="190" spans="1:3" x14ac:dyDescent="0.25">
      <c r="A190" s="17" t="s">
        <v>303</v>
      </c>
      <c r="B190" s="20">
        <v>30000</v>
      </c>
      <c r="C190" s="20"/>
    </row>
    <row r="191" spans="1:3" x14ac:dyDescent="0.25">
      <c r="A191" s="17" t="s">
        <v>304</v>
      </c>
      <c r="B191" s="20">
        <v>6400</v>
      </c>
      <c r="C191" s="20"/>
    </row>
    <row r="192" spans="1:3" x14ac:dyDescent="0.25">
      <c r="A192" s="17" t="s">
        <v>297</v>
      </c>
      <c r="B192" s="20">
        <v>400000</v>
      </c>
      <c r="C192" s="20"/>
    </row>
    <row r="193" spans="1:3" x14ac:dyDescent="0.25">
      <c r="A193" s="17" t="s">
        <v>306</v>
      </c>
      <c r="B193" s="20">
        <v>12000</v>
      </c>
      <c r="C193" s="20"/>
    </row>
    <row r="194" spans="1:3" x14ac:dyDescent="0.25">
      <c r="A194" s="17" t="s">
        <v>205</v>
      </c>
      <c r="B194" s="20"/>
      <c r="C194" s="20">
        <v>65170</v>
      </c>
    </row>
    <row r="195" spans="1:3" x14ac:dyDescent="0.25">
      <c r="A195" s="17" t="s">
        <v>186</v>
      </c>
      <c r="B195" s="20"/>
      <c r="C195" s="20">
        <v>330463</v>
      </c>
    </row>
    <row r="196" spans="1:3" x14ac:dyDescent="0.25">
      <c r="A196" s="17" t="s">
        <v>299</v>
      </c>
      <c r="B196" s="20">
        <v>649762.84</v>
      </c>
      <c r="C196" s="20"/>
    </row>
    <row r="197" spans="1:3" x14ac:dyDescent="0.25">
      <c r="A197" s="17" t="s">
        <v>209</v>
      </c>
      <c r="B197" s="20"/>
      <c r="C197" s="20">
        <v>41480</v>
      </c>
    </row>
    <row r="198" spans="1:3" x14ac:dyDescent="0.25">
      <c r="A198" s="17" t="s">
        <v>187</v>
      </c>
      <c r="B198" s="20"/>
      <c r="C198" s="20">
        <v>2035698.37</v>
      </c>
    </row>
    <row r="199" spans="1:3" x14ac:dyDescent="0.25">
      <c r="A199" s="17" t="s">
        <v>206</v>
      </c>
      <c r="B199" s="20"/>
      <c r="C199" s="20">
        <v>373688</v>
      </c>
    </row>
    <row r="200" spans="1:3" x14ac:dyDescent="0.25">
      <c r="A200" s="17" t="s">
        <v>207</v>
      </c>
      <c r="B200" s="20"/>
      <c r="C200" s="20">
        <v>3922215</v>
      </c>
    </row>
    <row r="201" spans="1:3" x14ac:dyDescent="0.25">
      <c r="A201" s="17" t="s">
        <v>208</v>
      </c>
      <c r="B201" s="20"/>
      <c r="C201" s="20">
        <v>625240</v>
      </c>
    </row>
    <row r="202" spans="1:3" x14ac:dyDescent="0.25">
      <c r="A202" s="17" t="s">
        <v>188</v>
      </c>
      <c r="B202" s="20"/>
      <c r="C202" s="20">
        <v>350065.8</v>
      </c>
    </row>
    <row r="203" spans="1:3" x14ac:dyDescent="0.25">
      <c r="A203" s="17" t="s">
        <v>210</v>
      </c>
      <c r="B203" s="20"/>
      <c r="C203" s="20">
        <v>353093</v>
      </c>
    </row>
    <row r="204" spans="1:3" x14ac:dyDescent="0.25">
      <c r="A204" s="17" t="s">
        <v>211</v>
      </c>
      <c r="B204" s="20"/>
      <c r="C204" s="20">
        <v>887893.82</v>
      </c>
    </row>
    <row r="205" spans="1:3" x14ac:dyDescent="0.25">
      <c r="A205" s="17" t="s">
        <v>190</v>
      </c>
      <c r="B205" s="20"/>
      <c r="C205" s="20">
        <v>5039.1000000000004</v>
      </c>
    </row>
    <row r="206" spans="1:3" x14ac:dyDescent="0.25">
      <c r="A206" s="17" t="s">
        <v>212</v>
      </c>
      <c r="B206" s="20"/>
      <c r="C206" s="20">
        <v>526442</v>
      </c>
    </row>
    <row r="207" spans="1:3" x14ac:dyDescent="0.25">
      <c r="A207" s="17" t="s">
        <v>213</v>
      </c>
      <c r="B207" s="20"/>
      <c r="C207" s="20">
        <v>10080</v>
      </c>
    </row>
    <row r="208" spans="1:3" x14ac:dyDescent="0.25">
      <c r="A208" s="17" t="s">
        <v>214</v>
      </c>
      <c r="B208" s="20"/>
      <c r="C208" s="20">
        <v>12804.52</v>
      </c>
    </row>
    <row r="209" spans="1:3" x14ac:dyDescent="0.25">
      <c r="A209" s="17" t="s">
        <v>191</v>
      </c>
      <c r="B209" s="20"/>
      <c r="C209" s="20">
        <v>425184.61</v>
      </c>
    </row>
    <row r="210" spans="1:3" x14ac:dyDescent="0.25">
      <c r="A210" s="17" t="s">
        <v>192</v>
      </c>
      <c r="B210" s="20"/>
      <c r="C210" s="20">
        <v>177912.68</v>
      </c>
    </row>
    <row r="211" spans="1:3" x14ac:dyDescent="0.25">
      <c r="A211" s="17" t="s">
        <v>182</v>
      </c>
      <c r="B211" s="20"/>
      <c r="C211" s="20">
        <v>602991.98</v>
      </c>
    </row>
    <row r="212" spans="1:3" x14ac:dyDescent="0.25">
      <c r="A212" s="17" t="s">
        <v>193</v>
      </c>
      <c r="B212" s="20"/>
      <c r="C212" s="20">
        <v>122052.63</v>
      </c>
    </row>
    <row r="213" spans="1:3" x14ac:dyDescent="0.25">
      <c r="A213" s="17" t="s">
        <v>330</v>
      </c>
      <c r="B213" s="20"/>
      <c r="C213" s="20">
        <v>8446869.4000000004</v>
      </c>
    </row>
    <row r="214" spans="1:3" x14ac:dyDescent="0.25">
      <c r="A214" s="17" t="s">
        <v>301</v>
      </c>
      <c r="B214" s="20">
        <v>108.85</v>
      </c>
      <c r="C214" s="20"/>
    </row>
    <row r="215" spans="1:3" x14ac:dyDescent="0.25">
      <c r="A215" s="17" t="s">
        <v>216</v>
      </c>
      <c r="B215" s="20"/>
      <c r="C215" s="20">
        <v>2692</v>
      </c>
    </row>
    <row r="216" spans="1:3" x14ac:dyDescent="0.25">
      <c r="A216" s="17" t="s">
        <v>194</v>
      </c>
      <c r="B216" s="20"/>
      <c r="C216" s="20">
        <v>15305508.109999999</v>
      </c>
    </row>
    <row r="217" spans="1:3" x14ac:dyDescent="0.25">
      <c r="A217" s="17" t="s">
        <v>196</v>
      </c>
      <c r="B217" s="20"/>
      <c r="C217" s="20">
        <v>1700119.74</v>
      </c>
    </row>
    <row r="218" spans="1:3" x14ac:dyDescent="0.25">
      <c r="A218" s="17" t="s">
        <v>197</v>
      </c>
      <c r="B218" s="20"/>
      <c r="C218" s="20">
        <v>1114639.08</v>
      </c>
    </row>
    <row r="219" spans="1:3" x14ac:dyDescent="0.25">
      <c r="A219" s="17" t="s">
        <v>218</v>
      </c>
      <c r="B219" s="20"/>
      <c r="C219" s="20">
        <v>156780</v>
      </c>
    </row>
    <row r="220" spans="1:3" x14ac:dyDescent="0.25">
      <c r="A220" s="17" t="s">
        <v>307</v>
      </c>
      <c r="B220" s="20">
        <v>650000</v>
      </c>
      <c r="C220" s="20"/>
    </row>
    <row r="221" spans="1:3" x14ac:dyDescent="0.25">
      <c r="A221" s="17" t="s">
        <v>198</v>
      </c>
      <c r="B221" s="20"/>
      <c r="C221" s="20">
        <v>136560.6</v>
      </c>
    </row>
    <row r="222" spans="1:3" x14ac:dyDescent="0.25">
      <c r="A222" s="17" t="s">
        <v>308</v>
      </c>
      <c r="B222" s="20">
        <v>587994</v>
      </c>
      <c r="C222" s="20"/>
    </row>
    <row r="223" spans="1:3" x14ac:dyDescent="0.25">
      <c r="A223" s="17" t="s">
        <v>219</v>
      </c>
      <c r="B223" s="20"/>
      <c r="C223" s="20">
        <v>37000</v>
      </c>
    </row>
    <row r="224" spans="1:3" x14ac:dyDescent="0.25">
      <c r="A224" s="17" t="s">
        <v>200</v>
      </c>
      <c r="B224" s="20"/>
      <c r="C224" s="20">
        <v>666028.64</v>
      </c>
    </row>
    <row r="225" spans="1:3" x14ac:dyDescent="0.25">
      <c r="A225" s="17" t="s">
        <v>220</v>
      </c>
      <c r="B225" s="20"/>
      <c r="C225" s="20">
        <v>6000</v>
      </c>
    </row>
    <row r="226" spans="1:3" x14ac:dyDescent="0.25">
      <c r="A226" s="17" t="s">
        <v>221</v>
      </c>
      <c r="B226" s="20"/>
      <c r="C226" s="20">
        <v>26900</v>
      </c>
    </row>
    <row r="227" spans="1:3" x14ac:dyDescent="0.25">
      <c r="A227" s="17" t="s">
        <v>223</v>
      </c>
      <c r="B227" s="20"/>
      <c r="C227" s="20">
        <v>553342</v>
      </c>
    </row>
    <row r="228" spans="1:3" x14ac:dyDescent="0.25">
      <c r="A228" s="17" t="s">
        <v>224</v>
      </c>
      <c r="B228" s="20"/>
      <c r="C228" s="20">
        <v>150000</v>
      </c>
    </row>
    <row r="229" spans="1:3" x14ac:dyDescent="0.25">
      <c r="A229" s="17" t="s">
        <v>229</v>
      </c>
      <c r="B229" s="20"/>
      <c r="C229" s="20">
        <v>240019.08</v>
      </c>
    </row>
    <row r="230" spans="1:3" x14ac:dyDescent="0.25">
      <c r="A230" s="17" t="s">
        <v>230</v>
      </c>
      <c r="B230" s="20"/>
      <c r="C230" s="20">
        <v>62719.91</v>
      </c>
    </row>
    <row r="231" spans="1:3" x14ac:dyDescent="0.25">
      <c r="A231" s="17" t="s">
        <v>231</v>
      </c>
      <c r="B231" s="20"/>
      <c r="C231" s="20">
        <v>700906.24</v>
      </c>
    </row>
    <row r="232" spans="1:3" x14ac:dyDescent="0.25">
      <c r="A232" s="17" t="s">
        <v>232</v>
      </c>
      <c r="B232" s="20"/>
      <c r="C232" s="20">
        <v>2939484.9</v>
      </c>
    </row>
    <row r="233" spans="1:3" x14ac:dyDescent="0.25">
      <c r="A233" s="17" t="s">
        <v>226</v>
      </c>
      <c r="B233" s="20"/>
      <c r="C233" s="20">
        <v>94814.01</v>
      </c>
    </row>
    <row r="234" spans="1:3" x14ac:dyDescent="0.25">
      <c r="A234" s="17" t="s">
        <v>227</v>
      </c>
      <c r="B234" s="20"/>
      <c r="C234" s="20">
        <v>790966.88</v>
      </c>
    </row>
    <row r="235" spans="1:3" x14ac:dyDescent="0.25">
      <c r="A235" s="17" t="s">
        <v>228</v>
      </c>
      <c r="B235" s="20"/>
      <c r="C235" s="20">
        <v>57820</v>
      </c>
    </row>
    <row r="236" spans="1:3" x14ac:dyDescent="0.25">
      <c r="A236" s="17" t="s">
        <v>234</v>
      </c>
      <c r="B236" s="20"/>
      <c r="C236" s="20">
        <v>79500</v>
      </c>
    </row>
    <row r="237" spans="1:3" x14ac:dyDescent="0.25">
      <c r="A237" s="17" t="s">
        <v>233</v>
      </c>
      <c r="B237" s="20"/>
      <c r="C237" s="20">
        <v>6941152.5199999996</v>
      </c>
    </row>
    <row r="238" spans="1:3" x14ac:dyDescent="0.25">
      <c r="A238" s="17" t="s">
        <v>237</v>
      </c>
      <c r="B238" s="20"/>
      <c r="C238" s="20">
        <v>1047875</v>
      </c>
    </row>
    <row r="239" spans="1:3" x14ac:dyDescent="0.25">
      <c r="A239" s="17" t="s">
        <v>238</v>
      </c>
      <c r="B239" s="20"/>
      <c r="C239" s="20">
        <v>1784225.28</v>
      </c>
    </row>
    <row r="240" spans="1:3" x14ac:dyDescent="0.25">
      <c r="A240" s="17" t="s">
        <v>241</v>
      </c>
      <c r="B240" s="20"/>
      <c r="C240" s="20">
        <v>200437.36</v>
      </c>
    </row>
    <row r="241" spans="1:3" x14ac:dyDescent="0.25">
      <c r="A241" s="17" t="s">
        <v>310</v>
      </c>
      <c r="B241" s="20">
        <v>9481609.8000000007</v>
      </c>
      <c r="C241" s="20"/>
    </row>
    <row r="242" spans="1:3" x14ac:dyDescent="0.25">
      <c r="A242" s="17" t="s">
        <v>309</v>
      </c>
      <c r="B242" s="20">
        <v>146997.79</v>
      </c>
      <c r="C242" s="20"/>
    </row>
    <row r="243" spans="1:3" x14ac:dyDescent="0.25">
      <c r="A243" s="17" t="s">
        <v>312</v>
      </c>
      <c r="B243" s="20">
        <v>5200</v>
      </c>
      <c r="C243" s="20"/>
    </row>
    <row r="244" spans="1:3" x14ac:dyDescent="0.25">
      <c r="A244" s="17" t="s">
        <v>314</v>
      </c>
      <c r="B244" s="20">
        <v>28064.39</v>
      </c>
      <c r="C244" s="20"/>
    </row>
    <row r="245" spans="1:3" x14ac:dyDescent="0.25">
      <c r="A245" s="17" t="s">
        <v>315</v>
      </c>
      <c r="B245" s="20">
        <v>0.57999999999999996</v>
      </c>
      <c r="C245" s="20"/>
    </row>
    <row r="246" spans="1:3" x14ac:dyDescent="0.25">
      <c r="A246" s="17" t="s">
        <v>236</v>
      </c>
      <c r="B246" s="20"/>
      <c r="C246" s="20">
        <v>1706110.6</v>
      </c>
    </row>
    <row r="247" spans="1:3" x14ac:dyDescent="0.25">
      <c r="A247" s="17" t="s">
        <v>244</v>
      </c>
      <c r="B247" s="20"/>
      <c r="C247" s="20">
        <v>879470</v>
      </c>
    </row>
    <row r="248" spans="1:3" x14ac:dyDescent="0.25">
      <c r="A248" s="17" t="s">
        <v>242</v>
      </c>
      <c r="B248" s="20"/>
      <c r="C248" s="20">
        <v>744230.43</v>
      </c>
    </row>
    <row r="249" spans="1:3" x14ac:dyDescent="0.25">
      <c r="A249" s="17" t="s">
        <v>243</v>
      </c>
      <c r="B249" s="20"/>
      <c r="C249" s="20">
        <v>438891.89</v>
      </c>
    </row>
    <row r="250" spans="1:3" x14ac:dyDescent="0.25">
      <c r="A250" s="17" t="s">
        <v>245</v>
      </c>
      <c r="B250" s="20"/>
      <c r="C250" s="20">
        <v>64900</v>
      </c>
    </row>
    <row r="251" spans="1:3" x14ac:dyDescent="0.25">
      <c r="A251" s="17" t="s">
        <v>246</v>
      </c>
      <c r="B251" s="20"/>
      <c r="C251" s="20">
        <v>1293982.6299999999</v>
      </c>
    </row>
    <row r="252" spans="1:3" x14ac:dyDescent="0.25">
      <c r="A252" s="17" t="s">
        <v>247</v>
      </c>
      <c r="B252" s="20"/>
      <c r="C252" s="20">
        <v>4516</v>
      </c>
    </row>
    <row r="253" spans="1:3" x14ac:dyDescent="0.25">
      <c r="A253" s="17" t="s">
        <v>248</v>
      </c>
      <c r="B253" s="20"/>
      <c r="C253" s="20">
        <v>1479715.28</v>
      </c>
    </row>
    <row r="254" spans="1:3" x14ac:dyDescent="0.25">
      <c r="A254" s="17" t="s">
        <v>250</v>
      </c>
      <c r="B254" s="20"/>
      <c r="C254" s="20">
        <v>2514802.5</v>
      </c>
    </row>
    <row r="255" spans="1:3" x14ac:dyDescent="0.25">
      <c r="A255" s="17" t="s">
        <v>316</v>
      </c>
      <c r="B255" s="20">
        <v>21219.5</v>
      </c>
      <c r="C255" s="20"/>
    </row>
    <row r="256" spans="1:3" x14ac:dyDescent="0.25">
      <c r="A256" s="18" t="s">
        <v>251</v>
      </c>
      <c r="B256" s="21">
        <v>45031978.350000001</v>
      </c>
      <c r="C256" s="21">
        <v>278969650.67000002</v>
      </c>
    </row>
  </sheetData>
  <autoFilter ref="A10:C256">
    <filterColumn colId="1" showButton="0"/>
  </autoFilter>
  <mergeCells count="10">
    <mergeCell ref="B10:C10"/>
    <mergeCell ref="A10:A11"/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2" customWidth="1"/>
    <col min="3" max="3" width="48" customWidth="1"/>
    <col min="4" max="4" width="24" customWidth="1"/>
    <col min="5" max="7" width="16" customWidth="1"/>
  </cols>
  <sheetData>
    <row r="1" spans="1:7" x14ac:dyDescent="0.25">
      <c r="A1" s="12" t="s">
        <v>363</v>
      </c>
      <c r="B1" s="12" t="s">
        <v>364</v>
      </c>
      <c r="C1" s="12" t="s">
        <v>365</v>
      </c>
      <c r="D1" s="12" t="s">
        <v>366</v>
      </c>
      <c r="E1" s="12" t="s">
        <v>367</v>
      </c>
      <c r="F1" s="12" t="s">
        <v>368</v>
      </c>
      <c r="G1" s="12" t="s">
        <v>369</v>
      </c>
    </row>
    <row r="2" spans="1:7" x14ac:dyDescent="0.25">
      <c r="A2" s="13">
        <v>44357</v>
      </c>
      <c r="B2" s="14" t="s">
        <v>370</v>
      </c>
      <c r="C2" s="14" t="s">
        <v>326</v>
      </c>
      <c r="D2" s="14" t="s">
        <v>57</v>
      </c>
      <c r="E2" s="14" t="s">
        <v>16</v>
      </c>
      <c r="F2" s="15">
        <v>85567</v>
      </c>
      <c r="G2" s="15">
        <v>85567</v>
      </c>
    </row>
    <row r="3" spans="1:7" x14ac:dyDescent="0.25">
      <c r="A3" s="13">
        <v>44361</v>
      </c>
      <c r="B3" s="14" t="s">
        <v>371</v>
      </c>
      <c r="C3" s="14" t="s">
        <v>326</v>
      </c>
      <c r="D3" s="14" t="s">
        <v>57</v>
      </c>
      <c r="E3" s="14" t="s">
        <v>16</v>
      </c>
      <c r="F3" s="15">
        <v>62940</v>
      </c>
      <c r="G3" s="15">
        <v>62940</v>
      </c>
    </row>
    <row r="4" spans="1:7" x14ac:dyDescent="0.25">
      <c r="A4" s="13">
        <v>44383</v>
      </c>
      <c r="B4" s="14" t="s">
        <v>372</v>
      </c>
      <c r="C4" s="14" t="s">
        <v>326</v>
      </c>
      <c r="D4" s="14" t="s">
        <v>57</v>
      </c>
      <c r="E4" s="14" t="s">
        <v>16</v>
      </c>
      <c r="F4" s="15">
        <v>78182</v>
      </c>
      <c r="G4" s="15">
        <v>78182</v>
      </c>
    </row>
    <row r="5" spans="1:7" x14ac:dyDescent="0.25">
      <c r="A5" s="13">
        <v>44400</v>
      </c>
      <c r="B5" s="14" t="s">
        <v>373</v>
      </c>
      <c r="C5" s="14" t="s">
        <v>326</v>
      </c>
      <c r="D5" s="14" t="s">
        <v>57</v>
      </c>
      <c r="E5" s="14" t="s">
        <v>16</v>
      </c>
      <c r="F5" s="15">
        <v>73765</v>
      </c>
      <c r="G5" s="15">
        <v>73765</v>
      </c>
    </row>
    <row r="6" spans="1:7" x14ac:dyDescent="0.25">
      <c r="A6" s="13">
        <v>44456</v>
      </c>
      <c r="B6" s="14" t="s">
        <v>374</v>
      </c>
      <c r="C6" s="14" t="s">
        <v>326</v>
      </c>
      <c r="D6" s="14" t="s">
        <v>57</v>
      </c>
      <c r="E6" s="14" t="s">
        <v>16</v>
      </c>
      <c r="F6" s="15">
        <v>74180</v>
      </c>
      <c r="G6" s="15">
        <v>74180</v>
      </c>
    </row>
    <row r="7" spans="1:7" x14ac:dyDescent="0.25">
      <c r="A7" s="13">
        <v>44473</v>
      </c>
      <c r="B7" s="14" t="s">
        <v>375</v>
      </c>
      <c r="C7" s="14" t="s">
        <v>326</v>
      </c>
      <c r="D7" s="14" t="s">
        <v>57</v>
      </c>
      <c r="E7" s="14" t="s">
        <v>16</v>
      </c>
      <c r="F7" s="15">
        <v>92865</v>
      </c>
      <c r="G7" s="15">
        <v>92865</v>
      </c>
    </row>
    <row r="8" spans="1:7" x14ac:dyDescent="0.25">
      <c r="A8" s="13">
        <v>44488</v>
      </c>
      <c r="B8" s="14" t="s">
        <v>376</v>
      </c>
      <c r="C8" s="14" t="s">
        <v>326</v>
      </c>
      <c r="D8" s="14" t="s">
        <v>57</v>
      </c>
      <c r="E8" s="14" t="s">
        <v>16</v>
      </c>
      <c r="F8" s="15">
        <v>71512</v>
      </c>
      <c r="G8" s="15">
        <v>71512</v>
      </c>
    </row>
    <row r="9" spans="1:7" x14ac:dyDescent="0.25">
      <c r="A9" s="13">
        <v>44493</v>
      </c>
      <c r="B9" s="14" t="s">
        <v>377</v>
      </c>
      <c r="C9" s="14" t="s">
        <v>326</v>
      </c>
      <c r="D9" s="14" t="s">
        <v>57</v>
      </c>
      <c r="E9" s="14" t="s">
        <v>16</v>
      </c>
      <c r="F9" s="15">
        <v>15314</v>
      </c>
      <c r="G9" s="15">
        <v>15314</v>
      </c>
    </row>
    <row r="10" spans="1:7" x14ac:dyDescent="0.25">
      <c r="A10" s="13">
        <v>44500</v>
      </c>
      <c r="B10" s="14" t="s">
        <v>378</v>
      </c>
      <c r="C10" s="14" t="s">
        <v>326</v>
      </c>
      <c r="D10" s="14" t="s">
        <v>57</v>
      </c>
      <c r="E10" s="14" t="s">
        <v>16</v>
      </c>
      <c r="F10" s="15">
        <v>81842</v>
      </c>
      <c r="G10" s="15">
        <v>81842</v>
      </c>
    </row>
    <row r="11" spans="1:7" x14ac:dyDescent="0.25">
      <c r="A11" s="13">
        <v>44535</v>
      </c>
      <c r="B11" s="14" t="s">
        <v>379</v>
      </c>
      <c r="C11" s="14" t="s">
        <v>326</v>
      </c>
      <c r="D11" s="14" t="s">
        <v>57</v>
      </c>
      <c r="E11" s="14" t="s">
        <v>16</v>
      </c>
      <c r="F11" s="15">
        <v>19959</v>
      </c>
      <c r="G11" s="15">
        <v>19959</v>
      </c>
    </row>
    <row r="12" spans="1:7" x14ac:dyDescent="0.25">
      <c r="A12" s="13">
        <v>44545</v>
      </c>
      <c r="B12" s="14" t="s">
        <v>380</v>
      </c>
      <c r="C12" s="14" t="s">
        <v>325</v>
      </c>
      <c r="D12" s="14" t="s">
        <v>57</v>
      </c>
      <c r="E12" s="14" t="s">
        <v>16</v>
      </c>
      <c r="F12" s="15">
        <v>72416</v>
      </c>
      <c r="G12" s="15">
        <v>72416</v>
      </c>
    </row>
    <row r="13" spans="1:7" x14ac:dyDescent="0.25">
      <c r="A13" s="13">
        <v>44546</v>
      </c>
      <c r="B13" s="14" t="s">
        <v>381</v>
      </c>
      <c r="C13" s="14" t="s">
        <v>325</v>
      </c>
      <c r="D13" s="14" t="s">
        <v>57</v>
      </c>
      <c r="E13" s="14" t="s">
        <v>16</v>
      </c>
      <c r="F13" s="15">
        <v>56484</v>
      </c>
      <c r="G13" s="15">
        <v>56484</v>
      </c>
    </row>
    <row r="14" spans="1:7" x14ac:dyDescent="0.25">
      <c r="A14" s="13">
        <v>44549</v>
      </c>
      <c r="B14" s="14" t="s">
        <v>382</v>
      </c>
      <c r="C14" s="14" t="s">
        <v>325</v>
      </c>
      <c r="D14" s="14" t="s">
        <v>57</v>
      </c>
      <c r="E14" s="14" t="s">
        <v>16</v>
      </c>
      <c r="F14" s="15">
        <v>62635</v>
      </c>
      <c r="G14" s="15">
        <v>62635</v>
      </c>
    </row>
    <row r="15" spans="1:7" x14ac:dyDescent="0.25">
      <c r="A15" s="13">
        <v>44550</v>
      </c>
      <c r="B15" s="14" t="s">
        <v>383</v>
      </c>
      <c r="C15" s="14" t="s">
        <v>325</v>
      </c>
      <c r="D15" s="14" t="s">
        <v>57</v>
      </c>
      <c r="E15" s="14" t="s">
        <v>16</v>
      </c>
      <c r="F15" s="15">
        <v>66350</v>
      </c>
      <c r="G15" s="15">
        <v>66350</v>
      </c>
    </row>
    <row r="16" spans="1:7" x14ac:dyDescent="0.25">
      <c r="A16" s="13">
        <v>44557</v>
      </c>
      <c r="B16" s="14" t="s">
        <v>384</v>
      </c>
      <c r="C16" s="14" t="s">
        <v>325</v>
      </c>
      <c r="D16" s="14" t="s">
        <v>57</v>
      </c>
      <c r="E16" s="14" t="s">
        <v>16</v>
      </c>
      <c r="F16" s="15">
        <v>82711</v>
      </c>
      <c r="G16" s="15">
        <v>82711</v>
      </c>
    </row>
    <row r="17" spans="1:7" x14ac:dyDescent="0.25">
      <c r="A17" s="13">
        <v>44558</v>
      </c>
      <c r="B17" s="14" t="s">
        <v>385</v>
      </c>
      <c r="C17" s="14" t="s">
        <v>325</v>
      </c>
      <c r="D17" s="14" t="s">
        <v>57</v>
      </c>
      <c r="E17" s="14" t="s">
        <v>16</v>
      </c>
      <c r="F17" s="15">
        <v>76728</v>
      </c>
      <c r="G17" s="15">
        <v>76728</v>
      </c>
    </row>
    <row r="18" spans="1:7" x14ac:dyDescent="0.25">
      <c r="A18" s="13">
        <v>44561</v>
      </c>
      <c r="B18" s="14" t="s">
        <v>386</v>
      </c>
      <c r="C18" s="14" t="s">
        <v>326</v>
      </c>
      <c r="D18" s="14" t="s">
        <v>57</v>
      </c>
      <c r="E18" s="14" t="s">
        <v>16</v>
      </c>
      <c r="F18" s="15">
        <v>74925</v>
      </c>
      <c r="G18" s="15">
        <v>74925</v>
      </c>
    </row>
    <row r="19" spans="1:7" x14ac:dyDescent="0.25">
      <c r="A19" s="13">
        <v>44592</v>
      </c>
      <c r="B19" s="14" t="s">
        <v>387</v>
      </c>
      <c r="C19" s="14" t="s">
        <v>325</v>
      </c>
      <c r="D19" s="14" t="s">
        <v>57</v>
      </c>
      <c r="E19" s="14" t="s">
        <v>16</v>
      </c>
      <c r="F19" s="15">
        <v>67385</v>
      </c>
      <c r="G19" s="15">
        <v>67385</v>
      </c>
    </row>
    <row r="20" spans="1:7" x14ac:dyDescent="0.25">
      <c r="A20" s="13">
        <v>44592</v>
      </c>
      <c r="B20" s="14" t="s">
        <v>388</v>
      </c>
      <c r="C20" s="14" t="s">
        <v>325</v>
      </c>
      <c r="D20" s="14" t="s">
        <v>57</v>
      </c>
      <c r="E20" s="14" t="s">
        <v>16</v>
      </c>
      <c r="F20" s="15">
        <v>54201</v>
      </c>
      <c r="G20" s="15">
        <v>54201</v>
      </c>
    </row>
    <row r="21" spans="1:7" x14ac:dyDescent="0.25">
      <c r="A21" s="13">
        <v>44620</v>
      </c>
      <c r="B21" s="14" t="s">
        <v>389</v>
      </c>
      <c r="C21" s="14" t="s">
        <v>331</v>
      </c>
      <c r="D21" s="14" t="s">
        <v>390</v>
      </c>
      <c r="E21" s="14" t="s">
        <v>16</v>
      </c>
      <c r="F21" s="15">
        <v>75863</v>
      </c>
      <c r="G21" s="15">
        <v>75863</v>
      </c>
    </row>
    <row r="22" spans="1:7" x14ac:dyDescent="0.25">
      <c r="A22" s="13">
        <v>44651</v>
      </c>
      <c r="B22" s="14" t="s">
        <v>391</v>
      </c>
      <c r="C22" s="14" t="s">
        <v>331</v>
      </c>
      <c r="D22" s="14" t="s">
        <v>390</v>
      </c>
      <c r="E22" s="14" t="s">
        <v>16</v>
      </c>
      <c r="F22" s="15">
        <v>149509</v>
      </c>
      <c r="G22" s="15">
        <v>149509</v>
      </c>
    </row>
    <row r="23" spans="1:7" x14ac:dyDescent="0.25">
      <c r="A23" s="13">
        <v>44651</v>
      </c>
      <c r="B23" s="14" t="s">
        <v>392</v>
      </c>
      <c r="C23" s="14" t="s">
        <v>331</v>
      </c>
      <c r="D23" s="14" t="s">
        <v>390</v>
      </c>
      <c r="E23" s="14" t="s">
        <v>16</v>
      </c>
      <c r="F23" s="15">
        <v>63306</v>
      </c>
      <c r="G23" s="15">
        <v>63306</v>
      </c>
    </row>
    <row r="24" spans="1:7" x14ac:dyDescent="0.25">
      <c r="A24" s="13">
        <v>44651</v>
      </c>
      <c r="B24" s="14" t="s">
        <v>393</v>
      </c>
      <c r="C24" s="14" t="s">
        <v>331</v>
      </c>
      <c r="D24" s="14" t="s">
        <v>390</v>
      </c>
      <c r="E24" s="14" t="s">
        <v>16</v>
      </c>
      <c r="F24" s="15">
        <v>63839</v>
      </c>
      <c r="G24" s="15">
        <v>63839</v>
      </c>
    </row>
    <row r="25" spans="1:7" x14ac:dyDescent="0.25">
      <c r="A25" s="13">
        <v>44651</v>
      </c>
      <c r="B25" s="14" t="s">
        <v>394</v>
      </c>
      <c r="C25" s="14" t="s">
        <v>331</v>
      </c>
      <c r="D25" s="14" t="s">
        <v>390</v>
      </c>
      <c r="E25" s="14" t="s">
        <v>16</v>
      </c>
      <c r="F25" s="15">
        <v>40315</v>
      </c>
      <c r="G25" s="15">
        <v>40315</v>
      </c>
    </row>
    <row r="26" spans="1:7" x14ac:dyDescent="0.25">
      <c r="A26" s="13">
        <v>44651</v>
      </c>
      <c r="B26" s="14" t="s">
        <v>395</v>
      </c>
      <c r="C26" s="14" t="s">
        <v>331</v>
      </c>
      <c r="D26" s="14" t="s">
        <v>396</v>
      </c>
      <c r="E26" s="14" t="s">
        <v>16</v>
      </c>
      <c r="F26" s="15">
        <v>215688</v>
      </c>
      <c r="G26" s="15">
        <v>215688</v>
      </c>
    </row>
    <row r="27" spans="1:7" x14ac:dyDescent="0.25">
      <c r="A27" s="13">
        <v>44651</v>
      </c>
      <c r="B27" s="14" t="s">
        <v>397</v>
      </c>
      <c r="C27" s="14" t="s">
        <v>325</v>
      </c>
      <c r="D27" s="14" t="s">
        <v>57</v>
      </c>
      <c r="E27" s="14" t="s">
        <v>16</v>
      </c>
      <c r="F27" s="15">
        <v>53470</v>
      </c>
      <c r="G27" s="15">
        <v>53470</v>
      </c>
    </row>
    <row r="28" spans="1:7" x14ac:dyDescent="0.25">
      <c r="A28" s="13">
        <v>44651</v>
      </c>
      <c r="B28" s="14" t="s">
        <v>398</v>
      </c>
      <c r="C28" s="14" t="s">
        <v>325</v>
      </c>
      <c r="D28" s="14" t="s">
        <v>57</v>
      </c>
      <c r="E28" s="14" t="s">
        <v>16</v>
      </c>
      <c r="F28" s="15">
        <v>61600.35</v>
      </c>
      <c r="G28" s="15">
        <v>61600.35</v>
      </c>
    </row>
    <row r="29" spans="1:7" x14ac:dyDescent="0.25">
      <c r="A29" s="13">
        <v>44651</v>
      </c>
      <c r="B29" s="14" t="s">
        <v>399</v>
      </c>
      <c r="C29" s="14" t="s">
        <v>325</v>
      </c>
      <c r="D29" s="14" t="s">
        <v>57</v>
      </c>
      <c r="E29" s="14" t="s">
        <v>16</v>
      </c>
      <c r="F29" s="15">
        <v>54779.55</v>
      </c>
      <c r="G29" s="15">
        <v>54779.55</v>
      </c>
    </row>
    <row r="30" spans="1:7" x14ac:dyDescent="0.25">
      <c r="A30" s="13">
        <v>44681</v>
      </c>
      <c r="B30" s="14" t="s">
        <v>400</v>
      </c>
      <c r="C30" s="14" t="s">
        <v>331</v>
      </c>
      <c r="D30" s="14" t="s">
        <v>390</v>
      </c>
      <c r="E30" s="14" t="s">
        <v>16</v>
      </c>
      <c r="F30" s="15">
        <v>63037</v>
      </c>
      <c r="G30" s="15">
        <v>63037</v>
      </c>
    </row>
    <row r="31" spans="1:7" x14ac:dyDescent="0.25">
      <c r="A31" s="13">
        <v>44681</v>
      </c>
      <c r="B31" s="14" t="s">
        <v>401</v>
      </c>
      <c r="C31" s="14" t="s">
        <v>331</v>
      </c>
      <c r="D31" s="14" t="s">
        <v>390</v>
      </c>
      <c r="E31" s="14" t="s">
        <v>16</v>
      </c>
      <c r="F31" s="15">
        <v>13315</v>
      </c>
      <c r="G31" s="15">
        <v>13315</v>
      </c>
    </row>
    <row r="32" spans="1:7" x14ac:dyDescent="0.25">
      <c r="A32" s="13">
        <v>44681</v>
      </c>
      <c r="B32" s="14" t="s">
        <v>402</v>
      </c>
      <c r="C32" s="14" t="s">
        <v>331</v>
      </c>
      <c r="D32" s="14" t="s">
        <v>390</v>
      </c>
      <c r="E32" s="14" t="s">
        <v>16</v>
      </c>
      <c r="F32" s="15">
        <v>56770</v>
      </c>
      <c r="G32" s="15">
        <v>56770</v>
      </c>
    </row>
    <row r="33" spans="1:7" x14ac:dyDescent="0.25">
      <c r="A33" s="13">
        <v>44681</v>
      </c>
      <c r="B33" s="14" t="s">
        <v>403</v>
      </c>
      <c r="C33" s="14" t="s">
        <v>331</v>
      </c>
      <c r="D33" s="14" t="s">
        <v>390</v>
      </c>
      <c r="E33" s="14" t="s">
        <v>16</v>
      </c>
      <c r="F33" s="15">
        <v>13453</v>
      </c>
      <c r="G33" s="15">
        <v>13453</v>
      </c>
    </row>
    <row r="34" spans="1:7" x14ac:dyDescent="0.25">
      <c r="A34" s="13">
        <v>44681</v>
      </c>
      <c r="B34" s="14" t="s">
        <v>404</v>
      </c>
      <c r="C34" s="14" t="s">
        <v>331</v>
      </c>
      <c r="D34" s="14" t="s">
        <v>390</v>
      </c>
      <c r="E34" s="14" t="s">
        <v>16</v>
      </c>
      <c r="F34" s="15">
        <v>66432</v>
      </c>
      <c r="G34" s="15">
        <v>66432</v>
      </c>
    </row>
    <row r="35" spans="1:7" x14ac:dyDescent="0.25">
      <c r="A35" s="13">
        <v>44689</v>
      </c>
      <c r="B35" s="14" t="s">
        <v>405</v>
      </c>
      <c r="C35" s="14" t="s">
        <v>331</v>
      </c>
      <c r="D35" s="14" t="s">
        <v>396</v>
      </c>
      <c r="E35" s="14" t="s">
        <v>16</v>
      </c>
      <c r="F35" s="15">
        <v>221011.12</v>
      </c>
      <c r="G35" s="15">
        <v>221011.12</v>
      </c>
    </row>
    <row r="36" spans="1:7" x14ac:dyDescent="0.25">
      <c r="A36" s="13">
        <v>44694</v>
      </c>
      <c r="B36" s="14" t="s">
        <v>406</v>
      </c>
      <c r="C36" s="14" t="s">
        <v>331</v>
      </c>
      <c r="D36" s="14" t="s">
        <v>396</v>
      </c>
      <c r="E36" s="14" t="s">
        <v>16</v>
      </c>
      <c r="F36" s="15">
        <v>52105.52</v>
      </c>
      <c r="G36" s="15">
        <v>52105.52</v>
      </c>
    </row>
    <row r="37" spans="1:7" x14ac:dyDescent="0.25">
      <c r="A37" s="13">
        <v>44694</v>
      </c>
      <c r="B37" s="14" t="s">
        <v>407</v>
      </c>
      <c r="C37" s="14" t="s">
        <v>331</v>
      </c>
      <c r="D37" s="14" t="s">
        <v>396</v>
      </c>
      <c r="E37" s="14" t="s">
        <v>16</v>
      </c>
      <c r="F37" s="15">
        <v>51381.54</v>
      </c>
      <c r="G37" s="15">
        <v>51381.54</v>
      </c>
    </row>
    <row r="38" spans="1:7" x14ac:dyDescent="0.25">
      <c r="A38" s="13">
        <v>44694</v>
      </c>
      <c r="B38" s="14" t="s">
        <v>408</v>
      </c>
      <c r="C38" s="14" t="s">
        <v>331</v>
      </c>
      <c r="D38" s="14" t="s">
        <v>396</v>
      </c>
      <c r="E38" s="14" t="s">
        <v>16</v>
      </c>
      <c r="F38" s="15">
        <v>44989.88</v>
      </c>
      <c r="G38" s="15">
        <v>44989.88</v>
      </c>
    </row>
    <row r="39" spans="1:7" x14ac:dyDescent="0.25">
      <c r="A39" s="13">
        <v>44698</v>
      </c>
      <c r="B39" s="14" t="s">
        <v>409</v>
      </c>
      <c r="C39" s="14" t="s">
        <v>331</v>
      </c>
      <c r="D39" s="14" t="s">
        <v>390</v>
      </c>
      <c r="E39" s="14" t="s">
        <v>16</v>
      </c>
      <c r="F39" s="15">
        <v>154193.34</v>
      </c>
      <c r="G39" s="15">
        <v>154193.34</v>
      </c>
    </row>
    <row r="40" spans="1:7" x14ac:dyDescent="0.25">
      <c r="A40" s="13">
        <v>44703</v>
      </c>
      <c r="B40" s="14" t="s">
        <v>410</v>
      </c>
      <c r="C40" s="14" t="s">
        <v>331</v>
      </c>
      <c r="D40" s="14" t="s">
        <v>396</v>
      </c>
      <c r="E40" s="14" t="s">
        <v>16</v>
      </c>
      <c r="F40" s="15">
        <v>55022.1</v>
      </c>
      <c r="G40" s="15">
        <v>55022.1</v>
      </c>
    </row>
    <row r="41" spans="1:7" x14ac:dyDescent="0.25">
      <c r="A41" s="13">
        <v>44706</v>
      </c>
      <c r="B41" s="14" t="s">
        <v>411</v>
      </c>
      <c r="C41" s="14" t="s">
        <v>331</v>
      </c>
      <c r="D41" s="14" t="s">
        <v>390</v>
      </c>
      <c r="E41" s="14" t="s">
        <v>16</v>
      </c>
      <c r="F41" s="15">
        <v>68985</v>
      </c>
      <c r="G41" s="15">
        <v>68985</v>
      </c>
    </row>
    <row r="42" spans="1:7" x14ac:dyDescent="0.25">
      <c r="A42" s="13">
        <v>44739</v>
      </c>
      <c r="B42" s="14" t="s">
        <v>412</v>
      </c>
      <c r="C42" s="14" t="s">
        <v>331</v>
      </c>
      <c r="D42" s="14" t="s">
        <v>396</v>
      </c>
      <c r="E42" s="14" t="s">
        <v>16</v>
      </c>
      <c r="F42" s="15">
        <v>21465.68</v>
      </c>
      <c r="G42" s="15">
        <v>21465.68</v>
      </c>
    </row>
    <row r="43" spans="1:7" x14ac:dyDescent="0.25">
      <c r="A43" s="13">
        <v>44741</v>
      </c>
      <c r="B43" s="14" t="s">
        <v>413</v>
      </c>
      <c r="C43" s="14" t="s">
        <v>331</v>
      </c>
      <c r="D43" s="14" t="s">
        <v>396</v>
      </c>
      <c r="E43" s="14" t="s">
        <v>16</v>
      </c>
      <c r="F43" s="15">
        <v>16849.14</v>
      </c>
      <c r="G43" s="15">
        <v>16849.14</v>
      </c>
    </row>
    <row r="44" spans="1:7" x14ac:dyDescent="0.25">
      <c r="A44" s="13">
        <v>44834</v>
      </c>
      <c r="B44" s="14" t="s">
        <v>414</v>
      </c>
      <c r="C44" s="14" t="s">
        <v>331</v>
      </c>
      <c r="D44" s="14" t="s">
        <v>396</v>
      </c>
      <c r="E44" s="14" t="s">
        <v>16</v>
      </c>
      <c r="F44" s="15">
        <v>1417765.39</v>
      </c>
      <c r="G44" s="15">
        <v>1417765.39</v>
      </c>
    </row>
    <row r="45" spans="1:7" x14ac:dyDescent="0.25">
      <c r="A45" s="13">
        <v>44865</v>
      </c>
      <c r="B45" s="14" t="s">
        <v>415</v>
      </c>
      <c r="C45" s="14" t="s">
        <v>331</v>
      </c>
      <c r="D45" s="14" t="s">
        <v>396</v>
      </c>
      <c r="E45" s="14" t="s">
        <v>16</v>
      </c>
      <c r="F45" s="15">
        <v>980052</v>
      </c>
      <c r="G45" s="15">
        <v>980052</v>
      </c>
    </row>
    <row r="46" spans="1:7" x14ac:dyDescent="0.25">
      <c r="A46" s="13">
        <v>44922</v>
      </c>
      <c r="B46" s="14" t="s">
        <v>416</v>
      </c>
      <c r="C46" s="14" t="s">
        <v>277</v>
      </c>
      <c r="D46" s="14" t="s">
        <v>49</v>
      </c>
      <c r="E46" s="14" t="s">
        <v>16</v>
      </c>
      <c r="F46" s="15">
        <v>494217</v>
      </c>
      <c r="G46" s="15">
        <v>-494217</v>
      </c>
    </row>
    <row r="47" spans="1:7" x14ac:dyDescent="0.25">
      <c r="A47" s="13">
        <v>44925</v>
      </c>
      <c r="B47" s="14" t="s">
        <v>417</v>
      </c>
      <c r="C47" s="14" t="s">
        <v>331</v>
      </c>
      <c r="D47" s="14" t="s">
        <v>396</v>
      </c>
      <c r="E47" s="14" t="s">
        <v>16</v>
      </c>
      <c r="F47" s="15">
        <v>462914.76</v>
      </c>
      <c r="G47" s="15">
        <v>462914.76</v>
      </c>
    </row>
    <row r="48" spans="1:7" x14ac:dyDescent="0.25">
      <c r="A48" s="13">
        <v>44926</v>
      </c>
      <c r="B48" s="14" t="s">
        <v>418</v>
      </c>
      <c r="C48" s="14" t="s">
        <v>331</v>
      </c>
      <c r="D48" s="14" t="s">
        <v>396</v>
      </c>
      <c r="E48" s="14" t="s">
        <v>16</v>
      </c>
      <c r="F48" s="15">
        <v>596067</v>
      </c>
      <c r="G48" s="15">
        <v>596067</v>
      </c>
    </row>
    <row r="49" spans="1:7" x14ac:dyDescent="0.25">
      <c r="A49" s="13">
        <v>44926</v>
      </c>
      <c r="B49" s="14" t="s">
        <v>419</v>
      </c>
      <c r="C49" s="14" t="s">
        <v>234</v>
      </c>
      <c r="D49" s="14" t="s">
        <v>239</v>
      </c>
      <c r="E49" s="14" t="s">
        <v>16</v>
      </c>
      <c r="F49" s="15">
        <v>79500</v>
      </c>
      <c r="G49" s="15">
        <v>79500</v>
      </c>
    </row>
    <row r="50" spans="1:7" x14ac:dyDescent="0.25">
      <c r="A50" s="13">
        <v>44957</v>
      </c>
      <c r="B50" s="14" t="s">
        <v>420</v>
      </c>
      <c r="C50" s="14" t="s">
        <v>331</v>
      </c>
      <c r="D50" s="14" t="s">
        <v>396</v>
      </c>
      <c r="E50" s="14" t="s">
        <v>16</v>
      </c>
      <c r="F50" s="15">
        <v>612588.31999999995</v>
      </c>
      <c r="G50" s="15">
        <v>612588.31999999995</v>
      </c>
    </row>
    <row r="51" spans="1:7" x14ac:dyDescent="0.25">
      <c r="A51" s="13">
        <v>44981</v>
      </c>
      <c r="B51" s="14" t="s">
        <v>421</v>
      </c>
      <c r="C51" s="14" t="s">
        <v>277</v>
      </c>
      <c r="D51" s="14" t="s">
        <v>49</v>
      </c>
      <c r="E51" s="14" t="s">
        <v>16</v>
      </c>
      <c r="F51" s="15">
        <v>1530000</v>
      </c>
      <c r="G51" s="15">
        <v>-1530000</v>
      </c>
    </row>
    <row r="52" spans="1:7" x14ac:dyDescent="0.25">
      <c r="A52" s="13">
        <v>44985</v>
      </c>
      <c r="B52" s="14" t="s">
        <v>422</v>
      </c>
      <c r="C52" s="14" t="s">
        <v>331</v>
      </c>
      <c r="D52" s="14" t="s">
        <v>396</v>
      </c>
      <c r="E52" s="14" t="s">
        <v>16</v>
      </c>
      <c r="F52" s="15">
        <v>733184</v>
      </c>
      <c r="G52" s="15">
        <v>733184</v>
      </c>
    </row>
    <row r="53" spans="1:7" x14ac:dyDescent="0.25">
      <c r="A53" s="13">
        <v>45016</v>
      </c>
      <c r="B53" s="14" t="s">
        <v>423</v>
      </c>
      <c r="C53" s="14" t="s">
        <v>331</v>
      </c>
      <c r="D53" s="14" t="s">
        <v>396</v>
      </c>
      <c r="E53" s="14" t="s">
        <v>16</v>
      </c>
      <c r="F53" s="15">
        <v>1005523</v>
      </c>
      <c r="G53" s="15">
        <v>1005523</v>
      </c>
    </row>
    <row r="54" spans="1:7" x14ac:dyDescent="0.25">
      <c r="A54" s="13">
        <v>45034</v>
      </c>
      <c r="B54" s="14" t="s">
        <v>424</v>
      </c>
      <c r="C54" s="14" t="s">
        <v>277</v>
      </c>
      <c r="D54" s="14" t="s">
        <v>49</v>
      </c>
      <c r="E54" s="14" t="s">
        <v>16</v>
      </c>
      <c r="F54" s="15">
        <v>2468140</v>
      </c>
      <c r="G54" s="15">
        <v>-2468140</v>
      </c>
    </row>
    <row r="55" spans="1:7" x14ac:dyDescent="0.25">
      <c r="A55" s="13">
        <v>45046</v>
      </c>
      <c r="B55" s="14" t="s">
        <v>425</v>
      </c>
      <c r="C55" s="14" t="s">
        <v>331</v>
      </c>
      <c r="D55" s="14" t="s">
        <v>396</v>
      </c>
      <c r="E55" s="14" t="s">
        <v>16</v>
      </c>
      <c r="F55" s="15">
        <v>923351.47</v>
      </c>
      <c r="G55" s="15">
        <v>923351.47</v>
      </c>
    </row>
    <row r="56" spans="1:7" x14ac:dyDescent="0.25">
      <c r="A56" s="13">
        <v>45077</v>
      </c>
      <c r="B56" s="14" t="s">
        <v>426</v>
      </c>
      <c r="C56" s="14" t="s">
        <v>331</v>
      </c>
      <c r="D56" s="14" t="s">
        <v>396</v>
      </c>
      <c r="E56" s="14" t="s">
        <v>16</v>
      </c>
      <c r="F56" s="15">
        <v>77672.600000000006</v>
      </c>
      <c r="G56" s="15">
        <v>77672.600000000006</v>
      </c>
    </row>
    <row r="57" spans="1:7" x14ac:dyDescent="0.25">
      <c r="A57" s="13">
        <v>45104</v>
      </c>
      <c r="B57" s="14" t="s">
        <v>427</v>
      </c>
      <c r="C57" s="14" t="s">
        <v>107</v>
      </c>
      <c r="D57" s="14" t="s">
        <v>57</v>
      </c>
      <c r="E57" s="14" t="s">
        <v>16</v>
      </c>
      <c r="F57" s="15">
        <v>1800000</v>
      </c>
      <c r="G57" s="15">
        <v>1800000</v>
      </c>
    </row>
    <row r="58" spans="1:7" x14ac:dyDescent="0.25">
      <c r="A58" s="13">
        <v>45107</v>
      </c>
      <c r="B58" s="14" t="s">
        <v>428</v>
      </c>
      <c r="C58" s="14" t="s">
        <v>331</v>
      </c>
      <c r="D58" s="14" t="s">
        <v>396</v>
      </c>
      <c r="E58" s="14" t="s">
        <v>16</v>
      </c>
      <c r="F58" s="15">
        <v>262783</v>
      </c>
      <c r="G58" s="15">
        <v>262783</v>
      </c>
    </row>
    <row r="59" spans="1:7" x14ac:dyDescent="0.25">
      <c r="A59" s="13">
        <v>45138</v>
      </c>
      <c r="B59" s="14" t="s">
        <v>429</v>
      </c>
      <c r="C59" s="14" t="s">
        <v>331</v>
      </c>
      <c r="D59" s="14" t="s">
        <v>396</v>
      </c>
      <c r="E59" s="14" t="s">
        <v>16</v>
      </c>
      <c r="F59" s="15">
        <v>427811</v>
      </c>
      <c r="G59" s="15">
        <v>427811</v>
      </c>
    </row>
    <row r="60" spans="1:7" x14ac:dyDescent="0.25">
      <c r="A60" s="13">
        <v>45169</v>
      </c>
      <c r="B60" s="14" t="s">
        <v>430</v>
      </c>
      <c r="C60" s="14" t="s">
        <v>331</v>
      </c>
      <c r="D60" s="14" t="s">
        <v>396</v>
      </c>
      <c r="E60" s="14" t="s">
        <v>16</v>
      </c>
      <c r="F60" s="15">
        <v>323254</v>
      </c>
      <c r="G60" s="15">
        <v>323254</v>
      </c>
    </row>
    <row r="61" spans="1:7" x14ac:dyDescent="0.25">
      <c r="A61" s="13">
        <v>45199</v>
      </c>
      <c r="B61" s="14" t="s">
        <v>431</v>
      </c>
      <c r="C61" s="14" t="s">
        <v>331</v>
      </c>
      <c r="D61" s="14" t="s">
        <v>396</v>
      </c>
      <c r="E61" s="14" t="s">
        <v>16</v>
      </c>
      <c r="F61" s="15">
        <v>224431</v>
      </c>
      <c r="G61" s="15">
        <v>224431</v>
      </c>
    </row>
    <row r="62" spans="1:7" x14ac:dyDescent="0.25">
      <c r="A62" s="13">
        <v>45230</v>
      </c>
      <c r="B62" s="14" t="s">
        <v>432</v>
      </c>
      <c r="C62" s="14" t="s">
        <v>331</v>
      </c>
      <c r="D62" s="14" t="s">
        <v>396</v>
      </c>
      <c r="E62" s="14" t="s">
        <v>16</v>
      </c>
      <c r="F62" s="15">
        <v>402829</v>
      </c>
      <c r="G62" s="15">
        <v>402829</v>
      </c>
    </row>
    <row r="63" spans="1:7" x14ac:dyDescent="0.25">
      <c r="A63" s="13">
        <v>45260</v>
      </c>
      <c r="B63" s="14" t="s">
        <v>433</v>
      </c>
      <c r="C63" s="14" t="s">
        <v>331</v>
      </c>
      <c r="D63" s="14" t="s">
        <v>396</v>
      </c>
      <c r="E63" s="14" t="s">
        <v>16</v>
      </c>
      <c r="F63" s="15">
        <v>25684</v>
      </c>
      <c r="G63" s="15">
        <v>25684</v>
      </c>
    </row>
    <row r="64" spans="1:7" x14ac:dyDescent="0.25">
      <c r="A64" s="13">
        <v>45291</v>
      </c>
      <c r="B64" s="14" t="s">
        <v>434</v>
      </c>
      <c r="C64" s="14" t="s">
        <v>331</v>
      </c>
      <c r="D64" s="14" t="s">
        <v>396</v>
      </c>
      <c r="E64" s="14" t="s">
        <v>16</v>
      </c>
      <c r="F64" s="15">
        <v>173274</v>
      </c>
      <c r="G64" s="15">
        <v>173274</v>
      </c>
    </row>
    <row r="65" spans="1:7" x14ac:dyDescent="0.25">
      <c r="A65" s="13">
        <v>45316</v>
      </c>
      <c r="B65" s="14" t="s">
        <v>435</v>
      </c>
      <c r="C65" s="14" t="s">
        <v>277</v>
      </c>
      <c r="D65" s="14" t="s">
        <v>49</v>
      </c>
      <c r="E65" s="14" t="s">
        <v>16</v>
      </c>
      <c r="F65" s="15">
        <v>200000</v>
      </c>
      <c r="G65" s="15">
        <v>-200000</v>
      </c>
    </row>
    <row r="66" spans="1:7" x14ac:dyDescent="0.25">
      <c r="A66" s="13">
        <v>45322</v>
      </c>
      <c r="B66" s="14" t="s">
        <v>436</v>
      </c>
      <c r="C66" s="14" t="s">
        <v>331</v>
      </c>
      <c r="D66" s="14" t="s">
        <v>396</v>
      </c>
      <c r="E66" s="14" t="s">
        <v>16</v>
      </c>
      <c r="F66" s="15">
        <v>293047.34000000003</v>
      </c>
      <c r="G66" s="15">
        <v>293047.34000000003</v>
      </c>
    </row>
    <row r="67" spans="1:7" x14ac:dyDescent="0.25">
      <c r="A67" s="13">
        <v>45351</v>
      </c>
      <c r="B67" s="14" t="s">
        <v>437</v>
      </c>
      <c r="C67" s="14" t="s">
        <v>331</v>
      </c>
      <c r="D67" s="14" t="s">
        <v>396</v>
      </c>
      <c r="E67" s="14" t="s">
        <v>16</v>
      </c>
      <c r="F67" s="15">
        <v>119823</v>
      </c>
      <c r="G67" s="15">
        <v>119823</v>
      </c>
    </row>
    <row r="68" spans="1:7" x14ac:dyDescent="0.25">
      <c r="A68" s="13">
        <v>45382</v>
      </c>
      <c r="B68" s="14" t="s">
        <v>438</v>
      </c>
      <c r="C68" s="14" t="s">
        <v>331</v>
      </c>
      <c r="D68" s="14" t="s">
        <v>396</v>
      </c>
      <c r="E68" s="14" t="s">
        <v>16</v>
      </c>
      <c r="F68" s="15">
        <v>356279.65</v>
      </c>
      <c r="G68" s="15">
        <v>356279.65</v>
      </c>
    </row>
    <row r="69" spans="1:7" x14ac:dyDescent="0.25">
      <c r="A69" s="13">
        <v>45412</v>
      </c>
      <c r="B69" s="14" t="s">
        <v>439</v>
      </c>
      <c r="C69" s="14" t="s">
        <v>331</v>
      </c>
      <c r="D69" s="14" t="s">
        <v>396</v>
      </c>
      <c r="E69" s="14" t="s">
        <v>16</v>
      </c>
      <c r="F69" s="15">
        <v>172903.44</v>
      </c>
      <c r="G69" s="15">
        <v>172903.44</v>
      </c>
    </row>
    <row r="70" spans="1:7" x14ac:dyDescent="0.25">
      <c r="A70" s="13">
        <v>45434</v>
      </c>
      <c r="B70" s="14" t="s">
        <v>440</v>
      </c>
      <c r="C70" s="14" t="s">
        <v>166</v>
      </c>
      <c r="D70" s="14" t="s">
        <v>42</v>
      </c>
      <c r="E70" s="14" t="s">
        <v>16</v>
      </c>
      <c r="F70" s="15">
        <v>913160</v>
      </c>
      <c r="G70" s="15">
        <v>913160</v>
      </c>
    </row>
    <row r="71" spans="1:7" x14ac:dyDescent="0.25">
      <c r="A71" s="13">
        <v>45444</v>
      </c>
      <c r="B71" s="14" t="s">
        <v>441</v>
      </c>
      <c r="C71" s="14" t="s">
        <v>331</v>
      </c>
      <c r="D71" s="14" t="s">
        <v>396</v>
      </c>
      <c r="E71" s="14" t="s">
        <v>16</v>
      </c>
      <c r="F71" s="15">
        <v>286461.15999999997</v>
      </c>
      <c r="G71" s="15">
        <v>286461.15999999997</v>
      </c>
    </row>
    <row r="72" spans="1:7" x14ac:dyDescent="0.25">
      <c r="A72" s="13">
        <v>45474</v>
      </c>
      <c r="B72" s="14" t="s">
        <v>442</v>
      </c>
      <c r="C72" s="14" t="s">
        <v>331</v>
      </c>
      <c r="D72" s="14" t="s">
        <v>396</v>
      </c>
      <c r="E72" s="14" t="s">
        <v>16</v>
      </c>
      <c r="F72" s="15">
        <v>448716.52</v>
      </c>
      <c r="G72" s="15">
        <v>448716.52</v>
      </c>
    </row>
    <row r="73" spans="1:7" x14ac:dyDescent="0.25">
      <c r="A73" s="13">
        <v>45504</v>
      </c>
      <c r="B73" s="14" t="s">
        <v>443</v>
      </c>
      <c r="C73" s="14" t="s">
        <v>331</v>
      </c>
      <c r="D73" s="14" t="s">
        <v>396</v>
      </c>
      <c r="E73" s="14" t="s">
        <v>16</v>
      </c>
      <c r="F73" s="15">
        <v>745154.61</v>
      </c>
      <c r="G73" s="15">
        <v>745154.61</v>
      </c>
    </row>
    <row r="74" spans="1:7" x14ac:dyDescent="0.25">
      <c r="A74" s="13">
        <v>45512</v>
      </c>
      <c r="B74" s="14" t="s">
        <v>444</v>
      </c>
      <c r="C74" s="14" t="s">
        <v>307</v>
      </c>
      <c r="D74" s="14" t="s">
        <v>42</v>
      </c>
      <c r="E74" s="14" t="s">
        <v>16</v>
      </c>
      <c r="F74" s="15">
        <v>350000</v>
      </c>
      <c r="G74" s="15">
        <v>-350000</v>
      </c>
    </row>
    <row r="75" spans="1:7" x14ac:dyDescent="0.25">
      <c r="A75" s="13">
        <v>45594</v>
      </c>
      <c r="B75" s="14" t="s">
        <v>445</v>
      </c>
      <c r="C75" s="14" t="s">
        <v>135</v>
      </c>
      <c r="D75" s="14" t="s">
        <v>20</v>
      </c>
      <c r="E75" s="14" t="s">
        <v>16</v>
      </c>
      <c r="F75" s="15">
        <v>786935</v>
      </c>
      <c r="G75" s="15">
        <v>786935</v>
      </c>
    </row>
    <row r="76" spans="1:7" x14ac:dyDescent="0.25">
      <c r="A76" s="13">
        <v>45692</v>
      </c>
      <c r="B76" s="14" t="s">
        <v>446</v>
      </c>
      <c r="C76" s="14" t="s">
        <v>254</v>
      </c>
      <c r="D76" s="14"/>
      <c r="E76" s="14" t="s">
        <v>16</v>
      </c>
      <c r="F76" s="15">
        <v>13127.04</v>
      </c>
      <c r="G76" s="15">
        <v>-13127.04</v>
      </c>
    </row>
    <row r="77" spans="1:7" x14ac:dyDescent="0.25">
      <c r="A77" s="13">
        <v>45722</v>
      </c>
      <c r="B77" s="14" t="s">
        <v>447</v>
      </c>
      <c r="C77" s="14" t="s">
        <v>330</v>
      </c>
      <c r="D77" s="14" t="s">
        <v>42</v>
      </c>
      <c r="E77" s="14" t="s">
        <v>16</v>
      </c>
      <c r="F77" s="15">
        <v>819787.64</v>
      </c>
      <c r="G77" s="15">
        <v>819787.64</v>
      </c>
    </row>
    <row r="78" spans="1:7" x14ac:dyDescent="0.25">
      <c r="A78" s="13">
        <v>45747</v>
      </c>
      <c r="B78" s="14" t="s">
        <v>448</v>
      </c>
      <c r="C78" s="14" t="s">
        <v>246</v>
      </c>
      <c r="D78" s="14"/>
      <c r="E78" s="14" t="s">
        <v>16</v>
      </c>
      <c r="F78" s="15">
        <v>819292.57</v>
      </c>
      <c r="G78" s="15">
        <v>819292.57</v>
      </c>
    </row>
    <row r="79" spans="1:7" x14ac:dyDescent="0.25">
      <c r="A79" s="13">
        <v>45777</v>
      </c>
      <c r="B79" s="14" t="s">
        <v>449</v>
      </c>
      <c r="C79" s="14" t="s">
        <v>334</v>
      </c>
      <c r="D79" s="14" t="s">
        <v>82</v>
      </c>
      <c r="E79" s="14" t="s">
        <v>16</v>
      </c>
      <c r="F79" s="15">
        <v>1736215.04</v>
      </c>
      <c r="G79" s="15">
        <v>1736215.04</v>
      </c>
    </row>
    <row r="80" spans="1:7" x14ac:dyDescent="0.25">
      <c r="A80" s="13">
        <v>45798</v>
      </c>
      <c r="B80" s="14" t="s">
        <v>450</v>
      </c>
      <c r="C80" s="14" t="s">
        <v>126</v>
      </c>
      <c r="D80" s="14" t="s">
        <v>451</v>
      </c>
      <c r="E80" s="14" t="s">
        <v>16</v>
      </c>
      <c r="F80" s="15">
        <v>0.7</v>
      </c>
      <c r="G80" s="15">
        <v>0.7</v>
      </c>
    </row>
    <row r="81" spans="1:7" x14ac:dyDescent="0.25">
      <c r="A81" s="13">
        <v>45806</v>
      </c>
      <c r="B81" s="14" t="s">
        <v>452</v>
      </c>
      <c r="C81" s="14" t="s">
        <v>194</v>
      </c>
      <c r="D81" s="14" t="s">
        <v>66</v>
      </c>
      <c r="E81" s="14" t="s">
        <v>16</v>
      </c>
      <c r="F81" s="15">
        <v>172046</v>
      </c>
      <c r="G81" s="15">
        <v>172046</v>
      </c>
    </row>
    <row r="82" spans="1:7" x14ac:dyDescent="0.25">
      <c r="A82" s="13">
        <v>45808</v>
      </c>
      <c r="B82" s="14" t="s">
        <v>453</v>
      </c>
      <c r="C82" s="14" t="s">
        <v>334</v>
      </c>
      <c r="D82" s="14" t="s">
        <v>82</v>
      </c>
      <c r="E82" s="14" t="s">
        <v>16</v>
      </c>
      <c r="F82" s="15">
        <v>834281.26</v>
      </c>
      <c r="G82" s="15">
        <v>834281.26</v>
      </c>
    </row>
    <row r="83" spans="1:7" x14ac:dyDescent="0.25">
      <c r="A83" s="13">
        <v>45811</v>
      </c>
      <c r="B83" s="14" t="s">
        <v>454</v>
      </c>
      <c r="C83" s="14" t="s">
        <v>92</v>
      </c>
      <c r="D83" s="14" t="s">
        <v>20</v>
      </c>
      <c r="E83" s="14" t="s">
        <v>16</v>
      </c>
      <c r="F83" s="15">
        <v>0.2</v>
      </c>
      <c r="G83" s="15">
        <v>0.2</v>
      </c>
    </row>
    <row r="84" spans="1:7" x14ac:dyDescent="0.25">
      <c r="A84" s="13">
        <v>45812</v>
      </c>
      <c r="B84" s="14" t="s">
        <v>455</v>
      </c>
      <c r="C84" s="14" t="s">
        <v>307</v>
      </c>
      <c r="D84" s="14"/>
      <c r="E84" s="14" t="s">
        <v>16</v>
      </c>
      <c r="F84" s="15">
        <v>300000</v>
      </c>
      <c r="G84" s="15">
        <v>-300000</v>
      </c>
    </row>
    <row r="85" spans="1:7" x14ac:dyDescent="0.25">
      <c r="A85" s="13">
        <v>45813</v>
      </c>
      <c r="B85" s="14" t="s">
        <v>456</v>
      </c>
      <c r="C85" s="14" t="s">
        <v>200</v>
      </c>
      <c r="D85" s="14"/>
      <c r="E85" s="14" t="s">
        <v>16</v>
      </c>
      <c r="F85" s="15">
        <v>110487.82</v>
      </c>
      <c r="G85" s="15">
        <v>110487.82</v>
      </c>
    </row>
    <row r="86" spans="1:7" x14ac:dyDescent="0.25">
      <c r="A86" s="13">
        <v>45814</v>
      </c>
      <c r="B86" s="14" t="s">
        <v>457</v>
      </c>
      <c r="C86" s="14" t="s">
        <v>200</v>
      </c>
      <c r="D86" s="14"/>
      <c r="E86" s="14" t="s">
        <v>16</v>
      </c>
      <c r="F86" s="15">
        <v>100716</v>
      </c>
      <c r="G86" s="15">
        <v>100716</v>
      </c>
    </row>
    <row r="87" spans="1:7" x14ac:dyDescent="0.25">
      <c r="A87" s="13">
        <v>45818</v>
      </c>
      <c r="B87" s="14" t="s">
        <v>458</v>
      </c>
      <c r="C87" s="14" t="s">
        <v>200</v>
      </c>
      <c r="D87" s="14"/>
      <c r="E87" s="14" t="s">
        <v>16</v>
      </c>
      <c r="F87" s="15">
        <v>106677.9</v>
      </c>
      <c r="G87" s="15">
        <v>106677.9</v>
      </c>
    </row>
    <row r="88" spans="1:7" x14ac:dyDescent="0.25">
      <c r="A88" s="13">
        <v>45825</v>
      </c>
      <c r="B88" s="14" t="s">
        <v>459</v>
      </c>
      <c r="C88" s="14" t="s">
        <v>200</v>
      </c>
      <c r="D88" s="14"/>
      <c r="E88" s="14" t="s">
        <v>16</v>
      </c>
      <c r="F88" s="15">
        <v>108055.5</v>
      </c>
      <c r="G88" s="15">
        <v>108055.5</v>
      </c>
    </row>
    <row r="89" spans="1:7" x14ac:dyDescent="0.25">
      <c r="A89" s="13">
        <v>45826</v>
      </c>
      <c r="B89" s="14" t="s">
        <v>460</v>
      </c>
      <c r="C89" s="14" t="s">
        <v>37</v>
      </c>
      <c r="D89" s="14" t="s">
        <v>33</v>
      </c>
      <c r="E89" s="14" t="s">
        <v>16</v>
      </c>
      <c r="F89" s="15">
        <v>64759.02</v>
      </c>
      <c r="G89" s="15">
        <v>64759.02</v>
      </c>
    </row>
    <row r="90" spans="1:7" x14ac:dyDescent="0.25">
      <c r="A90" s="13">
        <v>45838</v>
      </c>
      <c r="B90" s="14" t="s">
        <v>461</v>
      </c>
      <c r="C90" s="14" t="s">
        <v>37</v>
      </c>
      <c r="D90" s="14"/>
      <c r="E90" s="14" t="s">
        <v>16</v>
      </c>
      <c r="F90" s="15">
        <v>246403.27</v>
      </c>
      <c r="G90" s="15">
        <v>246403.27</v>
      </c>
    </row>
    <row r="91" spans="1:7" x14ac:dyDescent="0.25">
      <c r="A91" s="13">
        <v>45838</v>
      </c>
      <c r="B91" s="14" t="s">
        <v>462</v>
      </c>
      <c r="C91" s="14" t="s">
        <v>335</v>
      </c>
      <c r="D91" s="14" t="s">
        <v>463</v>
      </c>
      <c r="E91" s="14" t="s">
        <v>16</v>
      </c>
      <c r="F91" s="15">
        <v>2972863.66</v>
      </c>
      <c r="G91" s="15">
        <v>2972863.66</v>
      </c>
    </row>
    <row r="92" spans="1:7" x14ac:dyDescent="0.25">
      <c r="A92" s="13">
        <v>45838</v>
      </c>
      <c r="B92" s="14" t="s">
        <v>464</v>
      </c>
      <c r="C92" s="14" t="s">
        <v>335</v>
      </c>
      <c r="D92" s="14" t="s">
        <v>42</v>
      </c>
      <c r="E92" s="14" t="s">
        <v>16</v>
      </c>
      <c r="F92" s="15">
        <v>1276850.75</v>
      </c>
      <c r="G92" s="15">
        <v>1276850.75</v>
      </c>
    </row>
    <row r="93" spans="1:7" x14ac:dyDescent="0.25">
      <c r="A93" s="13">
        <v>45839</v>
      </c>
      <c r="B93" s="14" t="s">
        <v>465</v>
      </c>
      <c r="C93" s="14" t="s">
        <v>334</v>
      </c>
      <c r="D93" s="14"/>
      <c r="E93" s="14" t="s">
        <v>16</v>
      </c>
      <c r="F93" s="15">
        <v>740750</v>
      </c>
      <c r="G93" s="15">
        <v>740750</v>
      </c>
    </row>
    <row r="94" spans="1:7" x14ac:dyDescent="0.25">
      <c r="A94" s="13">
        <v>45839</v>
      </c>
      <c r="B94" s="14" t="s">
        <v>466</v>
      </c>
      <c r="C94" s="14" t="s">
        <v>299</v>
      </c>
      <c r="D94" s="14"/>
      <c r="E94" s="14" t="s">
        <v>16</v>
      </c>
      <c r="F94" s="15">
        <v>649762.84</v>
      </c>
      <c r="G94" s="15">
        <v>-649762.84</v>
      </c>
    </row>
    <row r="95" spans="1:7" x14ac:dyDescent="0.25">
      <c r="A95" s="13">
        <v>45858</v>
      </c>
      <c r="B95" s="14" t="s">
        <v>467</v>
      </c>
      <c r="C95" s="14" t="s">
        <v>37</v>
      </c>
      <c r="D95" s="14"/>
      <c r="E95" s="14" t="s">
        <v>16</v>
      </c>
      <c r="F95" s="15">
        <v>99570</v>
      </c>
      <c r="G95" s="15">
        <v>99570</v>
      </c>
    </row>
    <row r="96" spans="1:7" x14ac:dyDescent="0.25">
      <c r="A96" s="13">
        <v>45863</v>
      </c>
      <c r="B96" s="14" t="s">
        <v>468</v>
      </c>
      <c r="C96" s="14" t="s">
        <v>37</v>
      </c>
      <c r="D96" s="14" t="s">
        <v>33</v>
      </c>
      <c r="E96" s="14" t="s">
        <v>16</v>
      </c>
      <c r="F96" s="15">
        <v>150479</v>
      </c>
      <c r="G96" s="15">
        <v>150479</v>
      </c>
    </row>
    <row r="97" spans="1:7" x14ac:dyDescent="0.25">
      <c r="A97" s="13">
        <v>45869</v>
      </c>
      <c r="B97" s="14" t="s">
        <v>469</v>
      </c>
      <c r="C97" s="14" t="s">
        <v>332</v>
      </c>
      <c r="D97" s="14"/>
      <c r="E97" s="14" t="s">
        <v>15</v>
      </c>
      <c r="F97" s="15">
        <v>1214662.68</v>
      </c>
      <c r="G97" s="15">
        <v>1214662.68</v>
      </c>
    </row>
    <row r="98" spans="1:7" x14ac:dyDescent="0.25">
      <c r="A98" s="13">
        <v>45869</v>
      </c>
      <c r="B98" s="14" t="s">
        <v>470</v>
      </c>
      <c r="C98" s="14" t="s">
        <v>334</v>
      </c>
      <c r="D98" s="14"/>
      <c r="E98" s="14" t="s">
        <v>15</v>
      </c>
      <c r="F98" s="15">
        <v>821726.7</v>
      </c>
      <c r="G98" s="15">
        <v>821726.7</v>
      </c>
    </row>
    <row r="99" spans="1:7" x14ac:dyDescent="0.25">
      <c r="A99" s="13">
        <v>45869</v>
      </c>
      <c r="B99" s="14" t="s">
        <v>471</v>
      </c>
      <c r="C99" s="14" t="s">
        <v>335</v>
      </c>
      <c r="D99" s="14"/>
      <c r="E99" s="14" t="s">
        <v>15</v>
      </c>
      <c r="F99" s="15">
        <v>540132.82999999996</v>
      </c>
      <c r="G99" s="15">
        <v>540132.82999999996</v>
      </c>
    </row>
    <row r="100" spans="1:7" x14ac:dyDescent="0.25">
      <c r="A100" s="13">
        <v>45869</v>
      </c>
      <c r="B100" s="14" t="s">
        <v>472</v>
      </c>
      <c r="C100" s="14" t="s">
        <v>329</v>
      </c>
      <c r="D100" s="14"/>
      <c r="E100" s="14" t="s">
        <v>15</v>
      </c>
      <c r="F100" s="15">
        <v>78487.5</v>
      </c>
      <c r="G100" s="15">
        <v>78487.5</v>
      </c>
    </row>
    <row r="101" spans="1:7" x14ac:dyDescent="0.25">
      <c r="A101" s="13">
        <v>45869</v>
      </c>
      <c r="B101" s="14" t="s">
        <v>473</v>
      </c>
      <c r="C101" s="14" t="s">
        <v>196</v>
      </c>
      <c r="D101" s="14" t="s">
        <v>451</v>
      </c>
      <c r="E101" s="14" t="s">
        <v>15</v>
      </c>
      <c r="F101" s="15">
        <v>200928.42</v>
      </c>
      <c r="G101" s="15">
        <v>200928.42</v>
      </c>
    </row>
    <row r="102" spans="1:7" x14ac:dyDescent="0.25">
      <c r="A102" s="13">
        <v>45874</v>
      </c>
      <c r="B102" s="14" t="s">
        <v>474</v>
      </c>
      <c r="C102" s="14" t="s">
        <v>327</v>
      </c>
      <c r="D102" s="14"/>
      <c r="E102" s="14" t="s">
        <v>15</v>
      </c>
      <c r="F102" s="15">
        <v>23600</v>
      </c>
      <c r="G102" s="15">
        <v>23600</v>
      </c>
    </row>
    <row r="103" spans="1:7" x14ac:dyDescent="0.25">
      <c r="A103" s="13">
        <v>45889</v>
      </c>
      <c r="B103" s="14" t="s">
        <v>475</v>
      </c>
      <c r="C103" s="14" t="s">
        <v>330</v>
      </c>
      <c r="D103" s="14"/>
      <c r="E103" s="14" t="s">
        <v>15</v>
      </c>
      <c r="F103" s="15">
        <v>297042</v>
      </c>
      <c r="G103" s="15">
        <v>297042</v>
      </c>
    </row>
    <row r="104" spans="1:7" x14ac:dyDescent="0.25">
      <c r="A104" s="13">
        <v>45891</v>
      </c>
      <c r="B104" s="14" t="s">
        <v>476</v>
      </c>
      <c r="C104" s="14" t="s">
        <v>37</v>
      </c>
      <c r="D104" s="14"/>
      <c r="E104" s="14" t="s">
        <v>15</v>
      </c>
      <c r="F104" s="15">
        <v>148183.88</v>
      </c>
      <c r="G104" s="15">
        <v>148183.88</v>
      </c>
    </row>
    <row r="105" spans="1:7" x14ac:dyDescent="0.25">
      <c r="A105" s="13">
        <v>45900</v>
      </c>
      <c r="B105" s="14" t="s">
        <v>477</v>
      </c>
      <c r="C105" s="14" t="s">
        <v>37</v>
      </c>
      <c r="D105" s="14"/>
      <c r="E105" s="14" t="s">
        <v>15</v>
      </c>
      <c r="F105" s="15">
        <v>315051.48</v>
      </c>
      <c r="G105" s="15">
        <v>315051.48</v>
      </c>
    </row>
    <row r="106" spans="1:7" x14ac:dyDescent="0.25">
      <c r="A106" s="13">
        <v>45900</v>
      </c>
      <c r="B106" s="14" t="s">
        <v>478</v>
      </c>
      <c r="C106" s="14" t="s">
        <v>334</v>
      </c>
      <c r="D106" s="14"/>
      <c r="E106" s="14" t="s">
        <v>15</v>
      </c>
      <c r="F106" s="15">
        <v>836447.59</v>
      </c>
      <c r="G106" s="15">
        <v>836447.59</v>
      </c>
    </row>
    <row r="107" spans="1:7" x14ac:dyDescent="0.25">
      <c r="A107" s="13">
        <v>45900</v>
      </c>
      <c r="B107" s="14" t="s">
        <v>479</v>
      </c>
      <c r="C107" s="14" t="s">
        <v>335</v>
      </c>
      <c r="D107" s="14"/>
      <c r="E107" s="14" t="s">
        <v>15</v>
      </c>
      <c r="F107" s="15">
        <v>470229.2</v>
      </c>
      <c r="G107" s="15">
        <v>470229.2</v>
      </c>
    </row>
    <row r="108" spans="1:7" x14ac:dyDescent="0.25">
      <c r="A108" s="13">
        <v>45900</v>
      </c>
      <c r="B108" s="14" t="s">
        <v>480</v>
      </c>
      <c r="C108" s="14" t="s">
        <v>335</v>
      </c>
      <c r="D108" s="14"/>
      <c r="E108" s="14" t="s">
        <v>15</v>
      </c>
      <c r="F108" s="15">
        <v>371831.28</v>
      </c>
      <c r="G108" s="15">
        <v>371831.28</v>
      </c>
    </row>
    <row r="109" spans="1:7" x14ac:dyDescent="0.25">
      <c r="A109" s="13">
        <v>45900</v>
      </c>
      <c r="B109" s="14" t="s">
        <v>481</v>
      </c>
      <c r="C109" s="14" t="s">
        <v>329</v>
      </c>
      <c r="D109" s="14"/>
      <c r="E109" s="14" t="s">
        <v>15</v>
      </c>
      <c r="F109" s="15">
        <v>39243.75</v>
      </c>
      <c r="G109" s="15">
        <v>39243.75</v>
      </c>
    </row>
    <row r="110" spans="1:7" x14ac:dyDescent="0.25">
      <c r="A110" s="13">
        <v>45900</v>
      </c>
      <c r="B110" s="14" t="s">
        <v>482</v>
      </c>
      <c r="C110" s="14" t="s">
        <v>246</v>
      </c>
      <c r="D110" s="14"/>
      <c r="E110" s="14" t="s">
        <v>15</v>
      </c>
      <c r="F110" s="15">
        <v>474690.06</v>
      </c>
      <c r="G110" s="15">
        <v>474690.06</v>
      </c>
    </row>
    <row r="111" spans="1:7" x14ac:dyDescent="0.25">
      <c r="A111" s="13">
        <v>45901</v>
      </c>
      <c r="B111" s="14" t="s">
        <v>483</v>
      </c>
      <c r="C111" s="14" t="s">
        <v>330</v>
      </c>
      <c r="D111" s="14"/>
      <c r="E111" s="14" t="s">
        <v>15</v>
      </c>
      <c r="F111" s="15">
        <v>516200</v>
      </c>
      <c r="G111" s="15">
        <v>516200</v>
      </c>
    </row>
    <row r="112" spans="1:7" x14ac:dyDescent="0.25">
      <c r="A112" s="13">
        <v>45902</v>
      </c>
      <c r="B112" s="14" t="s">
        <v>484</v>
      </c>
      <c r="C112" s="14" t="s">
        <v>330</v>
      </c>
      <c r="D112" s="14"/>
      <c r="E112" s="14" t="s">
        <v>15</v>
      </c>
      <c r="F112" s="15">
        <v>1032400</v>
      </c>
      <c r="G112" s="15">
        <v>1032400</v>
      </c>
    </row>
    <row r="113" spans="1:7" x14ac:dyDescent="0.25">
      <c r="A113" s="13">
        <v>45903</v>
      </c>
      <c r="B113" s="14" t="s">
        <v>485</v>
      </c>
      <c r="C113" s="14" t="s">
        <v>56</v>
      </c>
      <c r="D113" s="14" t="s">
        <v>42</v>
      </c>
      <c r="E113" s="14" t="s">
        <v>15</v>
      </c>
      <c r="F113" s="15">
        <v>359676</v>
      </c>
      <c r="G113" s="15">
        <v>359676</v>
      </c>
    </row>
    <row r="114" spans="1:7" x14ac:dyDescent="0.25">
      <c r="A114" s="13">
        <v>45904</v>
      </c>
      <c r="B114" s="14" t="s">
        <v>486</v>
      </c>
      <c r="C114" s="14" t="s">
        <v>330</v>
      </c>
      <c r="D114" s="14"/>
      <c r="E114" s="14" t="s">
        <v>15</v>
      </c>
      <c r="F114" s="15">
        <v>516200</v>
      </c>
      <c r="G114" s="15">
        <v>516200</v>
      </c>
    </row>
    <row r="115" spans="1:7" x14ac:dyDescent="0.25">
      <c r="A115" s="13">
        <v>45905</v>
      </c>
      <c r="B115" s="14" t="s">
        <v>487</v>
      </c>
      <c r="C115" s="14" t="s">
        <v>330</v>
      </c>
      <c r="D115" s="14"/>
      <c r="E115" s="14" t="s">
        <v>15</v>
      </c>
      <c r="F115" s="15">
        <v>516199.76</v>
      </c>
      <c r="G115" s="15">
        <v>516199.76</v>
      </c>
    </row>
    <row r="116" spans="1:7" x14ac:dyDescent="0.25">
      <c r="A116" s="13">
        <v>45906</v>
      </c>
      <c r="B116" s="14" t="s">
        <v>488</v>
      </c>
      <c r="C116" s="14" t="s">
        <v>56</v>
      </c>
      <c r="D116" s="14"/>
      <c r="E116" s="14" t="s">
        <v>15</v>
      </c>
      <c r="F116" s="15">
        <v>333716</v>
      </c>
      <c r="G116" s="15">
        <v>333716</v>
      </c>
    </row>
    <row r="117" spans="1:7" x14ac:dyDescent="0.25">
      <c r="A117" s="13">
        <v>45909</v>
      </c>
      <c r="B117" s="14" t="s">
        <v>489</v>
      </c>
      <c r="C117" s="14" t="s">
        <v>56</v>
      </c>
      <c r="D117" s="14"/>
      <c r="E117" s="14" t="s">
        <v>15</v>
      </c>
      <c r="F117" s="15">
        <v>353965</v>
      </c>
      <c r="G117" s="15">
        <v>353965</v>
      </c>
    </row>
    <row r="118" spans="1:7" x14ac:dyDescent="0.25">
      <c r="A118" s="13">
        <v>45919</v>
      </c>
      <c r="B118" s="14" t="s">
        <v>490</v>
      </c>
      <c r="C118" s="14" t="s">
        <v>254</v>
      </c>
      <c r="D118" s="14"/>
      <c r="E118" s="14" t="s">
        <v>15</v>
      </c>
      <c r="F118" s="15">
        <v>150000</v>
      </c>
      <c r="G118" s="15">
        <v>-150000</v>
      </c>
    </row>
    <row r="119" spans="1:7" x14ac:dyDescent="0.25">
      <c r="A119" s="13">
        <v>45919</v>
      </c>
      <c r="B119" s="14" t="s">
        <v>491</v>
      </c>
      <c r="C119" s="14" t="s">
        <v>287</v>
      </c>
      <c r="D119" s="14"/>
      <c r="E119" s="14" t="s">
        <v>15</v>
      </c>
      <c r="F119" s="15">
        <v>600000</v>
      </c>
      <c r="G119" s="15">
        <v>-600000</v>
      </c>
    </row>
    <row r="120" spans="1:7" x14ac:dyDescent="0.25">
      <c r="A120" s="13">
        <v>45929</v>
      </c>
      <c r="B120" s="14" t="s">
        <v>492</v>
      </c>
      <c r="C120" s="14" t="s">
        <v>329</v>
      </c>
      <c r="D120" s="14"/>
      <c r="E120" s="14" t="s">
        <v>15</v>
      </c>
      <c r="F120" s="15">
        <v>78487.5</v>
      </c>
      <c r="G120" s="15">
        <v>78487.5</v>
      </c>
    </row>
    <row r="121" spans="1:7" x14ac:dyDescent="0.25">
      <c r="A121" s="13">
        <v>45930</v>
      </c>
      <c r="B121" s="14" t="s">
        <v>493</v>
      </c>
      <c r="C121" s="14" t="s">
        <v>327</v>
      </c>
      <c r="D121" s="14"/>
      <c r="E121" s="14" t="s">
        <v>15</v>
      </c>
      <c r="F121" s="15">
        <v>63720</v>
      </c>
      <c r="G121" s="15">
        <v>63720</v>
      </c>
    </row>
    <row r="122" spans="1:7" x14ac:dyDescent="0.25">
      <c r="A122" s="13">
        <v>45930</v>
      </c>
      <c r="B122" s="14" t="s">
        <v>494</v>
      </c>
      <c r="C122" s="14" t="s">
        <v>334</v>
      </c>
      <c r="D122" s="14"/>
      <c r="E122" s="14" t="s">
        <v>15</v>
      </c>
      <c r="F122" s="15">
        <v>927486</v>
      </c>
      <c r="G122" s="15">
        <v>927486</v>
      </c>
    </row>
    <row r="123" spans="1:7" x14ac:dyDescent="0.25">
      <c r="A123" s="13">
        <v>45930</v>
      </c>
      <c r="B123" s="14" t="s">
        <v>495</v>
      </c>
      <c r="C123" s="14" t="s">
        <v>335</v>
      </c>
      <c r="D123" s="14"/>
      <c r="E123" s="14" t="s">
        <v>15</v>
      </c>
      <c r="F123" s="15">
        <v>311495.64</v>
      </c>
      <c r="G123" s="15">
        <v>311495.64</v>
      </c>
    </row>
    <row r="124" spans="1:7" x14ac:dyDescent="0.25">
      <c r="A124" s="13">
        <v>45930</v>
      </c>
      <c r="B124" s="14" t="s">
        <v>496</v>
      </c>
      <c r="C124" s="14" t="s">
        <v>335</v>
      </c>
      <c r="D124" s="14"/>
      <c r="E124" s="14" t="s">
        <v>15</v>
      </c>
      <c r="F124" s="15">
        <v>470229.6</v>
      </c>
      <c r="G124" s="15">
        <v>470229.6</v>
      </c>
    </row>
    <row r="125" spans="1:7" x14ac:dyDescent="0.25">
      <c r="A125" s="13">
        <v>45930</v>
      </c>
      <c r="B125" s="14" t="s">
        <v>497</v>
      </c>
      <c r="C125" s="14" t="s">
        <v>329</v>
      </c>
      <c r="D125" s="14"/>
      <c r="E125" s="14" t="s">
        <v>15</v>
      </c>
      <c r="F125" s="15">
        <v>180521.26</v>
      </c>
      <c r="G125" s="15">
        <v>180521.26</v>
      </c>
    </row>
    <row r="126" spans="1:7" x14ac:dyDescent="0.25">
      <c r="A126" s="13">
        <v>45930</v>
      </c>
      <c r="B126" s="14" t="s">
        <v>498</v>
      </c>
      <c r="C126" s="14" t="s">
        <v>329</v>
      </c>
      <c r="D126" s="14"/>
      <c r="E126" s="14" t="s">
        <v>15</v>
      </c>
      <c r="F126" s="15">
        <v>78487.5</v>
      </c>
      <c r="G126" s="15">
        <v>78487.5</v>
      </c>
    </row>
    <row r="127" spans="1:7" x14ac:dyDescent="0.25">
      <c r="A127" s="13">
        <v>45931</v>
      </c>
      <c r="B127" s="14" t="s">
        <v>499</v>
      </c>
      <c r="C127" s="14" t="s">
        <v>328</v>
      </c>
      <c r="D127" s="14"/>
      <c r="E127" s="14" t="s">
        <v>15</v>
      </c>
      <c r="F127" s="15">
        <v>41919.5</v>
      </c>
      <c r="G127" s="15">
        <v>41919.5</v>
      </c>
    </row>
    <row r="128" spans="1:7" x14ac:dyDescent="0.25">
      <c r="A128" s="13">
        <v>45931</v>
      </c>
      <c r="B128" s="14" t="s">
        <v>500</v>
      </c>
      <c r="C128" s="14" t="s">
        <v>328</v>
      </c>
      <c r="D128" s="14"/>
      <c r="E128" s="14" t="s">
        <v>15</v>
      </c>
      <c r="F128" s="15">
        <v>35931</v>
      </c>
      <c r="G128" s="15">
        <v>35931</v>
      </c>
    </row>
    <row r="129" spans="1:7" x14ac:dyDescent="0.25">
      <c r="A129" s="13">
        <v>45931</v>
      </c>
      <c r="B129" s="14" t="s">
        <v>501</v>
      </c>
      <c r="C129" s="14" t="s">
        <v>191</v>
      </c>
      <c r="D129" s="14"/>
      <c r="E129" s="14" t="s">
        <v>15</v>
      </c>
      <c r="F129" s="15">
        <v>81264.240000000005</v>
      </c>
      <c r="G129" s="15">
        <v>81264.240000000005</v>
      </c>
    </row>
    <row r="130" spans="1:7" x14ac:dyDescent="0.25">
      <c r="A130" s="13">
        <v>45931</v>
      </c>
      <c r="B130" s="14" t="s">
        <v>502</v>
      </c>
      <c r="C130" s="14" t="s">
        <v>191</v>
      </c>
      <c r="D130" s="14"/>
      <c r="E130" s="14" t="s">
        <v>15</v>
      </c>
      <c r="F130" s="15">
        <v>51455.360000000001</v>
      </c>
      <c r="G130" s="15">
        <v>51455.360000000001</v>
      </c>
    </row>
    <row r="131" spans="1:7" x14ac:dyDescent="0.25">
      <c r="A131" s="13">
        <v>45943</v>
      </c>
      <c r="B131" s="14" t="s">
        <v>503</v>
      </c>
      <c r="C131" s="14" t="s">
        <v>324</v>
      </c>
      <c r="D131" s="14"/>
      <c r="E131" s="14" t="s">
        <v>15</v>
      </c>
      <c r="F131" s="15">
        <v>590000</v>
      </c>
      <c r="G131" s="15">
        <v>590000</v>
      </c>
    </row>
    <row r="132" spans="1:7" x14ac:dyDescent="0.25">
      <c r="A132" s="13">
        <v>45943</v>
      </c>
      <c r="B132" s="14" t="s">
        <v>504</v>
      </c>
      <c r="C132" s="14" t="s">
        <v>327</v>
      </c>
      <c r="D132" s="14"/>
      <c r="E132" s="14" t="s">
        <v>15</v>
      </c>
      <c r="F132" s="15">
        <v>118000</v>
      </c>
      <c r="G132" s="15">
        <v>118000</v>
      </c>
    </row>
    <row r="133" spans="1:7" x14ac:dyDescent="0.25">
      <c r="A133" s="13">
        <v>45943</v>
      </c>
      <c r="B133" s="14" t="s">
        <v>505</v>
      </c>
      <c r="C133" s="14" t="s">
        <v>335</v>
      </c>
      <c r="D133" s="14"/>
      <c r="E133" s="14" t="s">
        <v>15</v>
      </c>
      <c r="F133" s="15">
        <v>100300</v>
      </c>
      <c r="G133" s="15">
        <v>100300</v>
      </c>
    </row>
    <row r="134" spans="1:7" x14ac:dyDescent="0.25">
      <c r="A134" s="13">
        <v>45943</v>
      </c>
      <c r="B134" s="14" t="s">
        <v>506</v>
      </c>
      <c r="C134" s="14" t="s">
        <v>322</v>
      </c>
      <c r="D134" s="14"/>
      <c r="E134" s="14" t="s">
        <v>15</v>
      </c>
      <c r="F134" s="15">
        <v>370425.59999999998</v>
      </c>
      <c r="G134" s="15">
        <v>370425.59999999998</v>
      </c>
    </row>
    <row r="135" spans="1:7" x14ac:dyDescent="0.25">
      <c r="A135" s="13">
        <v>45943</v>
      </c>
      <c r="B135" s="14" t="s">
        <v>507</v>
      </c>
      <c r="C135" s="14" t="s">
        <v>323</v>
      </c>
      <c r="D135" s="14"/>
      <c r="E135" s="14" t="s">
        <v>15</v>
      </c>
      <c r="F135" s="15">
        <v>98600</v>
      </c>
      <c r="G135" s="15">
        <v>98600</v>
      </c>
    </row>
    <row r="136" spans="1:7" x14ac:dyDescent="0.25">
      <c r="A136" s="13">
        <v>45943</v>
      </c>
      <c r="B136" s="14" t="s">
        <v>508</v>
      </c>
      <c r="C136" s="14" t="s">
        <v>323</v>
      </c>
      <c r="D136" s="14"/>
      <c r="E136" s="14" t="s">
        <v>15</v>
      </c>
      <c r="F136" s="15">
        <v>153946</v>
      </c>
      <c r="G136" s="15">
        <v>153946</v>
      </c>
    </row>
    <row r="137" spans="1:7" x14ac:dyDescent="0.25">
      <c r="A137" s="13">
        <v>45943</v>
      </c>
      <c r="B137" s="14" t="s">
        <v>509</v>
      </c>
      <c r="C137" s="14" t="s">
        <v>318</v>
      </c>
      <c r="D137" s="14"/>
      <c r="E137" s="14" t="s">
        <v>15</v>
      </c>
      <c r="F137" s="15">
        <v>30680</v>
      </c>
      <c r="G137" s="15">
        <v>30680</v>
      </c>
    </row>
    <row r="138" spans="1:7" x14ac:dyDescent="0.25">
      <c r="A138" s="13">
        <v>45943</v>
      </c>
      <c r="B138" s="14" t="s">
        <v>510</v>
      </c>
      <c r="C138" s="14" t="s">
        <v>329</v>
      </c>
      <c r="D138" s="14"/>
      <c r="E138" s="14" t="s">
        <v>15</v>
      </c>
      <c r="F138" s="15">
        <v>156975</v>
      </c>
      <c r="G138" s="15">
        <v>156975</v>
      </c>
    </row>
    <row r="139" spans="1:7" x14ac:dyDescent="0.25">
      <c r="A139" s="13">
        <v>45948</v>
      </c>
      <c r="B139" s="14" t="s">
        <v>511</v>
      </c>
      <c r="C139" s="14" t="s">
        <v>265</v>
      </c>
      <c r="D139" s="14"/>
      <c r="E139" s="14" t="s">
        <v>15</v>
      </c>
      <c r="F139" s="15">
        <v>13962953.220000001</v>
      </c>
      <c r="G139" s="15">
        <v>-13962953.220000001</v>
      </c>
    </row>
    <row r="140" spans="1:7" x14ac:dyDescent="0.25">
      <c r="A140" s="13">
        <v>45948</v>
      </c>
      <c r="B140" s="14" t="s">
        <v>511</v>
      </c>
      <c r="C140" s="14" t="s">
        <v>310</v>
      </c>
      <c r="D140" s="14"/>
      <c r="E140" s="14" t="s">
        <v>15</v>
      </c>
      <c r="F140" s="15">
        <v>9481609.8000000007</v>
      </c>
      <c r="G140" s="15">
        <v>-9481609.8000000007</v>
      </c>
    </row>
    <row r="141" spans="1:7" x14ac:dyDescent="0.25">
      <c r="A141" s="13">
        <v>45950</v>
      </c>
      <c r="B141" s="14" t="s">
        <v>512</v>
      </c>
      <c r="C141" s="14" t="s">
        <v>302</v>
      </c>
      <c r="D141" s="14"/>
      <c r="E141" s="14" t="s">
        <v>15</v>
      </c>
      <c r="F141" s="15">
        <v>141655</v>
      </c>
      <c r="G141" s="15">
        <v>-141655</v>
      </c>
    </row>
    <row r="142" spans="1:7" x14ac:dyDescent="0.25">
      <c r="A142" s="13">
        <v>45953</v>
      </c>
      <c r="B142" s="14" t="s">
        <v>513</v>
      </c>
      <c r="C142" s="14" t="s">
        <v>56</v>
      </c>
      <c r="D142" s="14"/>
      <c r="E142" s="14" t="s">
        <v>15</v>
      </c>
      <c r="F142" s="15">
        <v>308405</v>
      </c>
      <c r="G142" s="15">
        <v>308405</v>
      </c>
    </row>
    <row r="143" spans="1:7" x14ac:dyDescent="0.25">
      <c r="A143" s="13">
        <v>45953</v>
      </c>
      <c r="B143" s="14" t="s">
        <v>514</v>
      </c>
      <c r="C143" s="14" t="s">
        <v>274</v>
      </c>
      <c r="D143" s="14"/>
      <c r="E143" s="14" t="s">
        <v>15</v>
      </c>
      <c r="F143" s="15">
        <v>19032.8</v>
      </c>
      <c r="G143" s="15">
        <v>-19032.8</v>
      </c>
    </row>
    <row r="144" spans="1:7" x14ac:dyDescent="0.25">
      <c r="A144" s="13">
        <v>45961</v>
      </c>
      <c r="B144" s="14" t="s">
        <v>515</v>
      </c>
      <c r="C144" s="14" t="s">
        <v>37</v>
      </c>
      <c r="D144" s="14"/>
      <c r="E144" s="14" t="s">
        <v>15</v>
      </c>
      <c r="F144" s="15">
        <v>1220804.04</v>
      </c>
      <c r="G144" s="15">
        <v>1220804.04</v>
      </c>
    </row>
    <row r="145" spans="1:7" x14ac:dyDescent="0.25">
      <c r="A145" s="13">
        <v>45961</v>
      </c>
      <c r="B145" s="14" t="s">
        <v>516</v>
      </c>
      <c r="C145" s="14" t="s">
        <v>327</v>
      </c>
      <c r="D145" s="14"/>
      <c r="E145" s="14" t="s">
        <v>15</v>
      </c>
      <c r="F145" s="15">
        <v>63720</v>
      </c>
      <c r="G145" s="15">
        <v>63720</v>
      </c>
    </row>
    <row r="146" spans="1:7" x14ac:dyDescent="0.25">
      <c r="A146" s="13">
        <v>45961</v>
      </c>
      <c r="B146" s="14" t="s">
        <v>517</v>
      </c>
      <c r="C146" s="14" t="s">
        <v>334</v>
      </c>
      <c r="D146" s="14"/>
      <c r="E146" s="14" t="s">
        <v>15</v>
      </c>
      <c r="F146" s="15">
        <v>912752.5</v>
      </c>
      <c r="G146" s="15">
        <v>912752.5</v>
      </c>
    </row>
    <row r="147" spans="1:7" x14ac:dyDescent="0.25">
      <c r="A147" s="13">
        <v>45961</v>
      </c>
      <c r="B147" s="14" t="s">
        <v>518</v>
      </c>
      <c r="C147" s="14" t="s">
        <v>335</v>
      </c>
      <c r="D147" s="14"/>
      <c r="E147" s="14" t="s">
        <v>15</v>
      </c>
      <c r="F147" s="15">
        <v>470229.6</v>
      </c>
      <c r="G147" s="15">
        <v>470229.6</v>
      </c>
    </row>
    <row r="148" spans="1:7" x14ac:dyDescent="0.25">
      <c r="A148" s="13">
        <v>45961</v>
      </c>
      <c r="B148" s="14" t="s">
        <v>519</v>
      </c>
      <c r="C148" s="14" t="s">
        <v>335</v>
      </c>
      <c r="D148" s="14"/>
      <c r="E148" s="14" t="s">
        <v>15</v>
      </c>
      <c r="F148" s="15">
        <v>316850.64</v>
      </c>
      <c r="G148" s="15">
        <v>316850.64</v>
      </c>
    </row>
    <row r="149" spans="1:7" x14ac:dyDescent="0.25">
      <c r="A149" s="13">
        <v>45961</v>
      </c>
      <c r="B149" s="14" t="s">
        <v>520</v>
      </c>
      <c r="C149" s="14" t="s">
        <v>329</v>
      </c>
      <c r="D149" s="14"/>
      <c r="E149" s="14" t="s">
        <v>15</v>
      </c>
      <c r="F149" s="15">
        <v>78487.5</v>
      </c>
      <c r="G149" s="15">
        <v>78487.5</v>
      </c>
    </row>
    <row r="150" spans="1:7" x14ac:dyDescent="0.25">
      <c r="A150" s="13">
        <v>45961</v>
      </c>
      <c r="B150" s="14" t="s">
        <v>521</v>
      </c>
      <c r="C150" s="14" t="s">
        <v>330</v>
      </c>
      <c r="D150" s="14"/>
      <c r="E150" s="14" t="s">
        <v>15</v>
      </c>
      <c r="F150" s="15">
        <v>412960</v>
      </c>
      <c r="G150" s="15">
        <v>412960</v>
      </c>
    </row>
    <row r="151" spans="1:7" x14ac:dyDescent="0.25">
      <c r="A151" s="13">
        <v>45961</v>
      </c>
      <c r="B151" s="14" t="s">
        <v>522</v>
      </c>
      <c r="C151" s="14" t="s">
        <v>330</v>
      </c>
      <c r="D151" s="14"/>
      <c r="E151" s="14" t="s">
        <v>15</v>
      </c>
      <c r="F151" s="15">
        <v>412960</v>
      </c>
      <c r="G151" s="15">
        <v>412960</v>
      </c>
    </row>
    <row r="152" spans="1:7" x14ac:dyDescent="0.25">
      <c r="A152" s="13">
        <v>45962</v>
      </c>
      <c r="B152" s="14" t="s">
        <v>523</v>
      </c>
      <c r="C152" s="14" t="s">
        <v>47</v>
      </c>
      <c r="D152" s="14"/>
      <c r="E152" s="14" t="s">
        <v>15</v>
      </c>
      <c r="F152" s="15">
        <v>300000.02</v>
      </c>
      <c r="G152" s="15">
        <v>300000.02</v>
      </c>
    </row>
    <row r="153" spans="1:7" x14ac:dyDescent="0.25">
      <c r="A153" s="13">
        <v>45962</v>
      </c>
      <c r="B153" s="14" t="s">
        <v>524</v>
      </c>
      <c r="C153" s="14" t="s">
        <v>278</v>
      </c>
      <c r="D153" s="14"/>
      <c r="E153" s="14" t="s">
        <v>15</v>
      </c>
      <c r="F153" s="15">
        <v>653396</v>
      </c>
      <c r="G153" s="15">
        <v>-653396</v>
      </c>
    </row>
    <row r="154" spans="1:7" x14ac:dyDescent="0.25">
      <c r="A154" s="13">
        <v>45962</v>
      </c>
      <c r="B154" s="14" t="s">
        <v>525</v>
      </c>
      <c r="C154" s="14" t="s">
        <v>191</v>
      </c>
      <c r="D154" s="14"/>
      <c r="E154" s="14" t="s">
        <v>15</v>
      </c>
      <c r="F154" s="15">
        <v>78635.81</v>
      </c>
      <c r="G154" s="15">
        <v>78635.81</v>
      </c>
    </row>
    <row r="155" spans="1:7" x14ac:dyDescent="0.25">
      <c r="A155" s="13">
        <v>45962</v>
      </c>
      <c r="B155" s="14" t="s">
        <v>526</v>
      </c>
      <c r="C155" s="14" t="s">
        <v>191</v>
      </c>
      <c r="D155" s="14"/>
      <c r="E155" s="14" t="s">
        <v>15</v>
      </c>
      <c r="F155" s="15">
        <v>3435.24</v>
      </c>
      <c r="G155" s="15">
        <v>3435.24</v>
      </c>
    </row>
    <row r="156" spans="1:7" x14ac:dyDescent="0.25">
      <c r="A156" s="13">
        <v>45962</v>
      </c>
      <c r="B156" s="14" t="s">
        <v>527</v>
      </c>
      <c r="C156" s="14" t="s">
        <v>330</v>
      </c>
      <c r="D156" s="14"/>
      <c r="E156" s="14" t="s">
        <v>15</v>
      </c>
      <c r="F156" s="15">
        <v>103240</v>
      </c>
      <c r="G156" s="15">
        <v>103240</v>
      </c>
    </row>
    <row r="157" spans="1:7" x14ac:dyDescent="0.25">
      <c r="A157" s="13">
        <v>45962</v>
      </c>
      <c r="B157" s="14" t="s">
        <v>528</v>
      </c>
      <c r="C157" s="14" t="s">
        <v>330</v>
      </c>
      <c r="D157" s="14"/>
      <c r="E157" s="14" t="s">
        <v>15</v>
      </c>
      <c r="F157" s="15">
        <v>103240</v>
      </c>
      <c r="G157" s="15">
        <v>103240</v>
      </c>
    </row>
    <row r="158" spans="1:7" x14ac:dyDescent="0.25">
      <c r="A158" s="13">
        <v>45965</v>
      </c>
      <c r="B158" s="14" t="s">
        <v>529</v>
      </c>
      <c r="C158" s="14" t="s">
        <v>56</v>
      </c>
      <c r="D158" s="14"/>
      <c r="E158" s="14" t="s">
        <v>15</v>
      </c>
      <c r="F158" s="15">
        <v>313078</v>
      </c>
      <c r="G158" s="15">
        <v>313078</v>
      </c>
    </row>
    <row r="159" spans="1:7" x14ac:dyDescent="0.25">
      <c r="A159" s="13">
        <v>45967</v>
      </c>
      <c r="B159" s="14" t="s">
        <v>530</v>
      </c>
      <c r="C159" s="14" t="s">
        <v>56</v>
      </c>
      <c r="D159" s="14"/>
      <c r="E159" s="14" t="s">
        <v>15</v>
      </c>
      <c r="F159" s="15">
        <v>327745</v>
      </c>
      <c r="G159" s="15">
        <v>327745</v>
      </c>
    </row>
    <row r="160" spans="1:7" x14ac:dyDescent="0.25">
      <c r="A160" s="13">
        <v>45967</v>
      </c>
      <c r="B160" s="14" t="s">
        <v>531</v>
      </c>
      <c r="C160" s="14" t="s">
        <v>329</v>
      </c>
      <c r="D160" s="14"/>
      <c r="E160" s="14" t="s">
        <v>15</v>
      </c>
      <c r="F160" s="15">
        <v>156975</v>
      </c>
      <c r="G160" s="15">
        <v>156975</v>
      </c>
    </row>
    <row r="161" spans="1:7" x14ac:dyDescent="0.25">
      <c r="A161" s="13">
        <v>45969</v>
      </c>
      <c r="B161" s="14" t="s">
        <v>532</v>
      </c>
      <c r="C161" s="14" t="s">
        <v>56</v>
      </c>
      <c r="D161" s="14"/>
      <c r="E161" s="14" t="s">
        <v>15</v>
      </c>
      <c r="F161" s="15">
        <v>347864</v>
      </c>
      <c r="G161" s="15">
        <v>347864</v>
      </c>
    </row>
    <row r="162" spans="1:7" x14ac:dyDescent="0.25">
      <c r="A162" s="13">
        <v>45971</v>
      </c>
      <c r="B162" s="14" t="s">
        <v>533</v>
      </c>
      <c r="C162" s="14" t="s">
        <v>191</v>
      </c>
      <c r="D162" s="14"/>
      <c r="E162" s="14" t="s">
        <v>15</v>
      </c>
      <c r="F162" s="15">
        <v>78968.320000000007</v>
      </c>
      <c r="G162" s="15">
        <v>78968.320000000007</v>
      </c>
    </row>
    <row r="163" spans="1:7" x14ac:dyDescent="0.25">
      <c r="A163" s="13">
        <v>45972</v>
      </c>
      <c r="B163" s="14" t="s">
        <v>534</v>
      </c>
      <c r="C163" s="14" t="s">
        <v>191</v>
      </c>
      <c r="D163" s="14"/>
      <c r="E163" s="14" t="s">
        <v>15</v>
      </c>
      <c r="F163" s="15">
        <v>79887.240000000005</v>
      </c>
      <c r="G163" s="15">
        <v>79887.240000000005</v>
      </c>
    </row>
    <row r="164" spans="1:7" x14ac:dyDescent="0.25">
      <c r="A164" s="13">
        <v>45972</v>
      </c>
      <c r="B164" s="14" t="s">
        <v>535</v>
      </c>
      <c r="C164" s="14" t="s">
        <v>191</v>
      </c>
      <c r="D164" s="14"/>
      <c r="E164" s="14" t="s">
        <v>15</v>
      </c>
      <c r="F164" s="15">
        <v>51538.400000000001</v>
      </c>
      <c r="G164" s="15">
        <v>51538.400000000001</v>
      </c>
    </row>
    <row r="165" spans="1:7" x14ac:dyDescent="0.25">
      <c r="A165" s="13">
        <v>45973</v>
      </c>
      <c r="B165" s="14" t="s">
        <v>536</v>
      </c>
      <c r="C165" s="14" t="s">
        <v>56</v>
      </c>
      <c r="D165" s="14"/>
      <c r="E165" s="14" t="s">
        <v>15</v>
      </c>
      <c r="F165" s="15">
        <v>202488</v>
      </c>
      <c r="G165" s="15">
        <v>202488</v>
      </c>
    </row>
    <row r="166" spans="1:7" x14ac:dyDescent="0.25">
      <c r="A166" s="13">
        <v>45977</v>
      </c>
      <c r="B166" s="14" t="s">
        <v>537</v>
      </c>
      <c r="C166" s="14" t="s">
        <v>56</v>
      </c>
      <c r="D166" s="14"/>
      <c r="E166" s="14" t="s">
        <v>15</v>
      </c>
      <c r="F166" s="15">
        <v>306847.2</v>
      </c>
      <c r="G166" s="15">
        <v>306847.2</v>
      </c>
    </row>
    <row r="167" spans="1:7" x14ac:dyDescent="0.25">
      <c r="A167" s="13">
        <v>45979</v>
      </c>
      <c r="B167" s="14" t="s">
        <v>538</v>
      </c>
      <c r="C167" s="14" t="s">
        <v>329</v>
      </c>
      <c r="D167" s="14"/>
      <c r="E167" s="14" t="s">
        <v>15</v>
      </c>
      <c r="F167" s="15">
        <v>78487.5</v>
      </c>
      <c r="G167" s="15">
        <v>78487.5</v>
      </c>
    </row>
    <row r="168" spans="1:7" x14ac:dyDescent="0.25">
      <c r="A168" s="13">
        <v>45985</v>
      </c>
      <c r="B168" s="14" t="s">
        <v>539</v>
      </c>
      <c r="C168" s="14" t="s">
        <v>329</v>
      </c>
      <c r="D168" s="14"/>
      <c r="E168" s="14" t="s">
        <v>15</v>
      </c>
      <c r="F168" s="15">
        <v>47092.5</v>
      </c>
      <c r="G168" s="15">
        <v>47092.5</v>
      </c>
    </row>
    <row r="169" spans="1:7" x14ac:dyDescent="0.25">
      <c r="A169" s="13">
        <v>45985</v>
      </c>
      <c r="B169" s="14" t="s">
        <v>540</v>
      </c>
      <c r="C169" s="14" t="s">
        <v>329</v>
      </c>
      <c r="D169" s="14"/>
      <c r="E169" s="14" t="s">
        <v>15</v>
      </c>
      <c r="F169" s="15">
        <v>188370</v>
      </c>
      <c r="G169" s="15">
        <v>188370</v>
      </c>
    </row>
    <row r="170" spans="1:7" x14ac:dyDescent="0.25">
      <c r="A170" s="13">
        <v>45985</v>
      </c>
      <c r="B170" s="14" t="s">
        <v>541</v>
      </c>
      <c r="C170" s="14" t="s">
        <v>329</v>
      </c>
      <c r="D170" s="14"/>
      <c r="E170" s="14" t="s">
        <v>15</v>
      </c>
      <c r="F170" s="15">
        <v>72600.929999999993</v>
      </c>
      <c r="G170" s="15">
        <v>72600.929999999993</v>
      </c>
    </row>
    <row r="171" spans="1:7" x14ac:dyDescent="0.25">
      <c r="A171" s="13">
        <v>45985</v>
      </c>
      <c r="B171" s="14" t="s">
        <v>542</v>
      </c>
      <c r="C171" s="14" t="s">
        <v>329</v>
      </c>
      <c r="D171" s="14"/>
      <c r="E171" s="14" t="s">
        <v>15</v>
      </c>
      <c r="F171" s="15">
        <v>123303.87</v>
      </c>
      <c r="G171" s="15">
        <v>123303.87</v>
      </c>
    </row>
    <row r="172" spans="1:7" x14ac:dyDescent="0.25">
      <c r="A172" s="13">
        <v>45985</v>
      </c>
      <c r="B172" s="14" t="s">
        <v>543</v>
      </c>
      <c r="C172" s="14" t="s">
        <v>329</v>
      </c>
      <c r="D172" s="14"/>
      <c r="E172" s="14" t="s">
        <v>15</v>
      </c>
      <c r="F172" s="15">
        <v>62790</v>
      </c>
      <c r="G172" s="15">
        <v>62790</v>
      </c>
    </row>
    <row r="173" spans="1:7" x14ac:dyDescent="0.25">
      <c r="A173" s="13">
        <v>45987</v>
      </c>
      <c r="B173" s="14" t="s">
        <v>544</v>
      </c>
      <c r="C173" s="14" t="s">
        <v>56</v>
      </c>
      <c r="D173" s="14"/>
      <c r="E173" s="14" t="s">
        <v>15</v>
      </c>
      <c r="F173" s="15">
        <v>318659</v>
      </c>
      <c r="G173" s="15">
        <v>318659</v>
      </c>
    </row>
    <row r="174" spans="1:7" x14ac:dyDescent="0.25">
      <c r="A174" s="13">
        <v>45990</v>
      </c>
      <c r="B174" s="14" t="s">
        <v>545</v>
      </c>
      <c r="C174" s="14" t="s">
        <v>330</v>
      </c>
      <c r="D174" s="14"/>
      <c r="E174" s="14" t="s">
        <v>15</v>
      </c>
      <c r="F174" s="15">
        <v>412960</v>
      </c>
      <c r="G174" s="15">
        <v>412960</v>
      </c>
    </row>
    <row r="175" spans="1:7" x14ac:dyDescent="0.25">
      <c r="A175" s="13">
        <v>45991</v>
      </c>
      <c r="B175" s="14" t="s">
        <v>546</v>
      </c>
      <c r="C175" s="14" t="s">
        <v>320</v>
      </c>
      <c r="D175" s="14"/>
      <c r="E175" s="14" t="s">
        <v>15</v>
      </c>
      <c r="F175" s="15">
        <v>215334</v>
      </c>
      <c r="G175" s="15">
        <v>215334</v>
      </c>
    </row>
    <row r="176" spans="1:7" x14ac:dyDescent="0.25">
      <c r="A176" s="13">
        <v>45991</v>
      </c>
      <c r="B176" s="14" t="s">
        <v>547</v>
      </c>
      <c r="C176" s="14" t="s">
        <v>334</v>
      </c>
      <c r="D176" s="14"/>
      <c r="E176" s="14" t="s">
        <v>15</v>
      </c>
      <c r="F176" s="15">
        <v>942269</v>
      </c>
      <c r="G176" s="15">
        <v>942269</v>
      </c>
    </row>
    <row r="177" spans="1:7" x14ac:dyDescent="0.25">
      <c r="A177" s="13">
        <v>45991</v>
      </c>
      <c r="B177" s="14" t="s">
        <v>548</v>
      </c>
      <c r="C177" s="14" t="s">
        <v>335</v>
      </c>
      <c r="D177" s="14"/>
      <c r="E177" s="14" t="s">
        <v>15</v>
      </c>
      <c r="F177" s="15">
        <v>262684</v>
      </c>
      <c r="G177" s="15">
        <v>262684</v>
      </c>
    </row>
    <row r="178" spans="1:7" x14ac:dyDescent="0.25">
      <c r="A178" s="13">
        <v>45993</v>
      </c>
      <c r="B178" s="14" t="s">
        <v>549</v>
      </c>
      <c r="C178" s="14" t="s">
        <v>56</v>
      </c>
      <c r="D178" s="14"/>
      <c r="E178" s="14" t="s">
        <v>15</v>
      </c>
      <c r="F178" s="15">
        <v>322293</v>
      </c>
      <c r="G178" s="15">
        <v>322293</v>
      </c>
    </row>
    <row r="179" spans="1:7" x14ac:dyDescent="0.25">
      <c r="A179" s="13">
        <v>46000</v>
      </c>
      <c r="B179" s="14" t="s">
        <v>550</v>
      </c>
      <c r="C179" s="14" t="s">
        <v>160</v>
      </c>
      <c r="D179" s="14" t="s">
        <v>49</v>
      </c>
      <c r="E179" s="14" t="s">
        <v>15</v>
      </c>
      <c r="F179" s="15">
        <v>231733</v>
      </c>
      <c r="G179" s="15">
        <v>231733</v>
      </c>
    </row>
    <row r="180" spans="1:7" x14ac:dyDescent="0.25">
      <c r="A180" s="13">
        <v>46000</v>
      </c>
      <c r="B180" s="14" t="s">
        <v>551</v>
      </c>
      <c r="C180" s="14" t="s">
        <v>329</v>
      </c>
      <c r="D180" s="14"/>
      <c r="E180" s="14" t="s">
        <v>15</v>
      </c>
      <c r="F180" s="15">
        <v>78487.5</v>
      </c>
      <c r="G180" s="15">
        <v>78487.5</v>
      </c>
    </row>
    <row r="181" spans="1:7" x14ac:dyDescent="0.25">
      <c r="A181" s="13">
        <v>46002</v>
      </c>
      <c r="B181" s="14" t="s">
        <v>552</v>
      </c>
      <c r="C181" s="14" t="s">
        <v>56</v>
      </c>
      <c r="D181" s="14"/>
      <c r="E181" s="14" t="s">
        <v>15</v>
      </c>
      <c r="F181" s="15">
        <v>334624</v>
      </c>
      <c r="G181" s="15">
        <v>334624</v>
      </c>
    </row>
    <row r="182" spans="1:7" x14ac:dyDescent="0.25">
      <c r="A182" s="13">
        <v>46007</v>
      </c>
      <c r="B182" s="14" t="s">
        <v>553</v>
      </c>
      <c r="C182" s="14" t="s">
        <v>329</v>
      </c>
      <c r="D182" s="14"/>
      <c r="E182" s="14" t="s">
        <v>15</v>
      </c>
      <c r="F182" s="15">
        <v>78487.5</v>
      </c>
      <c r="G182" s="15">
        <v>78487.5</v>
      </c>
    </row>
    <row r="183" spans="1:7" x14ac:dyDescent="0.25">
      <c r="A183" s="13">
        <v>46009</v>
      </c>
      <c r="B183" s="14" t="s">
        <v>554</v>
      </c>
      <c r="C183" s="14" t="s">
        <v>56</v>
      </c>
      <c r="D183" s="14" t="s">
        <v>451</v>
      </c>
      <c r="E183" s="14" t="s">
        <v>15</v>
      </c>
      <c r="F183" s="15">
        <v>329432</v>
      </c>
      <c r="G183" s="15">
        <v>329432</v>
      </c>
    </row>
    <row r="184" spans="1:7" x14ac:dyDescent="0.25">
      <c r="A184" s="13">
        <v>46011</v>
      </c>
      <c r="B184" s="14" t="s">
        <v>555</v>
      </c>
      <c r="C184" s="14" t="s">
        <v>329</v>
      </c>
      <c r="D184" s="14"/>
      <c r="E184" s="14" t="s">
        <v>15</v>
      </c>
      <c r="F184" s="15">
        <v>47092.5</v>
      </c>
      <c r="G184" s="15">
        <v>47092.5</v>
      </c>
    </row>
    <row r="185" spans="1:7" x14ac:dyDescent="0.25">
      <c r="A185" s="13">
        <v>46020</v>
      </c>
      <c r="B185" s="14" t="s">
        <v>556</v>
      </c>
      <c r="C185" s="14" t="s">
        <v>56</v>
      </c>
      <c r="D185" s="14"/>
      <c r="E185" s="14" t="s">
        <v>15</v>
      </c>
      <c r="F185" s="15">
        <v>403418</v>
      </c>
      <c r="G185" s="15">
        <v>403418</v>
      </c>
    </row>
    <row r="186" spans="1:7" x14ac:dyDescent="0.25">
      <c r="A186" s="13">
        <v>46020</v>
      </c>
      <c r="B186" s="14" t="s">
        <v>557</v>
      </c>
      <c r="C186" s="14" t="s">
        <v>334</v>
      </c>
      <c r="D186" s="14"/>
      <c r="E186" s="14" t="s">
        <v>15</v>
      </c>
      <c r="F186" s="15">
        <v>5000000</v>
      </c>
      <c r="G186" s="15">
        <v>5000000</v>
      </c>
    </row>
    <row r="187" spans="1:7" x14ac:dyDescent="0.25">
      <c r="A187" s="13">
        <v>46020</v>
      </c>
      <c r="B187" s="14" t="s">
        <v>558</v>
      </c>
      <c r="C187" s="14" t="s">
        <v>329</v>
      </c>
      <c r="D187" s="14"/>
      <c r="E187" s="14" t="s">
        <v>15</v>
      </c>
      <c r="F187" s="15">
        <v>156975</v>
      </c>
      <c r="G187" s="15">
        <v>156975</v>
      </c>
    </row>
    <row r="188" spans="1:7" x14ac:dyDescent="0.25">
      <c r="A188" s="13">
        <v>46020</v>
      </c>
      <c r="B188" s="14" t="s">
        <v>559</v>
      </c>
      <c r="C188" s="14" t="s">
        <v>329</v>
      </c>
      <c r="D188" s="14"/>
      <c r="E188" s="14" t="s">
        <v>15</v>
      </c>
      <c r="F188" s="15">
        <v>78487.5</v>
      </c>
      <c r="G188" s="15">
        <v>78487.5</v>
      </c>
    </row>
    <row r="189" spans="1:7" x14ac:dyDescent="0.25">
      <c r="A189" s="13">
        <v>46022</v>
      </c>
      <c r="B189" s="14" t="s">
        <v>560</v>
      </c>
      <c r="C189" s="14" t="s">
        <v>37</v>
      </c>
      <c r="D189" s="14"/>
      <c r="E189" s="14" t="s">
        <v>15</v>
      </c>
      <c r="F189" s="15">
        <v>413287.38</v>
      </c>
      <c r="G189" s="15">
        <v>413287.38</v>
      </c>
    </row>
    <row r="190" spans="1:7" x14ac:dyDescent="0.25">
      <c r="A190" s="13">
        <v>46022</v>
      </c>
      <c r="B190" s="14" t="s">
        <v>561</v>
      </c>
      <c r="C190" s="14" t="s">
        <v>37</v>
      </c>
      <c r="D190" s="14"/>
      <c r="E190" s="14" t="s">
        <v>15</v>
      </c>
      <c r="F190" s="15">
        <v>258691.14</v>
      </c>
      <c r="G190" s="15">
        <v>258691.14</v>
      </c>
    </row>
    <row r="191" spans="1:7" x14ac:dyDescent="0.25">
      <c r="A191" s="13">
        <v>46022</v>
      </c>
      <c r="B191" s="14" t="s">
        <v>562</v>
      </c>
      <c r="C191" s="14" t="s">
        <v>327</v>
      </c>
      <c r="D191" s="14"/>
      <c r="E191" s="14" t="s">
        <v>15</v>
      </c>
      <c r="F191" s="15">
        <v>42480</v>
      </c>
      <c r="G191" s="15">
        <v>42480</v>
      </c>
    </row>
    <row r="192" spans="1:7" x14ac:dyDescent="0.25">
      <c r="A192" s="13">
        <v>46022</v>
      </c>
      <c r="B192" s="14" t="s">
        <v>563</v>
      </c>
      <c r="C192" s="14" t="s">
        <v>327</v>
      </c>
      <c r="D192" s="14"/>
      <c r="E192" s="14" t="s">
        <v>15</v>
      </c>
      <c r="F192" s="15">
        <v>42480</v>
      </c>
      <c r="G192" s="15">
        <v>42480</v>
      </c>
    </row>
    <row r="193" spans="1:7" x14ac:dyDescent="0.25">
      <c r="A193" s="13">
        <v>46022</v>
      </c>
      <c r="B193" s="14" t="s">
        <v>564</v>
      </c>
      <c r="C193" s="14" t="s">
        <v>327</v>
      </c>
      <c r="D193" s="14"/>
      <c r="E193" s="14" t="s">
        <v>15</v>
      </c>
      <c r="F193" s="15">
        <v>42480</v>
      </c>
      <c r="G193" s="15">
        <v>42480</v>
      </c>
    </row>
    <row r="194" spans="1:7" x14ac:dyDescent="0.25">
      <c r="A194" s="13">
        <v>46022</v>
      </c>
      <c r="B194" s="14" t="s">
        <v>565</v>
      </c>
      <c r="C194" s="14" t="s">
        <v>334</v>
      </c>
      <c r="D194" s="14"/>
      <c r="E194" s="14" t="s">
        <v>15</v>
      </c>
      <c r="F194" s="15">
        <v>985730</v>
      </c>
      <c r="G194" s="15">
        <v>985730</v>
      </c>
    </row>
    <row r="195" spans="1:7" x14ac:dyDescent="0.25">
      <c r="A195" s="13">
        <v>46022</v>
      </c>
      <c r="B195" s="14" t="s">
        <v>566</v>
      </c>
      <c r="C195" s="14" t="s">
        <v>335</v>
      </c>
      <c r="D195" s="14"/>
      <c r="E195" s="14" t="s">
        <v>15</v>
      </c>
      <c r="F195" s="15">
        <v>375991.9</v>
      </c>
      <c r="G195" s="15">
        <v>375991.9</v>
      </c>
    </row>
    <row r="196" spans="1:7" x14ac:dyDescent="0.25">
      <c r="A196" s="13">
        <v>46022</v>
      </c>
      <c r="B196" s="14" t="s">
        <v>567</v>
      </c>
      <c r="C196" s="14" t="s">
        <v>335</v>
      </c>
      <c r="D196" s="14"/>
      <c r="E196" s="14" t="s">
        <v>15</v>
      </c>
      <c r="F196" s="15">
        <v>470229.6</v>
      </c>
      <c r="G196" s="15">
        <v>470229.6</v>
      </c>
    </row>
    <row r="197" spans="1:7" x14ac:dyDescent="0.25">
      <c r="A197" s="13">
        <v>46022</v>
      </c>
      <c r="B197" s="14" t="s">
        <v>568</v>
      </c>
      <c r="C197" s="14" t="s">
        <v>335</v>
      </c>
      <c r="D197" s="14"/>
      <c r="E197" s="14" t="s">
        <v>15</v>
      </c>
      <c r="F197" s="15">
        <v>19100.88</v>
      </c>
      <c r="G197" s="15">
        <v>19100.88</v>
      </c>
    </row>
    <row r="198" spans="1:7" x14ac:dyDescent="0.25">
      <c r="A198" s="13">
        <v>46022</v>
      </c>
      <c r="B198" s="14" t="s">
        <v>569</v>
      </c>
      <c r="C198" s="14" t="s">
        <v>329</v>
      </c>
      <c r="D198" s="14"/>
      <c r="E198" s="14" t="s">
        <v>15</v>
      </c>
      <c r="F198" s="15">
        <v>78487.5</v>
      </c>
      <c r="G198" s="15">
        <v>78487.5</v>
      </c>
    </row>
    <row r="199" spans="1:7" x14ac:dyDescent="0.25">
      <c r="A199" s="13">
        <v>46022</v>
      </c>
      <c r="B199" s="14" t="s">
        <v>570</v>
      </c>
      <c r="C199" s="14" t="s">
        <v>329</v>
      </c>
      <c r="D199" s="14"/>
      <c r="E199" s="14" t="s">
        <v>15</v>
      </c>
      <c r="F199" s="15">
        <v>180521.26</v>
      </c>
      <c r="G199" s="15">
        <v>180521.26</v>
      </c>
    </row>
    <row r="200" spans="1:7" x14ac:dyDescent="0.25">
      <c r="A200" s="13">
        <v>46022</v>
      </c>
      <c r="B200" s="14" t="s">
        <v>571</v>
      </c>
      <c r="C200" s="14" t="s">
        <v>329</v>
      </c>
      <c r="D200" s="14"/>
      <c r="E200" s="14" t="s">
        <v>15</v>
      </c>
      <c r="F200" s="15">
        <v>47092.5</v>
      </c>
      <c r="G200" s="15">
        <v>47092.5</v>
      </c>
    </row>
    <row r="201" spans="1:7" x14ac:dyDescent="0.25">
      <c r="A201" s="13">
        <v>46022</v>
      </c>
      <c r="B201" s="14" t="s">
        <v>572</v>
      </c>
      <c r="C201" s="14" t="s">
        <v>329</v>
      </c>
      <c r="D201" s="14"/>
      <c r="E201" s="14" t="s">
        <v>15</v>
      </c>
      <c r="F201" s="15">
        <v>156975</v>
      </c>
      <c r="G201" s="15">
        <v>156975</v>
      </c>
    </row>
    <row r="202" spans="1:7" x14ac:dyDescent="0.25">
      <c r="A202" s="13">
        <v>46022</v>
      </c>
      <c r="B202" s="14" t="s">
        <v>573</v>
      </c>
      <c r="C202" s="14" t="s">
        <v>329</v>
      </c>
      <c r="D202" s="14"/>
      <c r="E202" s="14" t="s">
        <v>15</v>
      </c>
      <c r="F202" s="15">
        <v>350839.12</v>
      </c>
      <c r="G202" s="15">
        <v>350839.12</v>
      </c>
    </row>
    <row r="203" spans="1:7" x14ac:dyDescent="0.25">
      <c r="A203" s="13">
        <v>46022</v>
      </c>
      <c r="B203" s="14" t="s">
        <v>574</v>
      </c>
      <c r="C203" s="14" t="s">
        <v>356</v>
      </c>
      <c r="D203" s="14"/>
      <c r="E203" s="14" t="s">
        <v>15</v>
      </c>
      <c r="F203" s="15">
        <v>46135.360000000001</v>
      </c>
      <c r="G203" s="15">
        <v>46135.360000000001</v>
      </c>
    </row>
    <row r="204" spans="1:7" x14ac:dyDescent="0.25">
      <c r="A204" s="13">
        <v>46022</v>
      </c>
      <c r="B204" s="14" t="s">
        <v>575</v>
      </c>
      <c r="C204" s="14" t="s">
        <v>330</v>
      </c>
      <c r="D204" s="14"/>
      <c r="E204" s="14" t="s">
        <v>15</v>
      </c>
      <c r="F204" s="15">
        <v>412960</v>
      </c>
      <c r="G204" s="15">
        <v>412960</v>
      </c>
    </row>
    <row r="205" spans="1:7" x14ac:dyDescent="0.25">
      <c r="A205" s="13">
        <v>46022</v>
      </c>
      <c r="B205" s="14" t="s">
        <v>576</v>
      </c>
      <c r="C205" s="14" t="s">
        <v>200</v>
      </c>
      <c r="D205" s="14"/>
      <c r="E205" s="14" t="s">
        <v>15</v>
      </c>
      <c r="F205" s="15">
        <v>125155.8</v>
      </c>
      <c r="G205" s="15">
        <v>125155.8</v>
      </c>
    </row>
    <row r="206" spans="1:7" x14ac:dyDescent="0.25">
      <c r="A206" s="13">
        <v>46023</v>
      </c>
      <c r="B206" s="14" t="s">
        <v>577</v>
      </c>
      <c r="C206" s="14" t="s">
        <v>333</v>
      </c>
      <c r="D206" s="14"/>
      <c r="E206" s="14" t="s">
        <v>15</v>
      </c>
      <c r="F206" s="15">
        <v>31752</v>
      </c>
      <c r="G206" s="15">
        <v>31752</v>
      </c>
    </row>
    <row r="207" spans="1:7" x14ac:dyDescent="0.25">
      <c r="A207" s="13">
        <v>46023</v>
      </c>
      <c r="B207" s="14" t="s">
        <v>578</v>
      </c>
      <c r="C207" s="14" t="s">
        <v>333</v>
      </c>
      <c r="D207" s="14"/>
      <c r="E207" s="14" t="s">
        <v>15</v>
      </c>
      <c r="F207" s="15">
        <v>16247.58</v>
      </c>
      <c r="G207" s="15">
        <v>16247.58</v>
      </c>
    </row>
    <row r="208" spans="1:7" x14ac:dyDescent="0.25">
      <c r="A208" s="13">
        <v>46023</v>
      </c>
      <c r="B208" s="14" t="s">
        <v>579</v>
      </c>
      <c r="C208" s="14" t="s">
        <v>333</v>
      </c>
      <c r="D208" s="14"/>
      <c r="E208" s="14" t="s">
        <v>15</v>
      </c>
      <c r="F208" s="15">
        <v>17106.96</v>
      </c>
      <c r="G208" s="15">
        <v>17106.96</v>
      </c>
    </row>
    <row r="209" spans="1:7" x14ac:dyDescent="0.25">
      <c r="A209" s="13">
        <v>46023</v>
      </c>
      <c r="B209" s="14" t="s">
        <v>580</v>
      </c>
      <c r="C209" s="14" t="s">
        <v>333</v>
      </c>
      <c r="D209" s="14"/>
      <c r="E209" s="14" t="s">
        <v>15</v>
      </c>
      <c r="F209" s="15">
        <v>8784</v>
      </c>
      <c r="G209" s="15">
        <v>8784</v>
      </c>
    </row>
    <row r="210" spans="1:7" x14ac:dyDescent="0.25">
      <c r="A210" s="13">
        <v>46023</v>
      </c>
      <c r="B210" s="14" t="s">
        <v>581</v>
      </c>
      <c r="C210" s="14" t="s">
        <v>333</v>
      </c>
      <c r="D210" s="14"/>
      <c r="E210" s="14" t="s">
        <v>15</v>
      </c>
      <c r="F210" s="15">
        <v>30157</v>
      </c>
      <c r="G210" s="15">
        <v>30157</v>
      </c>
    </row>
    <row r="211" spans="1:7" x14ac:dyDescent="0.25">
      <c r="A211" s="13">
        <v>46023</v>
      </c>
      <c r="B211" s="14" t="s">
        <v>582</v>
      </c>
      <c r="C211" s="14" t="s">
        <v>333</v>
      </c>
      <c r="D211" s="14"/>
      <c r="E211" s="14" t="s">
        <v>15</v>
      </c>
      <c r="F211" s="15">
        <v>34251</v>
      </c>
      <c r="G211" s="15">
        <v>34251</v>
      </c>
    </row>
    <row r="212" spans="1:7" x14ac:dyDescent="0.25">
      <c r="A212" s="13">
        <v>46023</v>
      </c>
      <c r="B212" s="14" t="s">
        <v>583</v>
      </c>
      <c r="C212" s="14" t="s">
        <v>333</v>
      </c>
      <c r="D212" s="14"/>
      <c r="E212" s="14" t="s">
        <v>15</v>
      </c>
      <c r="F212" s="15">
        <v>26975</v>
      </c>
      <c r="G212" s="15">
        <v>26975</v>
      </c>
    </row>
    <row r="213" spans="1:7" x14ac:dyDescent="0.25">
      <c r="A213" s="13">
        <v>46023</v>
      </c>
      <c r="B213" s="14" t="s">
        <v>584</v>
      </c>
      <c r="C213" s="14" t="s">
        <v>333</v>
      </c>
      <c r="D213" s="14"/>
      <c r="E213" s="14" t="s">
        <v>15</v>
      </c>
      <c r="F213" s="15">
        <v>30885</v>
      </c>
      <c r="G213" s="15">
        <v>30885</v>
      </c>
    </row>
    <row r="214" spans="1:7" x14ac:dyDescent="0.25">
      <c r="A214" s="13">
        <v>46023</v>
      </c>
      <c r="B214" s="14" t="s">
        <v>585</v>
      </c>
      <c r="C214" s="14" t="s">
        <v>333</v>
      </c>
      <c r="D214" s="14"/>
      <c r="E214" s="14" t="s">
        <v>15</v>
      </c>
      <c r="F214" s="15">
        <v>16679.740000000002</v>
      </c>
      <c r="G214" s="15">
        <v>16679.740000000002</v>
      </c>
    </row>
    <row r="215" spans="1:7" x14ac:dyDescent="0.25">
      <c r="A215" s="13">
        <v>46023</v>
      </c>
      <c r="B215" s="14" t="s">
        <v>586</v>
      </c>
      <c r="C215" s="14" t="s">
        <v>333</v>
      </c>
      <c r="D215" s="14"/>
      <c r="E215" s="14" t="s">
        <v>15</v>
      </c>
      <c r="F215" s="15">
        <v>17938.84</v>
      </c>
      <c r="G215" s="15">
        <v>17938.84</v>
      </c>
    </row>
    <row r="216" spans="1:7" x14ac:dyDescent="0.25">
      <c r="A216" s="13">
        <v>46023</v>
      </c>
      <c r="B216" s="14" t="s">
        <v>587</v>
      </c>
      <c r="C216" s="14" t="s">
        <v>333</v>
      </c>
      <c r="D216" s="14"/>
      <c r="E216" s="14" t="s">
        <v>15</v>
      </c>
      <c r="F216" s="15">
        <v>17147.240000000002</v>
      </c>
      <c r="G216" s="15">
        <v>17147.240000000002</v>
      </c>
    </row>
    <row r="217" spans="1:7" x14ac:dyDescent="0.25">
      <c r="A217" s="13">
        <v>46023</v>
      </c>
      <c r="B217" s="14" t="s">
        <v>588</v>
      </c>
      <c r="C217" s="14" t="s">
        <v>333</v>
      </c>
      <c r="D217" s="14"/>
      <c r="E217" s="14" t="s">
        <v>15</v>
      </c>
      <c r="F217" s="15">
        <v>18453.48</v>
      </c>
      <c r="G217" s="15">
        <v>18453.48</v>
      </c>
    </row>
    <row r="218" spans="1:7" x14ac:dyDescent="0.25">
      <c r="A218" s="13">
        <v>46023</v>
      </c>
      <c r="B218" s="14" t="s">
        <v>589</v>
      </c>
      <c r="C218" s="14" t="s">
        <v>333</v>
      </c>
      <c r="D218" s="14"/>
      <c r="E218" s="14" t="s">
        <v>15</v>
      </c>
      <c r="F218" s="15">
        <v>14532.76</v>
      </c>
      <c r="G218" s="15">
        <v>14532.76</v>
      </c>
    </row>
    <row r="219" spans="1:7" x14ac:dyDescent="0.25">
      <c r="A219" s="13">
        <v>46023</v>
      </c>
      <c r="B219" s="14" t="s">
        <v>590</v>
      </c>
      <c r="C219" s="14" t="s">
        <v>333</v>
      </c>
      <c r="D219" s="14"/>
      <c r="E219" s="14" t="s">
        <v>15</v>
      </c>
      <c r="F219" s="15">
        <v>16639.46</v>
      </c>
      <c r="G219" s="15">
        <v>16639.46</v>
      </c>
    </row>
    <row r="220" spans="1:7" x14ac:dyDescent="0.25">
      <c r="A220" s="13">
        <v>46026</v>
      </c>
      <c r="B220" s="14" t="s">
        <v>591</v>
      </c>
      <c r="C220" s="14" t="s">
        <v>56</v>
      </c>
      <c r="D220" s="14"/>
      <c r="E220" s="14" t="s">
        <v>15</v>
      </c>
      <c r="F220" s="15">
        <v>358637</v>
      </c>
      <c r="G220" s="15">
        <v>358637</v>
      </c>
    </row>
    <row r="221" spans="1:7" x14ac:dyDescent="0.25">
      <c r="A221" s="13">
        <v>46026</v>
      </c>
      <c r="B221" s="14" t="s">
        <v>592</v>
      </c>
      <c r="C221" s="14" t="s">
        <v>56</v>
      </c>
      <c r="D221" s="14"/>
      <c r="E221" s="14" t="s">
        <v>15</v>
      </c>
      <c r="F221" s="15">
        <v>462607</v>
      </c>
      <c r="G221" s="15">
        <v>462607</v>
      </c>
    </row>
    <row r="222" spans="1:7" x14ac:dyDescent="0.25">
      <c r="A222" s="13">
        <v>46031</v>
      </c>
      <c r="B222" s="14" t="s">
        <v>593</v>
      </c>
      <c r="C222" s="14" t="s">
        <v>56</v>
      </c>
      <c r="D222" s="14" t="s">
        <v>42</v>
      </c>
      <c r="E222" s="14" t="s">
        <v>15</v>
      </c>
      <c r="F222" s="15">
        <v>346566</v>
      </c>
      <c r="G222" s="15">
        <v>346566</v>
      </c>
    </row>
    <row r="223" spans="1:7" x14ac:dyDescent="0.25">
      <c r="A223" s="13">
        <v>46032</v>
      </c>
      <c r="B223" s="14" t="s">
        <v>594</v>
      </c>
      <c r="C223" s="14" t="s">
        <v>150</v>
      </c>
      <c r="D223" s="14" t="s">
        <v>463</v>
      </c>
      <c r="E223" s="14" t="s">
        <v>15</v>
      </c>
      <c r="F223" s="15">
        <v>186261.3</v>
      </c>
      <c r="G223" s="15">
        <v>186261.3</v>
      </c>
    </row>
    <row r="224" spans="1:7" x14ac:dyDescent="0.25">
      <c r="A224" s="13">
        <v>46037</v>
      </c>
      <c r="B224" s="14" t="s">
        <v>595</v>
      </c>
      <c r="C224" s="14" t="s">
        <v>262</v>
      </c>
      <c r="D224" s="14" t="s">
        <v>42</v>
      </c>
      <c r="E224" s="14" t="s">
        <v>15</v>
      </c>
      <c r="F224" s="15">
        <v>177504</v>
      </c>
      <c r="G224" s="15">
        <v>-177504</v>
      </c>
    </row>
    <row r="225" spans="1:7" x14ac:dyDescent="0.25">
      <c r="A225" s="13">
        <v>46039</v>
      </c>
      <c r="B225" s="14" t="s">
        <v>596</v>
      </c>
      <c r="C225" s="14" t="s">
        <v>329</v>
      </c>
      <c r="D225" s="14"/>
      <c r="E225" s="14" t="s">
        <v>15</v>
      </c>
      <c r="F225" s="15">
        <v>486622.5</v>
      </c>
      <c r="G225" s="15">
        <v>486622.5</v>
      </c>
    </row>
    <row r="226" spans="1:7" x14ac:dyDescent="0.25">
      <c r="A226" s="13">
        <v>46053</v>
      </c>
      <c r="B226" s="14" t="s">
        <v>597</v>
      </c>
      <c r="C226" s="14" t="s">
        <v>37</v>
      </c>
      <c r="D226" s="14"/>
      <c r="E226" s="14" t="s">
        <v>15</v>
      </c>
      <c r="F226" s="15">
        <v>165277.82</v>
      </c>
      <c r="G226" s="15">
        <v>165277.82</v>
      </c>
    </row>
    <row r="227" spans="1:7" x14ac:dyDescent="0.25">
      <c r="A227" s="13">
        <v>46053</v>
      </c>
      <c r="B227" s="14" t="s">
        <v>598</v>
      </c>
      <c r="C227" s="14" t="s">
        <v>37</v>
      </c>
      <c r="D227" s="14"/>
      <c r="E227" s="14" t="s">
        <v>15</v>
      </c>
      <c r="F227" s="15">
        <v>109589.03</v>
      </c>
      <c r="G227" s="15">
        <v>109589.03</v>
      </c>
    </row>
    <row r="228" spans="1:7" x14ac:dyDescent="0.25">
      <c r="A228" s="13">
        <v>46053</v>
      </c>
      <c r="B228" s="14" t="s">
        <v>599</v>
      </c>
      <c r="C228" s="14" t="s">
        <v>37</v>
      </c>
      <c r="D228" s="14"/>
      <c r="E228" s="14" t="s">
        <v>15</v>
      </c>
      <c r="F228" s="15">
        <v>157489.53</v>
      </c>
      <c r="G228" s="15">
        <v>157489.53</v>
      </c>
    </row>
    <row r="229" spans="1:7" x14ac:dyDescent="0.25">
      <c r="A229" s="13">
        <v>46053</v>
      </c>
      <c r="B229" s="14" t="s">
        <v>600</v>
      </c>
      <c r="C229" s="14" t="s">
        <v>37</v>
      </c>
      <c r="D229" s="14"/>
      <c r="E229" s="14" t="s">
        <v>15</v>
      </c>
      <c r="F229" s="15">
        <v>103573</v>
      </c>
      <c r="G229" s="15">
        <v>103573</v>
      </c>
    </row>
    <row r="230" spans="1:7" x14ac:dyDescent="0.25">
      <c r="A230" s="13">
        <v>46053</v>
      </c>
      <c r="B230" s="14" t="s">
        <v>601</v>
      </c>
      <c r="C230" s="14" t="s">
        <v>139</v>
      </c>
      <c r="D230" s="14" t="s">
        <v>602</v>
      </c>
      <c r="E230" s="14" t="s">
        <v>15</v>
      </c>
      <c r="F230" s="15">
        <v>944848.72</v>
      </c>
      <c r="G230" s="15">
        <v>944848.72</v>
      </c>
    </row>
    <row r="231" spans="1:7" x14ac:dyDescent="0.25">
      <c r="A231" s="13">
        <v>46053</v>
      </c>
      <c r="B231" s="14" t="s">
        <v>603</v>
      </c>
      <c r="C231" s="14" t="s">
        <v>327</v>
      </c>
      <c r="D231" s="14"/>
      <c r="E231" s="14" t="s">
        <v>15</v>
      </c>
      <c r="F231" s="15">
        <v>42480</v>
      </c>
      <c r="G231" s="15">
        <v>42480</v>
      </c>
    </row>
    <row r="232" spans="1:7" x14ac:dyDescent="0.25">
      <c r="A232" s="13">
        <v>46053</v>
      </c>
      <c r="B232" s="14" t="s">
        <v>604</v>
      </c>
      <c r="C232" s="14" t="s">
        <v>334</v>
      </c>
      <c r="D232" s="14"/>
      <c r="E232" s="14" t="s">
        <v>15</v>
      </c>
      <c r="F232" s="15">
        <v>1015478</v>
      </c>
      <c r="G232" s="15">
        <v>1015478</v>
      </c>
    </row>
    <row r="233" spans="1:7" x14ac:dyDescent="0.25">
      <c r="A233" s="13">
        <v>46053</v>
      </c>
      <c r="B233" s="14" t="s">
        <v>605</v>
      </c>
      <c r="C233" s="14" t="s">
        <v>335</v>
      </c>
      <c r="D233" s="14"/>
      <c r="E233" s="14" t="s">
        <v>15</v>
      </c>
      <c r="F233" s="15">
        <v>470229.6</v>
      </c>
      <c r="G233" s="15">
        <v>470229.6</v>
      </c>
    </row>
    <row r="234" spans="1:7" x14ac:dyDescent="0.25">
      <c r="A234" s="13">
        <v>46053</v>
      </c>
      <c r="B234" s="14" t="s">
        <v>606</v>
      </c>
      <c r="C234" s="14" t="s">
        <v>335</v>
      </c>
      <c r="D234" s="14"/>
      <c r="E234" s="14" t="s">
        <v>15</v>
      </c>
      <c r="F234" s="15">
        <v>470229.6</v>
      </c>
      <c r="G234" s="15">
        <v>470229.6</v>
      </c>
    </row>
    <row r="235" spans="1:7" x14ac:dyDescent="0.25">
      <c r="A235" s="13">
        <v>46053</v>
      </c>
      <c r="B235" s="14" t="s">
        <v>607</v>
      </c>
      <c r="C235" s="14" t="s">
        <v>329</v>
      </c>
      <c r="D235" s="14"/>
      <c r="E235" s="14" t="s">
        <v>15</v>
      </c>
      <c r="F235" s="15">
        <v>235462.5</v>
      </c>
      <c r="G235" s="15">
        <v>235462.5</v>
      </c>
    </row>
    <row r="236" spans="1:7" x14ac:dyDescent="0.25">
      <c r="A236" s="13">
        <v>46053</v>
      </c>
      <c r="B236" s="14" t="s">
        <v>608</v>
      </c>
      <c r="C236" s="14" t="s">
        <v>329</v>
      </c>
      <c r="D236" s="14"/>
      <c r="E236" s="14" t="s">
        <v>15</v>
      </c>
      <c r="F236" s="15">
        <v>62790</v>
      </c>
      <c r="G236" s="15">
        <v>62790</v>
      </c>
    </row>
    <row r="237" spans="1:7" x14ac:dyDescent="0.25">
      <c r="A237" s="13">
        <v>46053</v>
      </c>
      <c r="B237" s="14" t="s">
        <v>609</v>
      </c>
      <c r="C237" s="14" t="s">
        <v>330</v>
      </c>
      <c r="D237" s="14"/>
      <c r="E237" s="14" t="s">
        <v>15</v>
      </c>
      <c r="F237" s="15">
        <v>412960</v>
      </c>
      <c r="G237" s="15">
        <v>412960</v>
      </c>
    </row>
    <row r="238" spans="1:7" x14ac:dyDescent="0.25">
      <c r="A238" s="13">
        <v>46053</v>
      </c>
      <c r="B238" s="14" t="s">
        <v>610</v>
      </c>
      <c r="C238" s="14" t="s">
        <v>200</v>
      </c>
      <c r="D238" s="14"/>
      <c r="E238" s="14" t="s">
        <v>15</v>
      </c>
      <c r="F238" s="15">
        <v>114935.62</v>
      </c>
      <c r="G238" s="15">
        <v>114935.62</v>
      </c>
    </row>
    <row r="239" spans="1:7" x14ac:dyDescent="0.25">
      <c r="A239" s="13">
        <v>46053</v>
      </c>
      <c r="B239" s="14" t="s">
        <v>611</v>
      </c>
      <c r="C239" s="14" t="s">
        <v>248</v>
      </c>
      <c r="D239" s="14" t="s">
        <v>222</v>
      </c>
      <c r="E239" s="14" t="s">
        <v>15</v>
      </c>
      <c r="F239" s="15">
        <v>706225.28</v>
      </c>
      <c r="G239" s="15">
        <v>706225.28</v>
      </c>
    </row>
    <row r="240" spans="1:7" x14ac:dyDescent="0.25">
      <c r="A240" s="13">
        <v>46053</v>
      </c>
      <c r="B240" s="14" t="s">
        <v>612</v>
      </c>
      <c r="C240" s="14" t="s">
        <v>316</v>
      </c>
      <c r="D240" s="14"/>
      <c r="E240" s="14" t="s">
        <v>15</v>
      </c>
      <c r="F240" s="15">
        <v>21219.5</v>
      </c>
      <c r="G240" s="15">
        <v>-21219.5</v>
      </c>
    </row>
    <row r="241" spans="1:7" x14ac:dyDescent="0.25">
      <c r="A241" s="13">
        <v>46054</v>
      </c>
      <c r="B241" s="14" t="s">
        <v>613</v>
      </c>
      <c r="C241" s="14" t="s">
        <v>37</v>
      </c>
      <c r="D241" s="14"/>
      <c r="E241" s="14" t="s">
        <v>14</v>
      </c>
      <c r="F241" s="15">
        <v>256526.56</v>
      </c>
      <c r="G241" s="15">
        <v>256526.56</v>
      </c>
    </row>
    <row r="242" spans="1:7" x14ac:dyDescent="0.25">
      <c r="A242" s="13">
        <v>46054</v>
      </c>
      <c r="B242" s="14" t="s">
        <v>614</v>
      </c>
      <c r="C242" s="14" t="s">
        <v>37</v>
      </c>
      <c r="D242" s="14"/>
      <c r="E242" s="14" t="s">
        <v>14</v>
      </c>
      <c r="F242" s="15">
        <v>297214.08000000002</v>
      </c>
      <c r="G242" s="15">
        <v>297214.08000000002</v>
      </c>
    </row>
    <row r="243" spans="1:7" x14ac:dyDescent="0.25">
      <c r="A243" s="13">
        <v>46054</v>
      </c>
      <c r="B243" s="14" t="s">
        <v>615</v>
      </c>
      <c r="C243" s="14" t="s">
        <v>37</v>
      </c>
      <c r="D243" s="14"/>
      <c r="E243" s="14" t="s">
        <v>14</v>
      </c>
      <c r="F243" s="15">
        <v>1068128.28</v>
      </c>
      <c r="G243" s="15">
        <v>1068128.28</v>
      </c>
    </row>
    <row r="244" spans="1:7" x14ac:dyDescent="0.25">
      <c r="A244" s="13">
        <v>46060</v>
      </c>
      <c r="B244" s="14" t="s">
        <v>616</v>
      </c>
      <c r="C244" s="14" t="s">
        <v>56</v>
      </c>
      <c r="D244" s="14"/>
      <c r="E244" s="14" t="s">
        <v>14</v>
      </c>
      <c r="F244" s="15">
        <v>424057</v>
      </c>
      <c r="G244" s="15">
        <v>424057</v>
      </c>
    </row>
    <row r="245" spans="1:7" x14ac:dyDescent="0.25">
      <c r="A245" s="13">
        <v>46063</v>
      </c>
      <c r="B245" s="14" t="s">
        <v>617</v>
      </c>
      <c r="C245" s="14" t="s">
        <v>297</v>
      </c>
      <c r="D245" s="14" t="s">
        <v>42</v>
      </c>
      <c r="E245" s="14" t="s">
        <v>14</v>
      </c>
      <c r="F245" s="15">
        <v>400000</v>
      </c>
      <c r="G245" s="15">
        <v>-400000</v>
      </c>
    </row>
    <row r="246" spans="1:7" x14ac:dyDescent="0.25">
      <c r="A246" s="13">
        <v>46072</v>
      </c>
      <c r="B246" s="14" t="s">
        <v>618</v>
      </c>
      <c r="C246" s="14" t="s">
        <v>56</v>
      </c>
      <c r="D246" s="14" t="s">
        <v>49</v>
      </c>
      <c r="E246" s="14" t="s">
        <v>14</v>
      </c>
      <c r="F246" s="15">
        <v>408221</v>
      </c>
      <c r="G246" s="15">
        <v>408221</v>
      </c>
    </row>
    <row r="247" spans="1:7" x14ac:dyDescent="0.25">
      <c r="A247" s="13">
        <v>46073</v>
      </c>
      <c r="B247" s="14" t="s">
        <v>619</v>
      </c>
      <c r="C247" s="14" t="s">
        <v>150</v>
      </c>
      <c r="D247" s="14"/>
      <c r="E247" s="14" t="s">
        <v>14</v>
      </c>
      <c r="F247" s="15">
        <v>437373.82</v>
      </c>
      <c r="G247" s="15">
        <v>437373.82</v>
      </c>
    </row>
    <row r="248" spans="1:7" x14ac:dyDescent="0.25">
      <c r="A248" s="13">
        <v>46081</v>
      </c>
      <c r="B248" s="14" t="s">
        <v>620</v>
      </c>
      <c r="C248" s="14" t="s">
        <v>75</v>
      </c>
      <c r="D248" s="14"/>
      <c r="E248" s="14" t="s">
        <v>14</v>
      </c>
      <c r="F248" s="15">
        <v>174580</v>
      </c>
      <c r="G248" s="15">
        <v>174580</v>
      </c>
    </row>
    <row r="249" spans="1:7" x14ac:dyDescent="0.25">
      <c r="A249" s="13">
        <v>46081</v>
      </c>
      <c r="B249" s="14" t="s">
        <v>621</v>
      </c>
      <c r="C249" s="14" t="s">
        <v>75</v>
      </c>
      <c r="D249" s="14"/>
      <c r="E249" s="14" t="s">
        <v>14</v>
      </c>
      <c r="F249" s="15">
        <v>170520</v>
      </c>
      <c r="G249" s="15">
        <v>170520</v>
      </c>
    </row>
    <row r="250" spans="1:7" x14ac:dyDescent="0.25">
      <c r="A250" s="13">
        <v>46081</v>
      </c>
      <c r="B250" s="14" t="s">
        <v>622</v>
      </c>
      <c r="C250" s="14" t="s">
        <v>75</v>
      </c>
      <c r="D250" s="14"/>
      <c r="E250" s="14" t="s">
        <v>14</v>
      </c>
      <c r="F250" s="15">
        <v>113100</v>
      </c>
      <c r="G250" s="15">
        <v>113100</v>
      </c>
    </row>
    <row r="251" spans="1:7" x14ac:dyDescent="0.25">
      <c r="A251" s="13">
        <v>46081</v>
      </c>
      <c r="B251" s="14" t="s">
        <v>623</v>
      </c>
      <c r="C251" s="14" t="s">
        <v>75</v>
      </c>
      <c r="D251" s="14"/>
      <c r="E251" s="14" t="s">
        <v>14</v>
      </c>
      <c r="F251" s="15">
        <v>113100</v>
      </c>
      <c r="G251" s="15">
        <v>113100</v>
      </c>
    </row>
    <row r="252" spans="1:7" x14ac:dyDescent="0.25">
      <c r="A252" s="13">
        <v>46081</v>
      </c>
      <c r="B252" s="14" t="s">
        <v>624</v>
      </c>
      <c r="C252" s="14" t="s">
        <v>75</v>
      </c>
      <c r="D252" s="14"/>
      <c r="E252" s="14" t="s">
        <v>14</v>
      </c>
      <c r="F252" s="15">
        <v>116580</v>
      </c>
      <c r="G252" s="15">
        <v>116580</v>
      </c>
    </row>
    <row r="253" spans="1:7" x14ac:dyDescent="0.25">
      <c r="A253" s="13">
        <v>46081</v>
      </c>
      <c r="B253" s="14" t="s">
        <v>625</v>
      </c>
      <c r="C253" s="14" t="s">
        <v>75</v>
      </c>
      <c r="D253" s="14"/>
      <c r="E253" s="14" t="s">
        <v>14</v>
      </c>
      <c r="F253" s="15">
        <v>116580</v>
      </c>
      <c r="G253" s="15">
        <v>116580</v>
      </c>
    </row>
    <row r="254" spans="1:7" x14ac:dyDescent="0.25">
      <c r="A254" s="13">
        <v>46081</v>
      </c>
      <c r="B254" s="14" t="s">
        <v>626</v>
      </c>
      <c r="C254" s="14" t="s">
        <v>75</v>
      </c>
      <c r="D254" s="14"/>
      <c r="E254" s="14" t="s">
        <v>14</v>
      </c>
      <c r="F254" s="15">
        <v>118900</v>
      </c>
      <c r="G254" s="15">
        <v>118900</v>
      </c>
    </row>
    <row r="255" spans="1:7" x14ac:dyDescent="0.25">
      <c r="A255" s="13">
        <v>46081</v>
      </c>
      <c r="B255" s="14" t="s">
        <v>627</v>
      </c>
      <c r="C255" s="14" t="s">
        <v>75</v>
      </c>
      <c r="D255" s="14"/>
      <c r="E255" s="14" t="s">
        <v>14</v>
      </c>
      <c r="F255" s="15">
        <v>116580</v>
      </c>
      <c r="G255" s="15">
        <v>116580</v>
      </c>
    </row>
    <row r="256" spans="1:7" x14ac:dyDescent="0.25">
      <c r="A256" s="13">
        <v>46081</v>
      </c>
      <c r="B256" s="14" t="s">
        <v>628</v>
      </c>
      <c r="C256" s="14" t="s">
        <v>75</v>
      </c>
      <c r="D256" s="14"/>
      <c r="E256" s="14" t="s">
        <v>14</v>
      </c>
      <c r="F256" s="15">
        <v>118900</v>
      </c>
      <c r="G256" s="15">
        <v>118900</v>
      </c>
    </row>
    <row r="257" spans="1:7" x14ac:dyDescent="0.25">
      <c r="A257" s="13">
        <v>46081</v>
      </c>
      <c r="B257" s="14" t="s">
        <v>629</v>
      </c>
      <c r="C257" s="14" t="s">
        <v>75</v>
      </c>
      <c r="D257" s="14"/>
      <c r="E257" s="14" t="s">
        <v>14</v>
      </c>
      <c r="F257" s="15">
        <v>116580</v>
      </c>
      <c r="G257" s="15">
        <v>116580</v>
      </c>
    </row>
    <row r="258" spans="1:7" x14ac:dyDescent="0.25">
      <c r="A258" s="13">
        <v>46081</v>
      </c>
      <c r="B258" s="14" t="s">
        <v>630</v>
      </c>
      <c r="C258" s="14" t="s">
        <v>75</v>
      </c>
      <c r="D258" s="14"/>
      <c r="E258" s="14" t="s">
        <v>14</v>
      </c>
      <c r="F258" s="15">
        <v>130500</v>
      </c>
      <c r="G258" s="15">
        <v>130500</v>
      </c>
    </row>
    <row r="259" spans="1:7" x14ac:dyDescent="0.25">
      <c r="A259" s="13">
        <v>46081</v>
      </c>
      <c r="B259" s="14" t="s">
        <v>631</v>
      </c>
      <c r="C259" s="14" t="s">
        <v>332</v>
      </c>
      <c r="D259" s="14"/>
      <c r="E259" s="14" t="s">
        <v>14</v>
      </c>
      <c r="F259" s="15">
        <v>1998387.32</v>
      </c>
      <c r="G259" s="15">
        <v>1998387.32</v>
      </c>
    </row>
    <row r="260" spans="1:7" x14ac:dyDescent="0.25">
      <c r="A260" s="13">
        <v>46081</v>
      </c>
      <c r="B260" s="14" t="s">
        <v>632</v>
      </c>
      <c r="C260" s="14" t="s">
        <v>332</v>
      </c>
      <c r="D260" s="14"/>
      <c r="E260" s="14" t="s">
        <v>14</v>
      </c>
      <c r="F260" s="15">
        <v>2721491.86</v>
      </c>
      <c r="G260" s="15">
        <v>2721491.86</v>
      </c>
    </row>
    <row r="261" spans="1:7" x14ac:dyDescent="0.25">
      <c r="A261" s="13">
        <v>46081</v>
      </c>
      <c r="B261" s="14" t="s">
        <v>633</v>
      </c>
      <c r="C261" s="14" t="s">
        <v>327</v>
      </c>
      <c r="D261" s="14"/>
      <c r="E261" s="14" t="s">
        <v>14</v>
      </c>
      <c r="F261" s="15">
        <v>63720</v>
      </c>
      <c r="G261" s="15">
        <v>63720</v>
      </c>
    </row>
    <row r="262" spans="1:7" x14ac:dyDescent="0.25">
      <c r="A262" s="13">
        <v>46081</v>
      </c>
      <c r="B262" s="14" t="s">
        <v>634</v>
      </c>
      <c r="C262" s="14" t="s">
        <v>327</v>
      </c>
      <c r="D262" s="14"/>
      <c r="E262" s="14" t="s">
        <v>14</v>
      </c>
      <c r="F262" s="15">
        <v>5310</v>
      </c>
      <c r="G262" s="15">
        <v>5310</v>
      </c>
    </row>
    <row r="263" spans="1:7" x14ac:dyDescent="0.25">
      <c r="A263" s="13">
        <v>46081</v>
      </c>
      <c r="B263" s="14" t="s">
        <v>635</v>
      </c>
      <c r="C263" s="14" t="s">
        <v>327</v>
      </c>
      <c r="D263" s="14"/>
      <c r="E263" s="14" t="s">
        <v>14</v>
      </c>
      <c r="F263" s="15">
        <v>106200</v>
      </c>
      <c r="G263" s="15">
        <v>106200</v>
      </c>
    </row>
    <row r="264" spans="1:7" x14ac:dyDescent="0.25">
      <c r="A264" s="13">
        <v>46081</v>
      </c>
      <c r="B264" s="14" t="s">
        <v>636</v>
      </c>
      <c r="C264" s="14" t="s">
        <v>327</v>
      </c>
      <c r="D264" s="14"/>
      <c r="E264" s="14" t="s">
        <v>14</v>
      </c>
      <c r="F264" s="15">
        <v>106200</v>
      </c>
      <c r="G264" s="15">
        <v>106200</v>
      </c>
    </row>
    <row r="265" spans="1:7" x14ac:dyDescent="0.25">
      <c r="A265" s="13">
        <v>46081</v>
      </c>
      <c r="B265" s="14" t="s">
        <v>637</v>
      </c>
      <c r="C265" s="14" t="s">
        <v>327</v>
      </c>
      <c r="D265" s="14"/>
      <c r="E265" s="14" t="s">
        <v>14</v>
      </c>
      <c r="F265" s="15">
        <v>42480</v>
      </c>
      <c r="G265" s="15">
        <v>42480</v>
      </c>
    </row>
    <row r="266" spans="1:7" x14ac:dyDescent="0.25">
      <c r="A266" s="13">
        <v>46081</v>
      </c>
      <c r="B266" s="14" t="s">
        <v>638</v>
      </c>
      <c r="C266" s="14" t="s">
        <v>334</v>
      </c>
      <c r="D266" s="14"/>
      <c r="E266" s="14" t="s">
        <v>14</v>
      </c>
      <c r="F266" s="15">
        <v>782722</v>
      </c>
      <c r="G266" s="15">
        <v>782722</v>
      </c>
    </row>
    <row r="267" spans="1:7" x14ac:dyDescent="0.25">
      <c r="A267" s="13">
        <v>46081</v>
      </c>
      <c r="B267" s="14" t="s">
        <v>639</v>
      </c>
      <c r="C267" s="14" t="s">
        <v>335</v>
      </c>
      <c r="D267" s="14"/>
      <c r="E267" s="14" t="s">
        <v>14</v>
      </c>
      <c r="F267" s="15">
        <v>470229.6</v>
      </c>
      <c r="G267" s="15">
        <v>470229.6</v>
      </c>
    </row>
    <row r="268" spans="1:7" x14ac:dyDescent="0.25">
      <c r="A268" s="13">
        <v>46081</v>
      </c>
      <c r="B268" s="14" t="s">
        <v>640</v>
      </c>
      <c r="C268" s="14" t="s">
        <v>329</v>
      </c>
      <c r="D268" s="14"/>
      <c r="E268" s="14" t="s">
        <v>14</v>
      </c>
      <c r="F268" s="15">
        <v>392437.5</v>
      </c>
      <c r="G268" s="15">
        <v>392437.5</v>
      </c>
    </row>
    <row r="269" spans="1:7" x14ac:dyDescent="0.25">
      <c r="A269" s="13">
        <v>46081</v>
      </c>
      <c r="B269" s="14" t="s">
        <v>641</v>
      </c>
      <c r="C269" s="14" t="s">
        <v>203</v>
      </c>
      <c r="D269" s="14"/>
      <c r="E269" s="14" t="s">
        <v>14</v>
      </c>
      <c r="F269" s="15">
        <v>326830</v>
      </c>
      <c r="G269" s="15">
        <v>326830</v>
      </c>
    </row>
    <row r="270" spans="1:7" x14ac:dyDescent="0.25">
      <c r="A270" s="13">
        <v>46081</v>
      </c>
      <c r="B270" s="14" t="s">
        <v>642</v>
      </c>
      <c r="C270" s="14" t="s">
        <v>203</v>
      </c>
      <c r="D270" s="14"/>
      <c r="E270" s="14" t="s">
        <v>14</v>
      </c>
      <c r="F270" s="15">
        <v>47040</v>
      </c>
      <c r="G270" s="15">
        <v>47040</v>
      </c>
    </row>
    <row r="271" spans="1:7" x14ac:dyDescent="0.25">
      <c r="A271" s="13">
        <v>46081</v>
      </c>
      <c r="B271" s="14" t="s">
        <v>643</v>
      </c>
      <c r="C271" s="14" t="s">
        <v>203</v>
      </c>
      <c r="D271" s="14"/>
      <c r="E271" s="14" t="s">
        <v>14</v>
      </c>
      <c r="F271" s="15">
        <v>252840</v>
      </c>
      <c r="G271" s="15">
        <v>252840</v>
      </c>
    </row>
    <row r="272" spans="1:7" x14ac:dyDescent="0.25">
      <c r="A272" s="13">
        <v>46081</v>
      </c>
      <c r="B272" s="14" t="s">
        <v>644</v>
      </c>
      <c r="C272" s="14" t="s">
        <v>203</v>
      </c>
      <c r="D272" s="14"/>
      <c r="E272" s="14" t="s">
        <v>14</v>
      </c>
      <c r="F272" s="15">
        <v>57330</v>
      </c>
      <c r="G272" s="15">
        <v>57330</v>
      </c>
    </row>
    <row r="273" spans="1:7" x14ac:dyDescent="0.25">
      <c r="A273" s="13">
        <v>46081</v>
      </c>
      <c r="B273" s="14" t="s">
        <v>645</v>
      </c>
      <c r="C273" s="14" t="s">
        <v>203</v>
      </c>
      <c r="D273" s="14"/>
      <c r="E273" s="14" t="s">
        <v>14</v>
      </c>
      <c r="F273" s="15">
        <v>211680</v>
      </c>
      <c r="G273" s="15">
        <v>211680</v>
      </c>
    </row>
    <row r="274" spans="1:7" x14ac:dyDescent="0.25">
      <c r="A274" s="13">
        <v>46081</v>
      </c>
      <c r="B274" s="14" t="s">
        <v>646</v>
      </c>
      <c r="C274" s="14" t="s">
        <v>203</v>
      </c>
      <c r="D274" s="14"/>
      <c r="E274" s="14" t="s">
        <v>14</v>
      </c>
      <c r="F274" s="15">
        <v>435120</v>
      </c>
      <c r="G274" s="15">
        <v>435120</v>
      </c>
    </row>
    <row r="275" spans="1:7" x14ac:dyDescent="0.25">
      <c r="A275" s="13">
        <v>46081</v>
      </c>
      <c r="B275" s="14" t="s">
        <v>647</v>
      </c>
      <c r="C275" s="14" t="s">
        <v>203</v>
      </c>
      <c r="D275" s="14"/>
      <c r="E275" s="14" t="s">
        <v>14</v>
      </c>
      <c r="F275" s="15">
        <v>108780</v>
      </c>
      <c r="G275" s="15">
        <v>108780</v>
      </c>
    </row>
    <row r="276" spans="1:7" x14ac:dyDescent="0.25">
      <c r="A276" s="13">
        <v>46081</v>
      </c>
      <c r="B276" s="14" t="s">
        <v>648</v>
      </c>
      <c r="C276" s="14" t="s">
        <v>203</v>
      </c>
      <c r="D276" s="14"/>
      <c r="E276" s="14" t="s">
        <v>14</v>
      </c>
      <c r="F276" s="15">
        <v>57330</v>
      </c>
      <c r="G276" s="15">
        <v>57330</v>
      </c>
    </row>
    <row r="277" spans="1:7" x14ac:dyDescent="0.25">
      <c r="A277" s="13">
        <v>46081</v>
      </c>
      <c r="B277" s="14" t="s">
        <v>649</v>
      </c>
      <c r="C277" s="14" t="s">
        <v>203</v>
      </c>
      <c r="D277" s="14"/>
      <c r="E277" s="14" t="s">
        <v>14</v>
      </c>
      <c r="F277" s="15">
        <v>40180</v>
      </c>
      <c r="G277" s="15">
        <v>40180</v>
      </c>
    </row>
    <row r="278" spans="1:7" x14ac:dyDescent="0.25">
      <c r="A278" s="13">
        <v>46081</v>
      </c>
      <c r="B278" s="14" t="s">
        <v>650</v>
      </c>
      <c r="C278" s="14" t="s">
        <v>203</v>
      </c>
      <c r="D278" s="14"/>
      <c r="E278" s="14" t="s">
        <v>14</v>
      </c>
      <c r="F278" s="15">
        <v>177870</v>
      </c>
      <c r="G278" s="15">
        <v>177870</v>
      </c>
    </row>
    <row r="279" spans="1:7" x14ac:dyDescent="0.25">
      <c r="A279" s="13">
        <v>46081</v>
      </c>
      <c r="B279" s="14" t="s">
        <v>651</v>
      </c>
      <c r="C279" s="14" t="s">
        <v>203</v>
      </c>
      <c r="D279" s="14"/>
      <c r="E279" s="14" t="s">
        <v>14</v>
      </c>
      <c r="F279" s="15">
        <v>28420</v>
      </c>
      <c r="G279" s="15">
        <v>28420</v>
      </c>
    </row>
    <row r="280" spans="1:7" x14ac:dyDescent="0.25">
      <c r="A280" s="13">
        <v>46081</v>
      </c>
      <c r="B280" s="14" t="s">
        <v>652</v>
      </c>
      <c r="C280" s="14" t="s">
        <v>203</v>
      </c>
      <c r="D280" s="14"/>
      <c r="E280" s="14" t="s">
        <v>14</v>
      </c>
      <c r="F280" s="15">
        <v>114660</v>
      </c>
      <c r="G280" s="15">
        <v>114660</v>
      </c>
    </row>
    <row r="281" spans="1:7" x14ac:dyDescent="0.25">
      <c r="A281" s="13">
        <v>46081</v>
      </c>
      <c r="B281" s="14" t="s">
        <v>653</v>
      </c>
      <c r="C281" s="14" t="s">
        <v>203</v>
      </c>
      <c r="D281" s="14"/>
      <c r="E281" s="14" t="s">
        <v>14</v>
      </c>
      <c r="F281" s="15">
        <v>82075</v>
      </c>
      <c r="G281" s="15">
        <v>82075</v>
      </c>
    </row>
    <row r="282" spans="1:7" x14ac:dyDescent="0.25">
      <c r="A282" s="13">
        <v>46081</v>
      </c>
      <c r="B282" s="14" t="s">
        <v>654</v>
      </c>
      <c r="C282" s="14" t="s">
        <v>207</v>
      </c>
      <c r="D282" s="14"/>
      <c r="E282" s="14" t="s">
        <v>14</v>
      </c>
      <c r="F282" s="15">
        <v>270480</v>
      </c>
      <c r="G282" s="15">
        <v>270480</v>
      </c>
    </row>
    <row r="283" spans="1:7" x14ac:dyDescent="0.25">
      <c r="A283" s="13">
        <v>46081</v>
      </c>
      <c r="B283" s="14" t="s">
        <v>655</v>
      </c>
      <c r="C283" s="14" t="s">
        <v>330</v>
      </c>
      <c r="D283" s="14"/>
      <c r="E283" s="14" t="s">
        <v>14</v>
      </c>
      <c r="F283" s="15">
        <v>412960</v>
      </c>
      <c r="G283" s="15">
        <v>412960</v>
      </c>
    </row>
    <row r="284" spans="1:7" x14ac:dyDescent="0.25">
      <c r="A284" s="13">
        <v>46081</v>
      </c>
      <c r="B284" s="14" t="s">
        <v>656</v>
      </c>
      <c r="C284" s="14" t="s">
        <v>233</v>
      </c>
      <c r="D284" s="14"/>
      <c r="E284" s="14" t="s">
        <v>14</v>
      </c>
      <c r="F284" s="15">
        <v>1152808</v>
      </c>
      <c r="G284" s="15">
        <v>1152808</v>
      </c>
    </row>
    <row r="285" spans="1:7" x14ac:dyDescent="0.25">
      <c r="A285" s="13">
        <v>46082</v>
      </c>
      <c r="B285" s="14" t="s">
        <v>657</v>
      </c>
      <c r="C285" s="14" t="s">
        <v>176</v>
      </c>
      <c r="D285" s="14"/>
      <c r="E285" s="14" t="s">
        <v>14</v>
      </c>
      <c r="F285" s="15">
        <v>65880</v>
      </c>
      <c r="G285" s="15">
        <v>65880</v>
      </c>
    </row>
    <row r="286" spans="1:7" x14ac:dyDescent="0.25">
      <c r="A286" s="13">
        <v>46082</v>
      </c>
      <c r="B286" s="14" t="s">
        <v>658</v>
      </c>
      <c r="C286" s="14" t="s">
        <v>176</v>
      </c>
      <c r="D286" s="14"/>
      <c r="E286" s="14" t="s">
        <v>14</v>
      </c>
      <c r="F286" s="15">
        <v>65880</v>
      </c>
      <c r="G286" s="15">
        <v>65880</v>
      </c>
    </row>
    <row r="287" spans="1:7" x14ac:dyDescent="0.25">
      <c r="A287" s="13">
        <v>46082</v>
      </c>
      <c r="B287" s="14" t="s">
        <v>659</v>
      </c>
      <c r="C287" s="14" t="s">
        <v>176</v>
      </c>
      <c r="D287" s="14"/>
      <c r="E287" s="14" t="s">
        <v>14</v>
      </c>
      <c r="F287" s="15">
        <v>65880</v>
      </c>
      <c r="G287" s="15">
        <v>65880</v>
      </c>
    </row>
    <row r="288" spans="1:7" x14ac:dyDescent="0.25">
      <c r="A288" s="13">
        <v>46082</v>
      </c>
      <c r="B288" s="14" t="s">
        <v>660</v>
      </c>
      <c r="C288" s="14" t="s">
        <v>176</v>
      </c>
      <c r="D288" s="14"/>
      <c r="E288" s="14" t="s">
        <v>14</v>
      </c>
      <c r="F288" s="15">
        <v>65880</v>
      </c>
      <c r="G288" s="15">
        <v>65880</v>
      </c>
    </row>
    <row r="289" spans="1:7" x14ac:dyDescent="0.25">
      <c r="A289" s="13">
        <v>46082</v>
      </c>
      <c r="B289" s="14" t="s">
        <v>661</v>
      </c>
      <c r="C289" s="14" t="s">
        <v>323</v>
      </c>
      <c r="D289" s="14"/>
      <c r="E289" s="14" t="s">
        <v>14</v>
      </c>
      <c r="F289" s="15">
        <v>235800</v>
      </c>
      <c r="G289" s="15">
        <v>235800</v>
      </c>
    </row>
    <row r="290" spans="1:7" x14ac:dyDescent="0.25">
      <c r="A290" s="13">
        <v>46082</v>
      </c>
      <c r="B290" s="14" t="s">
        <v>662</v>
      </c>
      <c r="C290" s="14" t="s">
        <v>197</v>
      </c>
      <c r="D290" s="14" t="s">
        <v>42</v>
      </c>
      <c r="E290" s="14" t="s">
        <v>14</v>
      </c>
      <c r="F290" s="15">
        <v>468716.28</v>
      </c>
      <c r="G290" s="15">
        <v>468716.28</v>
      </c>
    </row>
    <row r="291" spans="1:7" x14ac:dyDescent="0.25">
      <c r="A291" s="13">
        <v>46083</v>
      </c>
      <c r="B291" s="14" t="s">
        <v>663</v>
      </c>
      <c r="C291" s="14" t="s">
        <v>332</v>
      </c>
      <c r="D291" s="14"/>
      <c r="E291" s="14" t="s">
        <v>14</v>
      </c>
      <c r="F291" s="15">
        <v>151157.5</v>
      </c>
      <c r="G291" s="15">
        <v>151157.5</v>
      </c>
    </row>
    <row r="292" spans="1:7" x14ac:dyDescent="0.25">
      <c r="A292" s="13">
        <v>46098</v>
      </c>
      <c r="B292" s="14" t="s">
        <v>664</v>
      </c>
      <c r="C292" s="14" t="s">
        <v>203</v>
      </c>
      <c r="D292" s="14"/>
      <c r="E292" s="14" t="s">
        <v>13</v>
      </c>
      <c r="F292" s="15">
        <v>32340</v>
      </c>
      <c r="G292" s="15">
        <v>32340</v>
      </c>
    </row>
    <row r="293" spans="1:7" x14ac:dyDescent="0.25">
      <c r="A293" s="13">
        <v>46105</v>
      </c>
      <c r="B293" s="14" t="s">
        <v>665</v>
      </c>
      <c r="C293" s="14" t="s">
        <v>203</v>
      </c>
      <c r="D293" s="14"/>
      <c r="E293" s="14" t="s">
        <v>13</v>
      </c>
      <c r="F293" s="15">
        <v>33320</v>
      </c>
      <c r="G293" s="15">
        <v>33320</v>
      </c>
    </row>
    <row r="294" spans="1:7" x14ac:dyDescent="0.25">
      <c r="A294" s="13">
        <v>46112</v>
      </c>
      <c r="B294" s="14" t="s">
        <v>666</v>
      </c>
      <c r="C294" s="14" t="s">
        <v>37</v>
      </c>
      <c r="D294" s="14"/>
      <c r="E294" s="14" t="s">
        <v>13</v>
      </c>
      <c r="F294" s="15">
        <v>1116173.24</v>
      </c>
      <c r="G294" s="15">
        <v>1116173.24</v>
      </c>
    </row>
    <row r="295" spans="1:7" x14ac:dyDescent="0.25">
      <c r="A295" s="13">
        <v>46112</v>
      </c>
      <c r="B295" s="14" t="s">
        <v>667</v>
      </c>
      <c r="C295" s="14" t="s">
        <v>37</v>
      </c>
      <c r="D295" s="14"/>
      <c r="E295" s="14" t="s">
        <v>13</v>
      </c>
      <c r="F295" s="15">
        <v>157587.09</v>
      </c>
      <c r="G295" s="15">
        <v>157587.09</v>
      </c>
    </row>
    <row r="296" spans="1:7" x14ac:dyDescent="0.25">
      <c r="A296" s="13">
        <v>46112</v>
      </c>
      <c r="B296" s="14" t="s">
        <v>668</v>
      </c>
      <c r="C296" s="14" t="s">
        <v>37</v>
      </c>
      <c r="D296" s="14"/>
      <c r="E296" s="14" t="s">
        <v>13</v>
      </c>
      <c r="F296" s="15">
        <v>459330.88</v>
      </c>
      <c r="G296" s="15">
        <v>459330.88</v>
      </c>
    </row>
    <row r="297" spans="1:7" x14ac:dyDescent="0.25">
      <c r="A297" s="13">
        <v>46112</v>
      </c>
      <c r="B297" s="14" t="s">
        <v>669</v>
      </c>
      <c r="C297" s="14" t="s">
        <v>37</v>
      </c>
      <c r="D297" s="14"/>
      <c r="E297" s="14" t="s">
        <v>13</v>
      </c>
      <c r="F297" s="15">
        <v>51445.06</v>
      </c>
      <c r="G297" s="15">
        <v>51445.06</v>
      </c>
    </row>
    <row r="298" spans="1:7" x14ac:dyDescent="0.25">
      <c r="A298" s="13">
        <v>46112</v>
      </c>
      <c r="B298" s="14" t="s">
        <v>670</v>
      </c>
      <c r="C298" s="14" t="s">
        <v>37</v>
      </c>
      <c r="D298" s="14"/>
      <c r="E298" s="14" t="s">
        <v>13</v>
      </c>
      <c r="F298" s="15">
        <v>101394.26</v>
      </c>
      <c r="G298" s="15">
        <v>101394.26</v>
      </c>
    </row>
    <row r="299" spans="1:7" x14ac:dyDescent="0.25">
      <c r="A299" s="13">
        <v>46112</v>
      </c>
      <c r="B299" s="14" t="s">
        <v>671</v>
      </c>
      <c r="C299" s="14" t="s">
        <v>75</v>
      </c>
      <c r="D299" s="14"/>
      <c r="E299" s="14" t="s">
        <v>13</v>
      </c>
      <c r="F299" s="15">
        <v>83230</v>
      </c>
      <c r="G299" s="15">
        <v>83230</v>
      </c>
    </row>
    <row r="300" spans="1:7" x14ac:dyDescent="0.25">
      <c r="A300" s="13">
        <v>46112</v>
      </c>
      <c r="B300" s="14" t="s">
        <v>672</v>
      </c>
      <c r="C300" s="14" t="s">
        <v>75</v>
      </c>
      <c r="D300" s="14"/>
      <c r="E300" s="14" t="s">
        <v>13</v>
      </c>
      <c r="F300" s="15">
        <v>113100</v>
      </c>
      <c r="G300" s="15">
        <v>113100</v>
      </c>
    </row>
    <row r="301" spans="1:7" x14ac:dyDescent="0.25">
      <c r="A301" s="13">
        <v>46112</v>
      </c>
      <c r="B301" s="14" t="s">
        <v>673</v>
      </c>
      <c r="C301" s="14" t="s">
        <v>75</v>
      </c>
      <c r="D301" s="14"/>
      <c r="E301" s="14" t="s">
        <v>13</v>
      </c>
      <c r="F301" s="15">
        <v>186760</v>
      </c>
      <c r="G301" s="15">
        <v>186760</v>
      </c>
    </row>
    <row r="302" spans="1:7" x14ac:dyDescent="0.25">
      <c r="A302" s="13">
        <v>46112</v>
      </c>
      <c r="B302" s="14" t="s">
        <v>674</v>
      </c>
      <c r="C302" s="14" t="s">
        <v>75</v>
      </c>
      <c r="D302" s="14"/>
      <c r="E302" s="14" t="s">
        <v>13</v>
      </c>
      <c r="F302" s="15">
        <v>263610</v>
      </c>
      <c r="G302" s="15">
        <v>263610</v>
      </c>
    </row>
    <row r="303" spans="1:7" x14ac:dyDescent="0.25">
      <c r="A303" s="13">
        <v>46112</v>
      </c>
      <c r="B303" s="14" t="s">
        <v>675</v>
      </c>
      <c r="C303" s="14" t="s">
        <v>81</v>
      </c>
      <c r="D303" s="14"/>
      <c r="E303" s="14" t="s">
        <v>13</v>
      </c>
      <c r="F303" s="15">
        <v>2.2400000000000002</v>
      </c>
      <c r="G303" s="15">
        <v>2.2400000000000002</v>
      </c>
    </row>
    <row r="304" spans="1:7" x14ac:dyDescent="0.25">
      <c r="A304" s="13">
        <v>46112</v>
      </c>
      <c r="B304" s="14" t="s">
        <v>676</v>
      </c>
      <c r="C304" s="14" t="s">
        <v>332</v>
      </c>
      <c r="D304" s="14"/>
      <c r="E304" s="14" t="s">
        <v>13</v>
      </c>
      <c r="F304" s="15">
        <v>922006.48</v>
      </c>
      <c r="G304" s="15">
        <v>922006.48</v>
      </c>
    </row>
    <row r="305" spans="1:7" x14ac:dyDescent="0.25">
      <c r="A305" s="13">
        <v>46112</v>
      </c>
      <c r="B305" s="14" t="s">
        <v>677</v>
      </c>
      <c r="C305" s="14" t="s">
        <v>332</v>
      </c>
      <c r="D305" s="14"/>
      <c r="E305" s="14" t="s">
        <v>13</v>
      </c>
      <c r="F305" s="15">
        <v>962164.36</v>
      </c>
      <c r="G305" s="15">
        <v>962164.36</v>
      </c>
    </row>
    <row r="306" spans="1:7" x14ac:dyDescent="0.25">
      <c r="A306" s="13">
        <v>46112</v>
      </c>
      <c r="B306" s="14" t="s">
        <v>678</v>
      </c>
      <c r="C306" s="14" t="s">
        <v>138</v>
      </c>
      <c r="D306" s="14" t="s">
        <v>463</v>
      </c>
      <c r="E306" s="14" t="s">
        <v>13</v>
      </c>
      <c r="F306" s="15">
        <v>0.3</v>
      </c>
      <c r="G306" s="15">
        <v>0.3</v>
      </c>
    </row>
    <row r="307" spans="1:7" x14ac:dyDescent="0.25">
      <c r="A307" s="13">
        <v>46112</v>
      </c>
      <c r="B307" s="14" t="s">
        <v>679</v>
      </c>
      <c r="C307" s="14" t="s">
        <v>353</v>
      </c>
      <c r="D307" s="14"/>
      <c r="E307" s="14" t="s">
        <v>13</v>
      </c>
      <c r="F307" s="15">
        <v>600</v>
      </c>
      <c r="G307" s="15">
        <v>600</v>
      </c>
    </row>
    <row r="308" spans="1:7" x14ac:dyDescent="0.25">
      <c r="A308" s="13">
        <v>46112</v>
      </c>
      <c r="B308" s="14" t="s">
        <v>680</v>
      </c>
      <c r="C308" s="14" t="s">
        <v>327</v>
      </c>
      <c r="D308" s="14"/>
      <c r="E308" s="14" t="s">
        <v>13</v>
      </c>
      <c r="F308" s="15">
        <v>106200</v>
      </c>
      <c r="G308" s="15">
        <v>106200</v>
      </c>
    </row>
    <row r="309" spans="1:7" x14ac:dyDescent="0.25">
      <c r="A309" s="13">
        <v>46112</v>
      </c>
      <c r="B309" s="14" t="s">
        <v>681</v>
      </c>
      <c r="C309" s="14" t="s">
        <v>327</v>
      </c>
      <c r="D309" s="14"/>
      <c r="E309" s="14" t="s">
        <v>13</v>
      </c>
      <c r="F309" s="15">
        <v>212400</v>
      </c>
      <c r="G309" s="15">
        <v>212400</v>
      </c>
    </row>
    <row r="310" spans="1:7" x14ac:dyDescent="0.25">
      <c r="A310" s="13">
        <v>46112</v>
      </c>
      <c r="B310" s="14" t="s">
        <v>682</v>
      </c>
      <c r="C310" s="14" t="s">
        <v>327</v>
      </c>
      <c r="D310" s="14"/>
      <c r="E310" s="14" t="s">
        <v>13</v>
      </c>
      <c r="F310" s="15">
        <v>106200</v>
      </c>
      <c r="G310" s="15">
        <v>106200</v>
      </c>
    </row>
    <row r="311" spans="1:7" x14ac:dyDescent="0.25">
      <c r="A311" s="13">
        <v>46112</v>
      </c>
      <c r="B311" s="14" t="s">
        <v>683</v>
      </c>
      <c r="C311" s="14" t="s">
        <v>327</v>
      </c>
      <c r="D311" s="14"/>
      <c r="E311" s="14" t="s">
        <v>13</v>
      </c>
      <c r="F311" s="15">
        <v>106200</v>
      </c>
      <c r="G311" s="15">
        <v>106200</v>
      </c>
    </row>
    <row r="312" spans="1:7" x14ac:dyDescent="0.25">
      <c r="A312" s="13">
        <v>46112</v>
      </c>
      <c r="B312" s="14" t="s">
        <v>684</v>
      </c>
      <c r="C312" s="14" t="s">
        <v>327</v>
      </c>
      <c r="D312" s="14"/>
      <c r="E312" s="14" t="s">
        <v>13</v>
      </c>
      <c r="F312" s="15">
        <v>106200</v>
      </c>
      <c r="G312" s="15">
        <v>106200</v>
      </c>
    </row>
    <row r="313" spans="1:7" x14ac:dyDescent="0.25">
      <c r="A313" s="13">
        <v>46112</v>
      </c>
      <c r="B313" s="14" t="s">
        <v>685</v>
      </c>
      <c r="C313" s="14" t="s">
        <v>321</v>
      </c>
      <c r="D313" s="14"/>
      <c r="E313" s="14" t="s">
        <v>13</v>
      </c>
      <c r="F313" s="15">
        <v>332760</v>
      </c>
      <c r="G313" s="15">
        <v>332760</v>
      </c>
    </row>
    <row r="314" spans="1:7" x14ac:dyDescent="0.25">
      <c r="A314" s="13">
        <v>46112</v>
      </c>
      <c r="B314" s="14" t="s">
        <v>686</v>
      </c>
      <c r="C314" s="14" t="s">
        <v>334</v>
      </c>
      <c r="D314" s="14"/>
      <c r="E314" s="14" t="s">
        <v>13</v>
      </c>
      <c r="F314" s="15">
        <v>1364283</v>
      </c>
      <c r="G314" s="15">
        <v>1364283</v>
      </c>
    </row>
    <row r="315" spans="1:7" x14ac:dyDescent="0.25">
      <c r="A315" s="13">
        <v>46112</v>
      </c>
      <c r="B315" s="14" t="s">
        <v>687</v>
      </c>
      <c r="C315" s="14" t="s">
        <v>334</v>
      </c>
      <c r="D315" s="14"/>
      <c r="E315" s="14" t="s">
        <v>13</v>
      </c>
      <c r="F315" s="15">
        <v>1186500</v>
      </c>
      <c r="G315" s="15">
        <v>1186500</v>
      </c>
    </row>
    <row r="316" spans="1:7" x14ac:dyDescent="0.25">
      <c r="A316" s="13">
        <v>46112</v>
      </c>
      <c r="B316" s="14" t="s">
        <v>688</v>
      </c>
      <c r="C316" s="14" t="s">
        <v>335</v>
      </c>
      <c r="D316" s="14"/>
      <c r="E316" s="14" t="s">
        <v>13</v>
      </c>
      <c r="F316" s="15">
        <v>178990.67</v>
      </c>
      <c r="G316" s="15">
        <v>178990.67</v>
      </c>
    </row>
    <row r="317" spans="1:7" x14ac:dyDescent="0.25">
      <c r="A317" s="13">
        <v>46112</v>
      </c>
      <c r="B317" s="14" t="s">
        <v>689</v>
      </c>
      <c r="C317" s="14" t="s">
        <v>335</v>
      </c>
      <c r="D317" s="14"/>
      <c r="E317" s="14" t="s">
        <v>13</v>
      </c>
      <c r="F317" s="15">
        <v>470229.6</v>
      </c>
      <c r="G317" s="15">
        <v>470229.6</v>
      </c>
    </row>
    <row r="318" spans="1:7" x14ac:dyDescent="0.25">
      <c r="A318" s="13">
        <v>46112</v>
      </c>
      <c r="B318" s="14" t="s">
        <v>690</v>
      </c>
      <c r="C318" s="14" t="s">
        <v>335</v>
      </c>
      <c r="D318" s="14"/>
      <c r="E318" s="14" t="s">
        <v>13</v>
      </c>
      <c r="F318" s="15">
        <v>22680</v>
      </c>
      <c r="G318" s="15">
        <v>22680</v>
      </c>
    </row>
    <row r="319" spans="1:7" x14ac:dyDescent="0.25">
      <c r="A319" s="13">
        <v>46112</v>
      </c>
      <c r="B319" s="14" t="s">
        <v>691</v>
      </c>
      <c r="C319" s="14" t="s">
        <v>335</v>
      </c>
      <c r="D319" s="14"/>
      <c r="E319" s="14" t="s">
        <v>13</v>
      </c>
      <c r="F319" s="15">
        <v>19263846</v>
      </c>
      <c r="G319" s="15">
        <v>19263846</v>
      </c>
    </row>
    <row r="320" spans="1:7" x14ac:dyDescent="0.25">
      <c r="A320" s="13">
        <v>46112</v>
      </c>
      <c r="B320" s="14" t="s">
        <v>692</v>
      </c>
      <c r="C320" s="14" t="s">
        <v>329</v>
      </c>
      <c r="D320" s="14"/>
      <c r="E320" s="14" t="s">
        <v>13</v>
      </c>
      <c r="F320" s="15">
        <v>51801.760000000002</v>
      </c>
      <c r="G320" s="15">
        <v>51801.760000000002</v>
      </c>
    </row>
    <row r="321" spans="1:7" x14ac:dyDescent="0.25">
      <c r="A321" s="13">
        <v>46112</v>
      </c>
      <c r="B321" s="14" t="s">
        <v>693</v>
      </c>
      <c r="C321" s="14" t="s">
        <v>329</v>
      </c>
      <c r="D321" s="14"/>
      <c r="E321" s="14" t="s">
        <v>13</v>
      </c>
      <c r="F321" s="15">
        <v>176596.88</v>
      </c>
      <c r="G321" s="15">
        <v>176596.88</v>
      </c>
    </row>
    <row r="322" spans="1:7" x14ac:dyDescent="0.25">
      <c r="A322" s="13">
        <v>46112</v>
      </c>
      <c r="B322" s="14" t="s">
        <v>694</v>
      </c>
      <c r="C322" s="14" t="s">
        <v>329</v>
      </c>
      <c r="D322" s="14"/>
      <c r="E322" s="14" t="s">
        <v>13</v>
      </c>
      <c r="F322" s="15">
        <v>156975</v>
      </c>
      <c r="G322" s="15">
        <v>156975</v>
      </c>
    </row>
    <row r="323" spans="1:7" x14ac:dyDescent="0.25">
      <c r="A323" s="13">
        <v>46112</v>
      </c>
      <c r="B323" s="14" t="s">
        <v>695</v>
      </c>
      <c r="C323" s="14" t="s">
        <v>329</v>
      </c>
      <c r="D323" s="14"/>
      <c r="E323" s="14" t="s">
        <v>13</v>
      </c>
      <c r="F323" s="15">
        <v>156975</v>
      </c>
      <c r="G323" s="15">
        <v>156975</v>
      </c>
    </row>
    <row r="324" spans="1:7" x14ac:dyDescent="0.25">
      <c r="A324" s="13">
        <v>46112</v>
      </c>
      <c r="B324" s="14" t="s">
        <v>696</v>
      </c>
      <c r="C324" s="14" t="s">
        <v>333</v>
      </c>
      <c r="D324" s="14"/>
      <c r="E324" s="14" t="s">
        <v>13</v>
      </c>
      <c r="F324" s="15">
        <v>1448723.42</v>
      </c>
      <c r="G324" s="15">
        <v>1448723.42</v>
      </c>
    </row>
    <row r="325" spans="1:7" x14ac:dyDescent="0.25">
      <c r="A325" s="13">
        <v>46112</v>
      </c>
      <c r="B325" s="14" t="s">
        <v>697</v>
      </c>
      <c r="C325" s="14" t="s">
        <v>203</v>
      </c>
      <c r="D325" s="14"/>
      <c r="E325" s="14" t="s">
        <v>13</v>
      </c>
      <c r="F325" s="15">
        <v>898660</v>
      </c>
      <c r="G325" s="15">
        <v>898660</v>
      </c>
    </row>
    <row r="326" spans="1:7" x14ac:dyDescent="0.25">
      <c r="A326" s="13">
        <v>46112</v>
      </c>
      <c r="B326" s="14" t="s">
        <v>698</v>
      </c>
      <c r="C326" s="14" t="s">
        <v>203</v>
      </c>
      <c r="D326" s="14"/>
      <c r="E326" s="14" t="s">
        <v>13</v>
      </c>
      <c r="F326" s="15">
        <v>217560</v>
      </c>
      <c r="G326" s="15">
        <v>217560</v>
      </c>
    </row>
    <row r="327" spans="1:7" x14ac:dyDescent="0.25">
      <c r="A327" s="13">
        <v>46112</v>
      </c>
      <c r="B327" s="14" t="s">
        <v>699</v>
      </c>
      <c r="C327" s="14" t="s">
        <v>203</v>
      </c>
      <c r="D327" s="14"/>
      <c r="E327" s="14" t="s">
        <v>13</v>
      </c>
      <c r="F327" s="15">
        <v>80850</v>
      </c>
      <c r="G327" s="15">
        <v>80850</v>
      </c>
    </row>
    <row r="328" spans="1:7" x14ac:dyDescent="0.25">
      <c r="A328" s="13">
        <v>46112</v>
      </c>
      <c r="B328" s="14" t="s">
        <v>700</v>
      </c>
      <c r="C328" s="14" t="s">
        <v>203</v>
      </c>
      <c r="D328" s="14"/>
      <c r="E328" s="14" t="s">
        <v>13</v>
      </c>
      <c r="F328" s="15">
        <v>26460</v>
      </c>
      <c r="G328" s="15">
        <v>26460</v>
      </c>
    </row>
    <row r="329" spans="1:7" x14ac:dyDescent="0.25">
      <c r="A329" s="13">
        <v>46112</v>
      </c>
      <c r="B329" s="14" t="s">
        <v>701</v>
      </c>
      <c r="C329" s="14" t="s">
        <v>203</v>
      </c>
      <c r="D329" s="14" t="s">
        <v>66</v>
      </c>
      <c r="E329" s="14" t="s">
        <v>13</v>
      </c>
      <c r="F329" s="15">
        <v>138180</v>
      </c>
      <c r="G329" s="15">
        <v>138180</v>
      </c>
    </row>
    <row r="330" spans="1:7" x14ac:dyDescent="0.25">
      <c r="A330" s="13">
        <v>46112</v>
      </c>
      <c r="B330" s="14" t="s">
        <v>702</v>
      </c>
      <c r="C330" s="14" t="s">
        <v>203</v>
      </c>
      <c r="D330" s="14"/>
      <c r="E330" s="14" t="s">
        <v>13</v>
      </c>
      <c r="F330" s="15">
        <v>114660</v>
      </c>
      <c r="G330" s="15">
        <v>114660</v>
      </c>
    </row>
    <row r="331" spans="1:7" x14ac:dyDescent="0.25">
      <c r="A331" s="13">
        <v>46112</v>
      </c>
      <c r="B331" s="14" t="s">
        <v>703</v>
      </c>
      <c r="C331" s="14" t="s">
        <v>203</v>
      </c>
      <c r="D331" s="14"/>
      <c r="E331" s="14" t="s">
        <v>13</v>
      </c>
      <c r="F331" s="15">
        <v>28420</v>
      </c>
      <c r="G331" s="15">
        <v>28420</v>
      </c>
    </row>
    <row r="332" spans="1:7" x14ac:dyDescent="0.25">
      <c r="A332" s="13">
        <v>46112</v>
      </c>
      <c r="B332" s="14" t="s">
        <v>704</v>
      </c>
      <c r="C332" s="14" t="s">
        <v>203</v>
      </c>
      <c r="D332" s="14"/>
      <c r="E332" s="14" t="s">
        <v>13</v>
      </c>
      <c r="F332" s="15">
        <v>25480</v>
      </c>
      <c r="G332" s="15">
        <v>25480</v>
      </c>
    </row>
    <row r="333" spans="1:7" x14ac:dyDescent="0.25">
      <c r="A333" s="13">
        <v>46112</v>
      </c>
      <c r="B333" s="14" t="s">
        <v>705</v>
      </c>
      <c r="C333" s="14" t="s">
        <v>203</v>
      </c>
      <c r="D333" s="14"/>
      <c r="E333" s="14" t="s">
        <v>13</v>
      </c>
      <c r="F333" s="15">
        <v>52920</v>
      </c>
      <c r="G333" s="15">
        <v>52920</v>
      </c>
    </row>
    <row r="334" spans="1:7" x14ac:dyDescent="0.25">
      <c r="A334" s="13">
        <v>46112</v>
      </c>
      <c r="B334" s="14" t="s">
        <v>706</v>
      </c>
      <c r="C334" s="14" t="s">
        <v>203</v>
      </c>
      <c r="D334" s="14"/>
      <c r="E334" s="14" t="s">
        <v>13</v>
      </c>
      <c r="F334" s="15">
        <v>12740</v>
      </c>
      <c r="G334" s="15">
        <v>12740</v>
      </c>
    </row>
    <row r="335" spans="1:7" x14ac:dyDescent="0.25">
      <c r="A335" s="13">
        <v>46112</v>
      </c>
      <c r="B335" s="14" t="s">
        <v>707</v>
      </c>
      <c r="C335" s="14" t="s">
        <v>303</v>
      </c>
      <c r="D335" s="14" t="s">
        <v>463</v>
      </c>
      <c r="E335" s="14" t="s">
        <v>13</v>
      </c>
      <c r="F335" s="15">
        <v>30000</v>
      </c>
      <c r="G335" s="15">
        <v>-30000</v>
      </c>
    </row>
    <row r="336" spans="1:7" x14ac:dyDescent="0.25">
      <c r="A336" s="13">
        <v>46112</v>
      </c>
      <c r="B336" s="14" t="s">
        <v>708</v>
      </c>
      <c r="C336" s="14" t="s">
        <v>359</v>
      </c>
      <c r="D336" s="14"/>
      <c r="E336" s="14" t="s">
        <v>13</v>
      </c>
      <c r="F336" s="15">
        <v>5544</v>
      </c>
      <c r="G336" s="15">
        <v>5544</v>
      </c>
    </row>
    <row r="337" spans="1:7" x14ac:dyDescent="0.25">
      <c r="A337" s="13">
        <v>46112</v>
      </c>
      <c r="B337" s="14" t="s">
        <v>709</v>
      </c>
      <c r="C337" s="14" t="s">
        <v>207</v>
      </c>
      <c r="D337" s="14"/>
      <c r="E337" s="14" t="s">
        <v>13</v>
      </c>
      <c r="F337" s="15">
        <v>212660</v>
      </c>
      <c r="G337" s="15">
        <v>212660</v>
      </c>
    </row>
    <row r="338" spans="1:7" x14ac:dyDescent="0.25">
      <c r="A338" s="13">
        <v>46112</v>
      </c>
      <c r="B338" s="14" t="s">
        <v>710</v>
      </c>
      <c r="C338" s="14" t="s">
        <v>330</v>
      </c>
      <c r="D338" s="14"/>
      <c r="E338" s="14" t="s">
        <v>13</v>
      </c>
      <c r="F338" s="15">
        <v>412960</v>
      </c>
      <c r="G338" s="15">
        <v>412960</v>
      </c>
    </row>
    <row r="339" spans="1:7" x14ac:dyDescent="0.25">
      <c r="A339" s="13">
        <v>46112</v>
      </c>
      <c r="B339" s="14" t="s">
        <v>711</v>
      </c>
      <c r="C339" s="14" t="s">
        <v>232</v>
      </c>
      <c r="D339" s="14"/>
      <c r="E339" s="14" t="s">
        <v>13</v>
      </c>
      <c r="F339" s="15">
        <v>0.5</v>
      </c>
      <c r="G339" s="15">
        <v>0.5</v>
      </c>
    </row>
    <row r="340" spans="1:7" x14ac:dyDescent="0.25">
      <c r="A340" s="13">
        <v>46112</v>
      </c>
      <c r="B340" s="14" t="s">
        <v>712</v>
      </c>
      <c r="C340" s="14" t="s">
        <v>233</v>
      </c>
      <c r="D340" s="14"/>
      <c r="E340" s="14" t="s">
        <v>13</v>
      </c>
      <c r="F340" s="15">
        <v>1464610</v>
      </c>
      <c r="G340" s="15">
        <v>1464610</v>
      </c>
    </row>
    <row r="341" spans="1:7" x14ac:dyDescent="0.25">
      <c r="A341" s="13">
        <v>46112</v>
      </c>
      <c r="B341" s="14" t="s">
        <v>713</v>
      </c>
      <c r="C341" s="14" t="s">
        <v>361</v>
      </c>
      <c r="D341" s="14"/>
      <c r="E341" s="14" t="s">
        <v>13</v>
      </c>
      <c r="F341" s="15">
        <v>17500</v>
      </c>
      <c r="G341" s="15">
        <v>-17500</v>
      </c>
    </row>
    <row r="342" spans="1:7" x14ac:dyDescent="0.25">
      <c r="A342" s="13">
        <v>46112</v>
      </c>
      <c r="B342" s="14" t="s">
        <v>714</v>
      </c>
      <c r="C342" s="14" t="s">
        <v>362</v>
      </c>
      <c r="D342" s="14"/>
      <c r="E342" s="14" t="s">
        <v>13</v>
      </c>
      <c r="F342" s="15">
        <v>105955.5</v>
      </c>
      <c r="G342" s="15">
        <v>-105955.5</v>
      </c>
    </row>
    <row r="343" spans="1:7" x14ac:dyDescent="0.25">
      <c r="A343" s="13">
        <v>46112</v>
      </c>
      <c r="B343" s="14" t="s">
        <v>715</v>
      </c>
      <c r="C343" s="14" t="s">
        <v>362</v>
      </c>
      <c r="D343" s="14"/>
      <c r="E343" s="14" t="s">
        <v>13</v>
      </c>
      <c r="F343" s="15">
        <v>105955.5</v>
      </c>
      <c r="G343" s="15">
        <v>105955.5</v>
      </c>
    </row>
    <row r="344" spans="1:7" x14ac:dyDescent="0.25">
      <c r="A344" s="13">
        <v>46112</v>
      </c>
      <c r="B344" s="14" t="s">
        <v>716</v>
      </c>
      <c r="C344" s="14" t="s">
        <v>248</v>
      </c>
      <c r="D344" s="14"/>
      <c r="E344" s="14" t="s">
        <v>13</v>
      </c>
      <c r="F344" s="15">
        <v>773490</v>
      </c>
      <c r="G344" s="15">
        <v>773490</v>
      </c>
    </row>
    <row r="345" spans="1:7" x14ac:dyDescent="0.25">
      <c r="A345" s="13">
        <v>46115</v>
      </c>
      <c r="B345" s="14" t="s">
        <v>717</v>
      </c>
      <c r="C345" s="14" t="s">
        <v>261</v>
      </c>
      <c r="D345" s="14"/>
      <c r="E345" s="14" t="s">
        <v>12</v>
      </c>
      <c r="F345" s="15">
        <v>13132.96</v>
      </c>
      <c r="G345" s="15">
        <v>-13132.96</v>
      </c>
    </row>
    <row r="346" spans="1:7" x14ac:dyDescent="0.25">
      <c r="A346" s="13">
        <v>46115</v>
      </c>
      <c r="B346" s="14" t="s">
        <v>718</v>
      </c>
      <c r="C346" s="14" t="s">
        <v>361</v>
      </c>
      <c r="D346" s="14" t="s">
        <v>82</v>
      </c>
      <c r="E346" s="14" t="s">
        <v>12</v>
      </c>
      <c r="F346" s="15">
        <v>17500</v>
      </c>
      <c r="G346" s="15">
        <v>17500</v>
      </c>
    </row>
    <row r="347" spans="1:7" x14ac:dyDescent="0.25">
      <c r="A347" s="13">
        <v>46118</v>
      </c>
      <c r="B347" s="14" t="s">
        <v>719</v>
      </c>
      <c r="C347" s="14" t="s">
        <v>327</v>
      </c>
      <c r="D347" s="14" t="s">
        <v>396</v>
      </c>
      <c r="E347" s="14" t="s">
        <v>12</v>
      </c>
      <c r="F347" s="15">
        <v>212400</v>
      </c>
      <c r="G347" s="15">
        <v>212400</v>
      </c>
    </row>
    <row r="348" spans="1:7" x14ac:dyDescent="0.25">
      <c r="A348" s="13">
        <v>46119</v>
      </c>
      <c r="B348" s="14" t="s">
        <v>720</v>
      </c>
      <c r="C348" s="14" t="s">
        <v>260</v>
      </c>
      <c r="D348" s="14"/>
      <c r="E348" s="14" t="s">
        <v>12</v>
      </c>
      <c r="F348" s="15">
        <v>23500</v>
      </c>
      <c r="G348" s="15">
        <v>-23500</v>
      </c>
    </row>
    <row r="349" spans="1:7" x14ac:dyDescent="0.25">
      <c r="A349" s="13">
        <v>46121</v>
      </c>
      <c r="B349" s="14" t="s">
        <v>721</v>
      </c>
      <c r="C349" s="14" t="s">
        <v>75</v>
      </c>
      <c r="D349" s="14" t="s">
        <v>42</v>
      </c>
      <c r="E349" s="14" t="s">
        <v>12</v>
      </c>
      <c r="F349" s="15">
        <v>116580</v>
      </c>
      <c r="G349" s="15">
        <v>116580</v>
      </c>
    </row>
    <row r="350" spans="1:7" x14ac:dyDescent="0.25">
      <c r="A350" s="13">
        <v>46125</v>
      </c>
      <c r="B350" s="14" t="s">
        <v>722</v>
      </c>
      <c r="C350" s="14" t="s">
        <v>281</v>
      </c>
      <c r="D350" s="14" t="s">
        <v>161</v>
      </c>
      <c r="E350" s="14" t="s">
        <v>12</v>
      </c>
      <c r="F350" s="15">
        <v>5900</v>
      </c>
      <c r="G350" s="15">
        <v>-5900</v>
      </c>
    </row>
    <row r="351" spans="1:7" x14ac:dyDescent="0.25">
      <c r="A351" s="13">
        <v>46126</v>
      </c>
      <c r="B351" s="14" t="s">
        <v>723</v>
      </c>
      <c r="C351" s="14" t="s">
        <v>194</v>
      </c>
      <c r="D351" s="14" t="s">
        <v>66</v>
      </c>
      <c r="E351" s="14" t="s">
        <v>12</v>
      </c>
      <c r="F351" s="15">
        <v>97534</v>
      </c>
      <c r="G351" s="15">
        <v>97534</v>
      </c>
    </row>
    <row r="352" spans="1:7" x14ac:dyDescent="0.25">
      <c r="A352" s="13">
        <v>46127</v>
      </c>
      <c r="B352" s="14" t="s">
        <v>724</v>
      </c>
      <c r="C352" s="14" t="s">
        <v>194</v>
      </c>
      <c r="D352" s="14" t="s">
        <v>66</v>
      </c>
      <c r="E352" s="14" t="s">
        <v>12</v>
      </c>
      <c r="F352" s="15">
        <v>143500</v>
      </c>
      <c r="G352" s="15">
        <v>143500</v>
      </c>
    </row>
    <row r="353" spans="1:7" x14ac:dyDescent="0.25">
      <c r="A353" s="13">
        <v>46129</v>
      </c>
      <c r="B353" s="14" t="s">
        <v>725</v>
      </c>
      <c r="C353" s="14" t="s">
        <v>194</v>
      </c>
      <c r="D353" s="14" t="s">
        <v>66</v>
      </c>
      <c r="E353" s="14" t="s">
        <v>12</v>
      </c>
      <c r="F353" s="15">
        <v>114800</v>
      </c>
      <c r="G353" s="15">
        <v>114800</v>
      </c>
    </row>
    <row r="354" spans="1:7" x14ac:dyDescent="0.25">
      <c r="A354" s="13">
        <v>46130</v>
      </c>
      <c r="B354" s="14" t="s">
        <v>726</v>
      </c>
      <c r="C354" s="14" t="s">
        <v>194</v>
      </c>
      <c r="D354" s="14" t="s">
        <v>66</v>
      </c>
      <c r="E354" s="14" t="s">
        <v>12</v>
      </c>
      <c r="F354" s="15">
        <v>57400</v>
      </c>
      <c r="G354" s="15">
        <v>57400</v>
      </c>
    </row>
    <row r="355" spans="1:7" x14ac:dyDescent="0.25">
      <c r="A355" s="13">
        <v>46131</v>
      </c>
      <c r="B355" s="14" t="s">
        <v>727</v>
      </c>
      <c r="C355" s="14" t="s">
        <v>194</v>
      </c>
      <c r="D355" s="14" t="s">
        <v>66</v>
      </c>
      <c r="E355" s="14" t="s">
        <v>12</v>
      </c>
      <c r="F355" s="15">
        <v>198604</v>
      </c>
      <c r="G355" s="15">
        <v>198604</v>
      </c>
    </row>
    <row r="356" spans="1:7" x14ac:dyDescent="0.25">
      <c r="A356" s="13">
        <v>46132</v>
      </c>
      <c r="B356" s="14" t="s">
        <v>728</v>
      </c>
      <c r="C356" s="14" t="s">
        <v>232</v>
      </c>
      <c r="D356" s="14" t="s">
        <v>39</v>
      </c>
      <c r="E356" s="14" t="s">
        <v>12</v>
      </c>
      <c r="F356" s="15">
        <v>788814</v>
      </c>
      <c r="G356" s="15">
        <v>788814</v>
      </c>
    </row>
    <row r="357" spans="1:7" x14ac:dyDescent="0.25">
      <c r="A357" s="13">
        <v>46133</v>
      </c>
      <c r="B357" s="14" t="s">
        <v>729</v>
      </c>
      <c r="C357" s="14" t="s">
        <v>261</v>
      </c>
      <c r="D357" s="14" t="s">
        <v>39</v>
      </c>
      <c r="E357" s="14" t="s">
        <v>12</v>
      </c>
      <c r="F357" s="15">
        <v>11867.04</v>
      </c>
      <c r="G357" s="15">
        <v>-11867.04</v>
      </c>
    </row>
    <row r="358" spans="1:7" x14ac:dyDescent="0.25">
      <c r="A358" s="13">
        <v>46135</v>
      </c>
      <c r="B358" s="14" t="s">
        <v>730</v>
      </c>
      <c r="C358" s="14" t="s">
        <v>355</v>
      </c>
      <c r="D358" s="14" t="s">
        <v>731</v>
      </c>
      <c r="E358" s="14" t="s">
        <v>12</v>
      </c>
      <c r="F358" s="15">
        <v>21406</v>
      </c>
      <c r="G358" s="15">
        <v>-21406</v>
      </c>
    </row>
    <row r="359" spans="1:7" x14ac:dyDescent="0.25">
      <c r="A359" s="13">
        <v>46135</v>
      </c>
      <c r="B359" s="14" t="s">
        <v>732</v>
      </c>
      <c r="C359" s="14" t="s">
        <v>296</v>
      </c>
      <c r="D359" s="14"/>
      <c r="E359" s="14" t="s">
        <v>12</v>
      </c>
      <c r="F359" s="15">
        <v>25000</v>
      </c>
      <c r="G359" s="15">
        <v>-25000</v>
      </c>
    </row>
    <row r="360" spans="1:7" x14ac:dyDescent="0.25">
      <c r="A360" s="13">
        <v>46135</v>
      </c>
      <c r="B360" s="14" t="s">
        <v>733</v>
      </c>
      <c r="C360" s="14" t="s">
        <v>206</v>
      </c>
      <c r="D360" s="14" t="s">
        <v>42</v>
      </c>
      <c r="E360" s="14" t="s">
        <v>12</v>
      </c>
      <c r="F360" s="15">
        <v>158868</v>
      </c>
      <c r="G360" s="15">
        <v>158868</v>
      </c>
    </row>
    <row r="361" spans="1:7" x14ac:dyDescent="0.25">
      <c r="A361" s="13">
        <v>46136</v>
      </c>
      <c r="B361" s="14" t="s">
        <v>734</v>
      </c>
      <c r="C361" s="14" t="s">
        <v>329</v>
      </c>
      <c r="D361" s="14" t="s">
        <v>239</v>
      </c>
      <c r="E361" s="14" t="s">
        <v>12</v>
      </c>
      <c r="F361" s="15">
        <v>317874.38</v>
      </c>
      <c r="G361" s="15">
        <v>317874.38</v>
      </c>
    </row>
    <row r="362" spans="1:7" x14ac:dyDescent="0.25">
      <c r="A362" s="13">
        <v>46136</v>
      </c>
      <c r="B362" s="14" t="s">
        <v>735</v>
      </c>
      <c r="C362" s="14" t="s">
        <v>306</v>
      </c>
      <c r="D362" s="14" t="s">
        <v>82</v>
      </c>
      <c r="E362" s="14" t="s">
        <v>12</v>
      </c>
      <c r="F362" s="15">
        <v>15000</v>
      </c>
      <c r="G362" s="15">
        <v>-15000</v>
      </c>
    </row>
    <row r="363" spans="1:7" x14ac:dyDescent="0.25">
      <c r="A363" s="13">
        <v>46140</v>
      </c>
      <c r="B363" s="14" t="s">
        <v>736</v>
      </c>
      <c r="C363" s="14" t="s">
        <v>270</v>
      </c>
      <c r="D363" s="14" t="s">
        <v>82</v>
      </c>
      <c r="E363" s="14" t="s">
        <v>12</v>
      </c>
      <c r="F363" s="15">
        <v>714140</v>
      </c>
      <c r="G363" s="15">
        <v>-714140</v>
      </c>
    </row>
    <row r="364" spans="1:7" x14ac:dyDescent="0.25">
      <c r="A364" s="13">
        <v>46140</v>
      </c>
      <c r="B364" s="14" t="s">
        <v>737</v>
      </c>
      <c r="C364" s="14" t="s">
        <v>315</v>
      </c>
      <c r="D364" s="14" t="s">
        <v>451</v>
      </c>
      <c r="E364" s="14" t="s">
        <v>12</v>
      </c>
      <c r="F364" s="15">
        <v>0.57999999999999996</v>
      </c>
      <c r="G364" s="15">
        <v>-0.57999999999999996</v>
      </c>
    </row>
    <row r="365" spans="1:7" x14ac:dyDescent="0.25">
      <c r="A365" s="13">
        <v>46141</v>
      </c>
      <c r="B365" s="14" t="s">
        <v>738</v>
      </c>
      <c r="C365" s="14" t="s">
        <v>360</v>
      </c>
      <c r="D365" s="14" t="s">
        <v>82</v>
      </c>
      <c r="E365" s="14" t="s">
        <v>12</v>
      </c>
      <c r="F365" s="15">
        <v>236708</v>
      </c>
      <c r="G365" s="15">
        <v>-236708</v>
      </c>
    </row>
    <row r="366" spans="1:7" x14ac:dyDescent="0.25">
      <c r="A366" s="13">
        <v>46142</v>
      </c>
      <c r="B366" s="14" t="s">
        <v>739</v>
      </c>
      <c r="C366" s="14" t="s">
        <v>256</v>
      </c>
      <c r="D366" s="14" t="s">
        <v>82</v>
      </c>
      <c r="E366" s="14" t="s">
        <v>12</v>
      </c>
      <c r="F366" s="15">
        <v>7148</v>
      </c>
      <c r="G366" s="15">
        <v>-7148</v>
      </c>
    </row>
    <row r="367" spans="1:7" x14ac:dyDescent="0.25">
      <c r="A367" s="13">
        <v>46142</v>
      </c>
      <c r="B367" s="14" t="s">
        <v>740</v>
      </c>
      <c r="C367" s="14" t="s">
        <v>37</v>
      </c>
      <c r="D367" s="14" t="s">
        <v>33</v>
      </c>
      <c r="E367" s="14" t="s">
        <v>12</v>
      </c>
      <c r="F367" s="15">
        <v>117948.74</v>
      </c>
      <c r="G367" s="15">
        <v>117948.74</v>
      </c>
    </row>
    <row r="368" spans="1:7" x14ac:dyDescent="0.25">
      <c r="A368" s="13">
        <v>46142</v>
      </c>
      <c r="B368" s="14" t="s">
        <v>741</v>
      </c>
      <c r="C368" s="14" t="s">
        <v>37</v>
      </c>
      <c r="D368" s="14" t="s">
        <v>33</v>
      </c>
      <c r="E368" s="14" t="s">
        <v>12</v>
      </c>
      <c r="F368" s="15">
        <v>168355.49</v>
      </c>
      <c r="G368" s="15">
        <v>168355.49</v>
      </c>
    </row>
    <row r="369" spans="1:7" x14ac:dyDescent="0.25">
      <c r="A369" s="13">
        <v>46142</v>
      </c>
      <c r="B369" s="14" t="s">
        <v>742</v>
      </c>
      <c r="C369" s="14" t="s">
        <v>37</v>
      </c>
      <c r="D369" s="14" t="s">
        <v>33</v>
      </c>
      <c r="E369" s="14" t="s">
        <v>12</v>
      </c>
      <c r="F369" s="15">
        <v>165900.56</v>
      </c>
      <c r="G369" s="15">
        <v>165900.56</v>
      </c>
    </row>
    <row r="370" spans="1:7" x14ac:dyDescent="0.25">
      <c r="A370" s="13">
        <v>46142</v>
      </c>
      <c r="B370" s="14" t="s">
        <v>743</v>
      </c>
      <c r="C370" s="14" t="s">
        <v>53</v>
      </c>
      <c r="D370" s="14" t="s">
        <v>42</v>
      </c>
      <c r="E370" s="14" t="s">
        <v>12</v>
      </c>
      <c r="F370" s="15">
        <v>1574736.17</v>
      </c>
      <c r="G370" s="15">
        <v>1574736.17</v>
      </c>
    </row>
    <row r="371" spans="1:7" x14ac:dyDescent="0.25">
      <c r="A371" s="13">
        <v>46142</v>
      </c>
      <c r="B371" s="14" t="s">
        <v>744</v>
      </c>
      <c r="C371" s="14" t="s">
        <v>332</v>
      </c>
      <c r="D371" s="14" t="s">
        <v>451</v>
      </c>
      <c r="E371" s="14" t="s">
        <v>12</v>
      </c>
      <c r="F371" s="15">
        <v>2400323.52</v>
      </c>
      <c r="G371" s="15">
        <v>2400323.52</v>
      </c>
    </row>
    <row r="372" spans="1:7" x14ac:dyDescent="0.25">
      <c r="A372" s="13">
        <v>46142</v>
      </c>
      <c r="B372" s="14" t="s">
        <v>745</v>
      </c>
      <c r="C372" s="14" t="s">
        <v>138</v>
      </c>
      <c r="D372" s="14" t="s">
        <v>463</v>
      </c>
      <c r="E372" s="14" t="s">
        <v>12</v>
      </c>
      <c r="F372" s="15">
        <v>0.4</v>
      </c>
      <c r="G372" s="15">
        <v>0.4</v>
      </c>
    </row>
    <row r="373" spans="1:7" x14ac:dyDescent="0.25">
      <c r="A373" s="13">
        <v>46142</v>
      </c>
      <c r="B373" s="14" t="s">
        <v>746</v>
      </c>
      <c r="C373" s="14" t="s">
        <v>139</v>
      </c>
      <c r="D373" s="14" t="s">
        <v>731</v>
      </c>
      <c r="E373" s="14" t="s">
        <v>12</v>
      </c>
      <c r="F373" s="15">
        <v>359397</v>
      </c>
      <c r="G373" s="15">
        <v>359397</v>
      </c>
    </row>
    <row r="374" spans="1:7" x14ac:dyDescent="0.25">
      <c r="A374" s="13">
        <v>46142</v>
      </c>
      <c r="B374" s="14" t="s">
        <v>747</v>
      </c>
      <c r="C374" s="14" t="s">
        <v>139</v>
      </c>
      <c r="D374" s="14" t="s">
        <v>731</v>
      </c>
      <c r="E374" s="14" t="s">
        <v>12</v>
      </c>
      <c r="F374" s="15">
        <v>177145.92</v>
      </c>
      <c r="G374" s="15">
        <v>177145.92</v>
      </c>
    </row>
    <row r="375" spans="1:7" x14ac:dyDescent="0.25">
      <c r="A375" s="13">
        <v>46142</v>
      </c>
      <c r="B375" s="14" t="s">
        <v>748</v>
      </c>
      <c r="C375" s="14" t="s">
        <v>139</v>
      </c>
      <c r="D375" s="14" t="s">
        <v>731</v>
      </c>
      <c r="E375" s="14" t="s">
        <v>12</v>
      </c>
      <c r="F375" s="15">
        <v>281786.03999999998</v>
      </c>
      <c r="G375" s="15">
        <v>281786.03999999998</v>
      </c>
    </row>
    <row r="376" spans="1:7" x14ac:dyDescent="0.25">
      <c r="A376" s="13">
        <v>46142</v>
      </c>
      <c r="B376" s="14" t="s">
        <v>749</v>
      </c>
      <c r="C376" s="14" t="s">
        <v>335</v>
      </c>
      <c r="D376" s="14" t="s">
        <v>463</v>
      </c>
      <c r="E376" s="14" t="s">
        <v>12</v>
      </c>
      <c r="F376" s="15">
        <v>470229.6</v>
      </c>
      <c r="G376" s="15">
        <v>470229.6</v>
      </c>
    </row>
    <row r="377" spans="1:7" x14ac:dyDescent="0.25">
      <c r="A377" s="13">
        <v>46142</v>
      </c>
      <c r="B377" s="14" t="s">
        <v>750</v>
      </c>
      <c r="C377" s="14" t="s">
        <v>335</v>
      </c>
      <c r="D377" s="14" t="s">
        <v>463</v>
      </c>
      <c r="E377" s="14" t="s">
        <v>12</v>
      </c>
      <c r="F377" s="15">
        <v>22680</v>
      </c>
      <c r="G377" s="15">
        <v>22680</v>
      </c>
    </row>
    <row r="378" spans="1:7" x14ac:dyDescent="0.25">
      <c r="A378" s="13">
        <v>46142</v>
      </c>
      <c r="B378" s="14" t="s">
        <v>751</v>
      </c>
      <c r="C378" s="14" t="s">
        <v>174</v>
      </c>
      <c r="D378" s="14" t="s">
        <v>731</v>
      </c>
      <c r="E378" s="14" t="s">
        <v>12</v>
      </c>
      <c r="F378" s="15">
        <v>148097.07999999999</v>
      </c>
      <c r="G378" s="15">
        <v>148097.07999999999</v>
      </c>
    </row>
    <row r="379" spans="1:7" x14ac:dyDescent="0.25">
      <c r="A379" s="13">
        <v>46142</v>
      </c>
      <c r="B379" s="14" t="s">
        <v>752</v>
      </c>
      <c r="C379" s="14" t="s">
        <v>174</v>
      </c>
      <c r="D379" s="14" t="s">
        <v>451</v>
      </c>
      <c r="E379" s="14" t="s">
        <v>12</v>
      </c>
      <c r="F379" s="15">
        <v>317254.8</v>
      </c>
      <c r="G379" s="15">
        <v>317254.8</v>
      </c>
    </row>
    <row r="380" spans="1:7" x14ac:dyDescent="0.25">
      <c r="A380" s="13">
        <v>46142</v>
      </c>
      <c r="B380" s="14" t="s">
        <v>753</v>
      </c>
      <c r="C380" s="14" t="s">
        <v>203</v>
      </c>
      <c r="D380" s="14" t="s">
        <v>49</v>
      </c>
      <c r="E380" s="14" t="s">
        <v>12</v>
      </c>
      <c r="F380" s="15">
        <v>102900</v>
      </c>
      <c r="G380" s="15">
        <v>102900</v>
      </c>
    </row>
    <row r="381" spans="1:7" x14ac:dyDescent="0.25">
      <c r="A381" s="13">
        <v>46142</v>
      </c>
      <c r="B381" s="14" t="s">
        <v>754</v>
      </c>
      <c r="C381" s="14" t="s">
        <v>203</v>
      </c>
      <c r="D381" s="14" t="s">
        <v>49</v>
      </c>
      <c r="E381" s="14" t="s">
        <v>12</v>
      </c>
      <c r="F381" s="15">
        <v>238630</v>
      </c>
      <c r="G381" s="15">
        <v>238630</v>
      </c>
    </row>
    <row r="382" spans="1:7" x14ac:dyDescent="0.25">
      <c r="A382" s="13">
        <v>46142</v>
      </c>
      <c r="B382" s="14" t="s">
        <v>755</v>
      </c>
      <c r="C382" s="14" t="s">
        <v>203</v>
      </c>
      <c r="D382" s="14" t="s">
        <v>66</v>
      </c>
      <c r="E382" s="14" t="s">
        <v>12</v>
      </c>
      <c r="F382" s="15">
        <v>93100</v>
      </c>
      <c r="G382" s="15">
        <v>93100</v>
      </c>
    </row>
    <row r="383" spans="1:7" x14ac:dyDescent="0.25">
      <c r="A383" s="13">
        <v>46142</v>
      </c>
      <c r="B383" s="14" t="s">
        <v>756</v>
      </c>
      <c r="C383" s="14" t="s">
        <v>203</v>
      </c>
      <c r="D383" s="14" t="s">
        <v>66</v>
      </c>
      <c r="E383" s="14" t="s">
        <v>12</v>
      </c>
      <c r="F383" s="15">
        <v>358190</v>
      </c>
      <c r="G383" s="15">
        <v>358190</v>
      </c>
    </row>
    <row r="384" spans="1:7" x14ac:dyDescent="0.25">
      <c r="A384" s="13">
        <v>46142</v>
      </c>
      <c r="B384" s="14" t="s">
        <v>757</v>
      </c>
      <c r="C384" s="14" t="s">
        <v>358</v>
      </c>
      <c r="D384" s="14" t="s">
        <v>82</v>
      </c>
      <c r="E384" s="14" t="s">
        <v>12</v>
      </c>
      <c r="F384" s="15">
        <v>2700</v>
      </c>
      <c r="G384" s="15">
        <v>-2700</v>
      </c>
    </row>
    <row r="385" spans="1:7" x14ac:dyDescent="0.25">
      <c r="A385" s="13">
        <v>46142</v>
      </c>
      <c r="B385" s="14" t="s">
        <v>758</v>
      </c>
      <c r="C385" s="14" t="s">
        <v>207</v>
      </c>
      <c r="D385" s="14" t="s">
        <v>731</v>
      </c>
      <c r="E385" s="14" t="s">
        <v>12</v>
      </c>
      <c r="F385" s="15">
        <v>526750</v>
      </c>
      <c r="G385" s="15">
        <v>526750</v>
      </c>
    </row>
    <row r="386" spans="1:7" x14ac:dyDescent="0.25">
      <c r="A386" s="13">
        <v>46142</v>
      </c>
      <c r="B386" s="14" t="s">
        <v>759</v>
      </c>
      <c r="C386" s="14" t="s">
        <v>330</v>
      </c>
      <c r="D386" s="14" t="s">
        <v>42</v>
      </c>
      <c r="E386" s="14" t="s">
        <v>12</v>
      </c>
      <c r="F386" s="15">
        <v>412960</v>
      </c>
      <c r="G386" s="15">
        <v>412960</v>
      </c>
    </row>
    <row r="387" spans="1:7" x14ac:dyDescent="0.25">
      <c r="A387" s="13">
        <v>46143</v>
      </c>
      <c r="B387" s="14" t="s">
        <v>760</v>
      </c>
      <c r="C387" s="14" t="s">
        <v>335</v>
      </c>
      <c r="D387" s="14" t="s">
        <v>463</v>
      </c>
      <c r="E387" s="14" t="s">
        <v>12</v>
      </c>
      <c r="F387" s="15">
        <v>1184693.22</v>
      </c>
      <c r="G387" s="15">
        <v>1184693.22</v>
      </c>
    </row>
    <row r="388" spans="1:7" x14ac:dyDescent="0.25">
      <c r="A388" s="13">
        <v>46143</v>
      </c>
      <c r="B388" s="14" t="s">
        <v>761</v>
      </c>
      <c r="C388" s="14" t="s">
        <v>360</v>
      </c>
      <c r="D388" s="14" t="s">
        <v>20</v>
      </c>
      <c r="E388" s="14" t="s">
        <v>12</v>
      </c>
      <c r="F388" s="15">
        <v>236708</v>
      </c>
      <c r="G388" s="15">
        <v>236708</v>
      </c>
    </row>
    <row r="389" spans="1:7" x14ac:dyDescent="0.25">
      <c r="A389" s="13">
        <v>46143</v>
      </c>
      <c r="B389" s="14" t="s">
        <v>762</v>
      </c>
      <c r="C389" s="14" t="s">
        <v>232</v>
      </c>
      <c r="D389" s="14" t="s">
        <v>39</v>
      </c>
      <c r="E389" s="14" t="s">
        <v>12</v>
      </c>
      <c r="F389" s="15">
        <v>507627.6</v>
      </c>
      <c r="G389" s="15">
        <v>507627.6</v>
      </c>
    </row>
    <row r="390" spans="1:7" x14ac:dyDescent="0.25">
      <c r="A390" s="13">
        <v>46144</v>
      </c>
      <c r="B390" s="14" t="s">
        <v>763</v>
      </c>
      <c r="C390" s="14" t="s">
        <v>354</v>
      </c>
      <c r="D390" s="14" t="s">
        <v>82</v>
      </c>
      <c r="E390" s="14" t="s">
        <v>11</v>
      </c>
      <c r="F390" s="15">
        <v>135200</v>
      </c>
      <c r="G390" s="15">
        <v>-135200</v>
      </c>
    </row>
    <row r="391" spans="1:7" x14ac:dyDescent="0.25">
      <c r="A391" s="13">
        <v>46144</v>
      </c>
      <c r="B391" s="14" t="s">
        <v>764</v>
      </c>
      <c r="C391" s="14" t="s">
        <v>207</v>
      </c>
      <c r="D391" s="14" t="s">
        <v>731</v>
      </c>
      <c r="E391" s="14" t="s">
        <v>11</v>
      </c>
      <c r="F391" s="15">
        <v>276850</v>
      </c>
      <c r="G391" s="15">
        <v>276850</v>
      </c>
    </row>
    <row r="392" spans="1:7" x14ac:dyDescent="0.25">
      <c r="A392" s="13">
        <v>46144</v>
      </c>
      <c r="B392" s="14" t="s">
        <v>765</v>
      </c>
      <c r="C392" s="14" t="s">
        <v>242</v>
      </c>
      <c r="D392" s="14" t="s">
        <v>42</v>
      </c>
      <c r="E392" s="14" t="s">
        <v>11</v>
      </c>
      <c r="F392" s="15">
        <v>294644.13</v>
      </c>
      <c r="G392" s="15">
        <v>294644.13</v>
      </c>
    </row>
    <row r="393" spans="1:7" x14ac:dyDescent="0.25">
      <c r="A393" s="13">
        <v>46145</v>
      </c>
      <c r="B393" s="14" t="s">
        <v>766</v>
      </c>
      <c r="C393" s="14" t="s">
        <v>206</v>
      </c>
      <c r="D393" s="14" t="s">
        <v>42</v>
      </c>
      <c r="E393" s="14" t="s">
        <v>11</v>
      </c>
      <c r="F393" s="15">
        <v>106550</v>
      </c>
      <c r="G393" s="15">
        <v>106550</v>
      </c>
    </row>
    <row r="394" spans="1:7" x14ac:dyDescent="0.25">
      <c r="A394" s="13">
        <v>46146</v>
      </c>
      <c r="B394" s="14" t="s">
        <v>767</v>
      </c>
      <c r="C394" s="14" t="s">
        <v>328</v>
      </c>
      <c r="D394" s="14" t="s">
        <v>42</v>
      </c>
      <c r="E394" s="14" t="s">
        <v>11</v>
      </c>
      <c r="F394" s="15">
        <v>972675</v>
      </c>
      <c r="G394" s="15">
        <v>972675</v>
      </c>
    </row>
    <row r="395" spans="1:7" x14ac:dyDescent="0.25">
      <c r="A395" s="13">
        <v>46148</v>
      </c>
      <c r="B395" s="14" t="s">
        <v>768</v>
      </c>
      <c r="C395" s="14" t="s">
        <v>158</v>
      </c>
      <c r="D395" s="14" t="s">
        <v>463</v>
      </c>
      <c r="E395" s="14" t="s">
        <v>11</v>
      </c>
      <c r="F395" s="15">
        <v>81792.98</v>
      </c>
      <c r="G395" s="15">
        <v>81792.98</v>
      </c>
    </row>
    <row r="396" spans="1:7" x14ac:dyDescent="0.25">
      <c r="A396" s="13">
        <v>46148</v>
      </c>
      <c r="B396" s="14" t="s">
        <v>769</v>
      </c>
      <c r="C396" s="14" t="s">
        <v>158</v>
      </c>
      <c r="D396" s="14" t="s">
        <v>463</v>
      </c>
      <c r="E396" s="14" t="s">
        <v>11</v>
      </c>
      <c r="F396" s="15">
        <v>334281.94</v>
      </c>
      <c r="G396" s="15">
        <v>334281.94</v>
      </c>
    </row>
    <row r="397" spans="1:7" x14ac:dyDescent="0.25">
      <c r="A397" s="13">
        <v>46148</v>
      </c>
      <c r="B397" s="14" t="s">
        <v>770</v>
      </c>
      <c r="C397" s="14" t="s">
        <v>233</v>
      </c>
      <c r="D397" s="14" t="s">
        <v>731</v>
      </c>
      <c r="E397" s="14" t="s">
        <v>11</v>
      </c>
      <c r="F397" s="15">
        <v>254800</v>
      </c>
      <c r="G397" s="15">
        <v>254800</v>
      </c>
    </row>
    <row r="398" spans="1:7" x14ac:dyDescent="0.25">
      <c r="A398" s="13">
        <v>46148</v>
      </c>
      <c r="B398" s="14" t="s">
        <v>771</v>
      </c>
      <c r="C398" s="14" t="s">
        <v>233</v>
      </c>
      <c r="D398" s="14" t="s">
        <v>731</v>
      </c>
      <c r="E398" s="14" t="s">
        <v>11</v>
      </c>
      <c r="F398" s="15">
        <v>1167915</v>
      </c>
      <c r="G398" s="15">
        <v>1167915</v>
      </c>
    </row>
    <row r="399" spans="1:7" x14ac:dyDescent="0.25">
      <c r="A399" s="13">
        <v>46150</v>
      </c>
      <c r="B399" s="14" t="s">
        <v>772</v>
      </c>
      <c r="C399" s="14" t="s">
        <v>328</v>
      </c>
      <c r="D399" s="14" t="s">
        <v>42</v>
      </c>
      <c r="E399" s="14" t="s">
        <v>11</v>
      </c>
      <c r="F399" s="15">
        <v>572588.38</v>
      </c>
      <c r="G399" s="15">
        <v>572588.38</v>
      </c>
    </row>
    <row r="400" spans="1:7" x14ac:dyDescent="0.25">
      <c r="A400" s="13">
        <v>46150</v>
      </c>
      <c r="B400" s="14" t="s">
        <v>773</v>
      </c>
      <c r="C400" s="14" t="s">
        <v>206</v>
      </c>
      <c r="D400" s="14" t="s">
        <v>42</v>
      </c>
      <c r="E400" s="14" t="s">
        <v>11</v>
      </c>
      <c r="F400" s="15">
        <v>19926</v>
      </c>
      <c r="G400" s="15">
        <v>19926</v>
      </c>
    </row>
    <row r="401" spans="1:7" x14ac:dyDescent="0.25">
      <c r="A401" s="13">
        <v>46150</v>
      </c>
      <c r="B401" s="14" t="s">
        <v>774</v>
      </c>
      <c r="C401" s="14" t="s">
        <v>207</v>
      </c>
      <c r="D401" s="14" t="s">
        <v>731</v>
      </c>
      <c r="E401" s="14" t="s">
        <v>11</v>
      </c>
      <c r="F401" s="15">
        <v>63700</v>
      </c>
      <c r="G401" s="15">
        <v>63700</v>
      </c>
    </row>
    <row r="402" spans="1:7" x14ac:dyDescent="0.25">
      <c r="A402" s="13">
        <v>46152</v>
      </c>
      <c r="B402" s="14" t="s">
        <v>775</v>
      </c>
      <c r="C402" s="14" t="s">
        <v>206</v>
      </c>
      <c r="D402" s="14" t="s">
        <v>42</v>
      </c>
      <c r="E402" s="14" t="s">
        <v>11</v>
      </c>
      <c r="F402" s="15">
        <v>88344</v>
      </c>
      <c r="G402" s="15">
        <v>88344</v>
      </c>
    </row>
    <row r="403" spans="1:7" x14ac:dyDescent="0.25">
      <c r="A403" s="13">
        <v>46154</v>
      </c>
      <c r="B403" s="14" t="s">
        <v>776</v>
      </c>
      <c r="C403" s="14" t="s">
        <v>250</v>
      </c>
      <c r="D403" s="14" t="s">
        <v>42</v>
      </c>
      <c r="E403" s="14" t="s">
        <v>11</v>
      </c>
      <c r="F403" s="15">
        <v>64680</v>
      </c>
      <c r="G403" s="15">
        <v>64680</v>
      </c>
    </row>
    <row r="404" spans="1:7" x14ac:dyDescent="0.25">
      <c r="A404" s="13">
        <v>46154</v>
      </c>
      <c r="B404" s="14" t="s">
        <v>777</v>
      </c>
      <c r="C404" s="14" t="s">
        <v>250</v>
      </c>
      <c r="D404" s="14" t="s">
        <v>42</v>
      </c>
      <c r="E404" s="14" t="s">
        <v>11</v>
      </c>
      <c r="F404" s="15">
        <v>95550</v>
      </c>
      <c r="G404" s="15">
        <v>95550</v>
      </c>
    </row>
    <row r="405" spans="1:7" x14ac:dyDescent="0.25">
      <c r="A405" s="13">
        <v>46156</v>
      </c>
      <c r="B405" s="14" t="s">
        <v>778</v>
      </c>
      <c r="C405" s="14" t="s">
        <v>194</v>
      </c>
      <c r="D405" s="14" t="s">
        <v>66</v>
      </c>
      <c r="E405" s="14" t="s">
        <v>11</v>
      </c>
      <c r="F405" s="15">
        <v>199178</v>
      </c>
      <c r="G405" s="15">
        <v>199178</v>
      </c>
    </row>
    <row r="406" spans="1:7" x14ac:dyDescent="0.25">
      <c r="A406" s="13">
        <v>46157</v>
      </c>
      <c r="B406" s="14" t="s">
        <v>779</v>
      </c>
      <c r="C406" s="14" t="s">
        <v>136</v>
      </c>
      <c r="D406" s="14" t="s">
        <v>463</v>
      </c>
      <c r="E406" s="14" t="s">
        <v>11</v>
      </c>
      <c r="F406" s="15">
        <v>208400</v>
      </c>
      <c r="G406" s="15">
        <v>208400</v>
      </c>
    </row>
    <row r="407" spans="1:7" x14ac:dyDescent="0.25">
      <c r="A407" s="13">
        <v>46157</v>
      </c>
      <c r="B407" s="14" t="s">
        <v>780</v>
      </c>
      <c r="C407" s="14" t="s">
        <v>194</v>
      </c>
      <c r="D407" s="14" t="s">
        <v>79</v>
      </c>
      <c r="E407" s="14" t="s">
        <v>11</v>
      </c>
      <c r="F407" s="15">
        <v>11480</v>
      </c>
      <c r="G407" s="15">
        <v>11480</v>
      </c>
    </row>
    <row r="408" spans="1:7" x14ac:dyDescent="0.25">
      <c r="A408" s="13">
        <v>46157</v>
      </c>
      <c r="B408" s="14" t="s">
        <v>781</v>
      </c>
      <c r="C408" s="14" t="s">
        <v>194</v>
      </c>
      <c r="D408" s="14" t="s">
        <v>66</v>
      </c>
      <c r="E408" s="14" t="s">
        <v>11</v>
      </c>
      <c r="F408" s="15">
        <v>172200</v>
      </c>
      <c r="G408" s="15">
        <v>172200</v>
      </c>
    </row>
    <row r="409" spans="1:7" x14ac:dyDescent="0.25">
      <c r="A409" s="13">
        <v>46158</v>
      </c>
      <c r="B409" s="14" t="s">
        <v>782</v>
      </c>
      <c r="C409" s="14" t="s">
        <v>194</v>
      </c>
      <c r="D409" s="14" t="s">
        <v>66</v>
      </c>
      <c r="E409" s="14" t="s">
        <v>11</v>
      </c>
      <c r="F409" s="15">
        <v>172200</v>
      </c>
      <c r="G409" s="15">
        <v>172200</v>
      </c>
    </row>
    <row r="410" spans="1:7" x14ac:dyDescent="0.25">
      <c r="A410" s="13">
        <v>46160</v>
      </c>
      <c r="B410" s="14" t="s">
        <v>783</v>
      </c>
      <c r="C410" s="14" t="s">
        <v>253</v>
      </c>
      <c r="D410" s="14" t="s">
        <v>79</v>
      </c>
      <c r="E410" s="14" t="s">
        <v>11</v>
      </c>
      <c r="F410" s="15">
        <v>94000</v>
      </c>
      <c r="G410" s="15">
        <v>-94000</v>
      </c>
    </row>
    <row r="411" spans="1:7" x14ac:dyDescent="0.25">
      <c r="A411" s="13">
        <v>46160</v>
      </c>
      <c r="B411" s="14" t="s">
        <v>784</v>
      </c>
      <c r="C411" s="14" t="s">
        <v>123</v>
      </c>
      <c r="D411" s="14" t="s">
        <v>33</v>
      </c>
      <c r="E411" s="14" t="s">
        <v>11</v>
      </c>
      <c r="F411" s="15">
        <v>123984.12</v>
      </c>
      <c r="G411" s="15">
        <v>123984.12</v>
      </c>
    </row>
    <row r="412" spans="1:7" x14ac:dyDescent="0.25">
      <c r="A412" s="13">
        <v>46160</v>
      </c>
      <c r="B412" s="14" t="s">
        <v>785</v>
      </c>
      <c r="C412" s="14" t="s">
        <v>123</v>
      </c>
      <c r="D412" s="14" t="s">
        <v>33</v>
      </c>
      <c r="E412" s="14" t="s">
        <v>11</v>
      </c>
      <c r="F412" s="15">
        <v>119452.12</v>
      </c>
      <c r="G412" s="15">
        <v>119452.12</v>
      </c>
    </row>
    <row r="413" spans="1:7" x14ac:dyDescent="0.25">
      <c r="A413" s="13">
        <v>46160</v>
      </c>
      <c r="B413" s="14" t="s">
        <v>786</v>
      </c>
      <c r="C413" s="14" t="s">
        <v>358</v>
      </c>
      <c r="D413" s="14" t="s">
        <v>82</v>
      </c>
      <c r="E413" s="14" t="s">
        <v>11</v>
      </c>
      <c r="F413" s="15">
        <v>2700</v>
      </c>
      <c r="G413" s="15">
        <v>2700</v>
      </c>
    </row>
    <row r="414" spans="1:7" x14ac:dyDescent="0.25">
      <c r="A414" s="13">
        <v>46160</v>
      </c>
      <c r="B414" s="14" t="s">
        <v>787</v>
      </c>
      <c r="C414" s="14" t="s">
        <v>194</v>
      </c>
      <c r="D414" s="14" t="s">
        <v>79</v>
      </c>
      <c r="E414" s="14" t="s">
        <v>11</v>
      </c>
      <c r="F414" s="15">
        <v>198030</v>
      </c>
      <c r="G414" s="15">
        <v>198030</v>
      </c>
    </row>
    <row r="415" spans="1:7" x14ac:dyDescent="0.25">
      <c r="A415" s="13">
        <v>46161</v>
      </c>
      <c r="B415" s="14" t="s">
        <v>788</v>
      </c>
      <c r="C415" s="14" t="s">
        <v>86</v>
      </c>
      <c r="D415" s="14"/>
      <c r="E415" s="14" t="s">
        <v>11</v>
      </c>
      <c r="F415" s="15">
        <v>660.95</v>
      </c>
      <c r="G415" s="15">
        <v>-660.95</v>
      </c>
    </row>
    <row r="416" spans="1:7" x14ac:dyDescent="0.25">
      <c r="A416" s="13">
        <v>46161</v>
      </c>
      <c r="B416" s="14" t="s">
        <v>789</v>
      </c>
      <c r="C416" s="14" t="s">
        <v>194</v>
      </c>
      <c r="D416" s="14" t="s">
        <v>66</v>
      </c>
      <c r="E416" s="14" t="s">
        <v>11</v>
      </c>
      <c r="F416" s="15">
        <v>143500</v>
      </c>
      <c r="G416" s="15">
        <v>143500</v>
      </c>
    </row>
    <row r="417" spans="1:7" x14ac:dyDescent="0.25">
      <c r="A417" s="13">
        <v>46161</v>
      </c>
      <c r="B417" s="14" t="s">
        <v>790</v>
      </c>
      <c r="C417" s="14" t="s">
        <v>194</v>
      </c>
      <c r="D417" s="14" t="s">
        <v>66</v>
      </c>
      <c r="E417" s="14" t="s">
        <v>11</v>
      </c>
      <c r="F417" s="15">
        <v>57400</v>
      </c>
      <c r="G417" s="15">
        <v>57400</v>
      </c>
    </row>
    <row r="418" spans="1:7" x14ac:dyDescent="0.25">
      <c r="A418" s="13">
        <v>46161</v>
      </c>
      <c r="B418" s="14" t="s">
        <v>454</v>
      </c>
      <c r="C418" s="14" t="s">
        <v>194</v>
      </c>
      <c r="D418" s="14" t="s">
        <v>20</v>
      </c>
      <c r="E418" s="14" t="s">
        <v>11</v>
      </c>
      <c r="F418" s="15">
        <v>172200</v>
      </c>
      <c r="G418" s="15">
        <v>172200</v>
      </c>
    </row>
    <row r="419" spans="1:7" x14ac:dyDescent="0.25">
      <c r="A419" s="13">
        <v>46162</v>
      </c>
      <c r="B419" s="14" t="s">
        <v>791</v>
      </c>
      <c r="C419" s="14" t="s">
        <v>53</v>
      </c>
      <c r="D419" s="14" t="s">
        <v>42</v>
      </c>
      <c r="E419" s="14" t="s">
        <v>11</v>
      </c>
      <c r="F419" s="15">
        <v>881620.06</v>
      </c>
      <c r="G419" s="15">
        <v>881620.06</v>
      </c>
    </row>
    <row r="420" spans="1:7" x14ac:dyDescent="0.25">
      <c r="A420" s="13">
        <v>46162</v>
      </c>
      <c r="B420" s="14" t="s">
        <v>792</v>
      </c>
      <c r="C420" s="14" t="s">
        <v>294</v>
      </c>
      <c r="D420" s="14"/>
      <c r="E420" s="14" t="s">
        <v>11</v>
      </c>
      <c r="F420" s="15">
        <v>25000</v>
      </c>
      <c r="G420" s="15">
        <v>-25000</v>
      </c>
    </row>
    <row r="421" spans="1:7" x14ac:dyDescent="0.25">
      <c r="A421" s="13">
        <v>46162</v>
      </c>
      <c r="B421" s="14" t="s">
        <v>793</v>
      </c>
      <c r="C421" s="14" t="s">
        <v>194</v>
      </c>
      <c r="D421" s="14" t="s">
        <v>66</v>
      </c>
      <c r="E421" s="14" t="s">
        <v>11</v>
      </c>
      <c r="F421" s="15">
        <v>169904</v>
      </c>
      <c r="G421" s="15">
        <v>169904</v>
      </c>
    </row>
    <row r="422" spans="1:7" x14ac:dyDescent="0.25">
      <c r="A422" s="13">
        <v>46162</v>
      </c>
      <c r="B422" s="14" t="s">
        <v>794</v>
      </c>
      <c r="C422" s="14" t="s">
        <v>194</v>
      </c>
      <c r="D422" s="14" t="s">
        <v>66</v>
      </c>
      <c r="E422" s="14" t="s">
        <v>11</v>
      </c>
      <c r="F422" s="15">
        <v>28700</v>
      </c>
      <c r="G422" s="15">
        <v>28700</v>
      </c>
    </row>
    <row r="423" spans="1:7" x14ac:dyDescent="0.25">
      <c r="A423" s="13">
        <v>46163</v>
      </c>
      <c r="B423" s="14" t="s">
        <v>795</v>
      </c>
      <c r="C423" s="14" t="s">
        <v>163</v>
      </c>
      <c r="D423" s="14" t="s">
        <v>451</v>
      </c>
      <c r="E423" s="14" t="s">
        <v>11</v>
      </c>
      <c r="F423" s="15">
        <v>89859</v>
      </c>
      <c r="G423" s="15">
        <v>89859</v>
      </c>
    </row>
    <row r="424" spans="1:7" x14ac:dyDescent="0.25">
      <c r="A424" s="13">
        <v>46166</v>
      </c>
      <c r="B424" s="14" t="s">
        <v>796</v>
      </c>
      <c r="C424" s="14" t="s">
        <v>194</v>
      </c>
      <c r="D424" s="14" t="s">
        <v>66</v>
      </c>
      <c r="E424" s="14" t="s">
        <v>11</v>
      </c>
      <c r="F424" s="15">
        <v>57400</v>
      </c>
      <c r="G424" s="15">
        <v>57400</v>
      </c>
    </row>
    <row r="425" spans="1:7" x14ac:dyDescent="0.25">
      <c r="A425" s="13">
        <v>46166</v>
      </c>
      <c r="B425" s="14" t="s">
        <v>797</v>
      </c>
      <c r="C425" s="14" t="s">
        <v>194</v>
      </c>
      <c r="D425" s="14" t="s">
        <v>463</v>
      </c>
      <c r="E425" s="14" t="s">
        <v>11</v>
      </c>
      <c r="F425" s="15">
        <v>198030</v>
      </c>
      <c r="G425" s="15">
        <v>198030</v>
      </c>
    </row>
    <row r="426" spans="1:7" x14ac:dyDescent="0.25">
      <c r="A426" s="13">
        <v>46167</v>
      </c>
      <c r="B426" s="14" t="s">
        <v>798</v>
      </c>
      <c r="C426" s="14" t="s">
        <v>123</v>
      </c>
      <c r="D426" s="14" t="s">
        <v>33</v>
      </c>
      <c r="E426" s="14" t="s">
        <v>11</v>
      </c>
      <c r="F426" s="15">
        <v>134534.5</v>
      </c>
      <c r="G426" s="15">
        <v>134534.5</v>
      </c>
    </row>
    <row r="427" spans="1:7" x14ac:dyDescent="0.25">
      <c r="A427" s="13">
        <v>46167</v>
      </c>
      <c r="B427" s="14" t="s">
        <v>799</v>
      </c>
      <c r="C427" s="14" t="s">
        <v>284</v>
      </c>
      <c r="D427" s="14" t="s">
        <v>731</v>
      </c>
      <c r="E427" s="14" t="s">
        <v>11</v>
      </c>
      <c r="F427" s="15">
        <v>5781.9</v>
      </c>
      <c r="G427" s="15">
        <v>-5781.9</v>
      </c>
    </row>
    <row r="428" spans="1:7" x14ac:dyDescent="0.25">
      <c r="A428" s="13">
        <v>46167</v>
      </c>
      <c r="B428" s="14" t="s">
        <v>800</v>
      </c>
      <c r="C428" s="14" t="s">
        <v>354</v>
      </c>
      <c r="D428" s="14" t="s">
        <v>82</v>
      </c>
      <c r="E428" s="14" t="s">
        <v>11</v>
      </c>
      <c r="F428" s="15">
        <v>135200</v>
      </c>
      <c r="G428" s="15">
        <v>135200</v>
      </c>
    </row>
    <row r="429" spans="1:7" x14ac:dyDescent="0.25">
      <c r="A429" s="13">
        <v>46168</v>
      </c>
      <c r="B429" s="14" t="s">
        <v>801</v>
      </c>
      <c r="C429" s="14" t="s">
        <v>37</v>
      </c>
      <c r="D429" s="14" t="s">
        <v>33</v>
      </c>
      <c r="E429" s="14" t="s">
        <v>11</v>
      </c>
      <c r="F429" s="15">
        <v>57618.36</v>
      </c>
      <c r="G429" s="15">
        <v>57618.36</v>
      </c>
    </row>
    <row r="430" spans="1:7" x14ac:dyDescent="0.25">
      <c r="A430" s="13">
        <v>46168</v>
      </c>
      <c r="B430" s="14" t="s">
        <v>802</v>
      </c>
      <c r="C430" s="14" t="s">
        <v>37</v>
      </c>
      <c r="D430" s="14" t="s">
        <v>33</v>
      </c>
      <c r="E430" s="14" t="s">
        <v>11</v>
      </c>
      <c r="F430" s="15">
        <v>108800.94</v>
      </c>
      <c r="G430" s="15">
        <v>108800.94</v>
      </c>
    </row>
    <row r="431" spans="1:7" x14ac:dyDescent="0.25">
      <c r="A431" s="13">
        <v>46168</v>
      </c>
      <c r="B431" s="14" t="s">
        <v>803</v>
      </c>
      <c r="C431" s="14" t="s">
        <v>250</v>
      </c>
      <c r="D431" s="14" t="s">
        <v>451</v>
      </c>
      <c r="E431" s="14" t="s">
        <v>11</v>
      </c>
      <c r="F431" s="15">
        <v>143325</v>
      </c>
      <c r="G431" s="15">
        <v>143325</v>
      </c>
    </row>
    <row r="432" spans="1:7" x14ac:dyDescent="0.25">
      <c r="A432" s="13">
        <v>46169</v>
      </c>
      <c r="B432" s="14" t="s">
        <v>804</v>
      </c>
      <c r="C432" s="14" t="s">
        <v>54</v>
      </c>
      <c r="D432" s="14" t="s">
        <v>463</v>
      </c>
      <c r="E432" s="14" t="s">
        <v>11</v>
      </c>
      <c r="F432" s="15">
        <v>40.5</v>
      </c>
      <c r="G432" s="15">
        <v>-40.5</v>
      </c>
    </row>
    <row r="433" spans="1:7" x14ac:dyDescent="0.25">
      <c r="A433" s="13">
        <v>46169</v>
      </c>
      <c r="B433" s="14" t="s">
        <v>805</v>
      </c>
      <c r="C433" s="14" t="s">
        <v>194</v>
      </c>
      <c r="D433" s="14" t="s">
        <v>66</v>
      </c>
      <c r="E433" s="14" t="s">
        <v>11</v>
      </c>
      <c r="F433" s="15">
        <v>172200</v>
      </c>
      <c r="G433" s="15">
        <v>172200</v>
      </c>
    </row>
    <row r="434" spans="1:7" x14ac:dyDescent="0.25">
      <c r="A434" s="13">
        <v>46169</v>
      </c>
      <c r="B434" s="14" t="s">
        <v>806</v>
      </c>
      <c r="C434" s="14" t="s">
        <v>194</v>
      </c>
      <c r="D434" s="14" t="s">
        <v>66</v>
      </c>
      <c r="E434" s="14" t="s">
        <v>11</v>
      </c>
      <c r="F434" s="15">
        <v>188677</v>
      </c>
      <c r="G434" s="15">
        <v>188677</v>
      </c>
    </row>
    <row r="435" spans="1:7" x14ac:dyDescent="0.25">
      <c r="A435" s="13">
        <v>46170</v>
      </c>
      <c r="B435" s="14" t="s">
        <v>807</v>
      </c>
      <c r="C435" s="14" t="s">
        <v>127</v>
      </c>
      <c r="D435" s="14" t="s">
        <v>33</v>
      </c>
      <c r="E435" s="14" t="s">
        <v>11</v>
      </c>
      <c r="F435" s="15">
        <v>123615.58</v>
      </c>
      <c r="G435" s="15">
        <v>123615.58</v>
      </c>
    </row>
    <row r="436" spans="1:7" x14ac:dyDescent="0.25">
      <c r="A436" s="13">
        <v>46170</v>
      </c>
      <c r="B436" s="14" t="s">
        <v>808</v>
      </c>
      <c r="C436" s="14" t="s">
        <v>194</v>
      </c>
      <c r="D436" s="14" t="s">
        <v>66</v>
      </c>
      <c r="E436" s="14" t="s">
        <v>11</v>
      </c>
      <c r="F436" s="15">
        <v>169752</v>
      </c>
      <c r="G436" s="15">
        <v>169752</v>
      </c>
    </row>
    <row r="437" spans="1:7" x14ac:dyDescent="0.25">
      <c r="A437" s="13">
        <v>46170</v>
      </c>
      <c r="B437" s="14" t="s">
        <v>809</v>
      </c>
      <c r="C437" s="14" t="s">
        <v>194</v>
      </c>
      <c r="D437" s="14" t="s">
        <v>66</v>
      </c>
      <c r="E437" s="14" t="s">
        <v>11</v>
      </c>
      <c r="F437" s="15">
        <v>169752</v>
      </c>
      <c r="G437" s="15">
        <v>169752</v>
      </c>
    </row>
    <row r="438" spans="1:7" x14ac:dyDescent="0.25">
      <c r="A438" s="13">
        <v>46171</v>
      </c>
      <c r="B438" s="14" t="s">
        <v>810</v>
      </c>
      <c r="C438" s="14" t="s">
        <v>174</v>
      </c>
      <c r="D438" s="14" t="s">
        <v>451</v>
      </c>
      <c r="E438" s="14" t="s">
        <v>11</v>
      </c>
      <c r="F438" s="15">
        <v>22868.400000000001</v>
      </c>
      <c r="G438" s="15">
        <v>22868.400000000001</v>
      </c>
    </row>
    <row r="439" spans="1:7" x14ac:dyDescent="0.25">
      <c r="A439" s="13">
        <v>46172</v>
      </c>
      <c r="B439" s="14" t="s">
        <v>811</v>
      </c>
      <c r="C439" s="14" t="s">
        <v>37</v>
      </c>
      <c r="D439" s="14" t="s">
        <v>33</v>
      </c>
      <c r="E439" s="14" t="s">
        <v>11</v>
      </c>
      <c r="F439" s="15">
        <v>182712.9</v>
      </c>
      <c r="G439" s="15">
        <v>182712.9</v>
      </c>
    </row>
    <row r="440" spans="1:7" x14ac:dyDescent="0.25">
      <c r="A440" s="13">
        <v>46172</v>
      </c>
      <c r="B440" s="14" t="s">
        <v>812</v>
      </c>
      <c r="C440" s="14" t="s">
        <v>75</v>
      </c>
      <c r="D440" s="14" t="s">
        <v>42</v>
      </c>
      <c r="E440" s="14" t="s">
        <v>11</v>
      </c>
      <c r="F440" s="15">
        <v>85492</v>
      </c>
      <c r="G440" s="15">
        <v>85492</v>
      </c>
    </row>
    <row r="441" spans="1:7" x14ac:dyDescent="0.25">
      <c r="A441" s="13">
        <v>46172</v>
      </c>
      <c r="B441" s="14" t="s">
        <v>813</v>
      </c>
      <c r="C441" s="14" t="s">
        <v>75</v>
      </c>
      <c r="D441" s="14" t="s">
        <v>39</v>
      </c>
      <c r="E441" s="14" t="s">
        <v>11</v>
      </c>
      <c r="F441" s="15">
        <v>125280</v>
      </c>
      <c r="G441" s="15">
        <v>125280</v>
      </c>
    </row>
    <row r="442" spans="1:7" x14ac:dyDescent="0.25">
      <c r="A442" s="13">
        <v>46172</v>
      </c>
      <c r="B442" s="14" t="s">
        <v>814</v>
      </c>
      <c r="C442" s="14" t="s">
        <v>75</v>
      </c>
      <c r="D442" s="14" t="s">
        <v>66</v>
      </c>
      <c r="E442" s="14" t="s">
        <v>11</v>
      </c>
      <c r="F442" s="15">
        <v>71340</v>
      </c>
      <c r="G442" s="15">
        <v>71340</v>
      </c>
    </row>
    <row r="443" spans="1:7" x14ac:dyDescent="0.25">
      <c r="A443" s="13">
        <v>46172</v>
      </c>
      <c r="B443" s="14" t="s">
        <v>815</v>
      </c>
      <c r="C443" s="14" t="s">
        <v>75</v>
      </c>
      <c r="D443" s="14" t="s">
        <v>731</v>
      </c>
      <c r="E443" s="14" t="s">
        <v>11</v>
      </c>
      <c r="F443" s="15">
        <v>120060</v>
      </c>
      <c r="G443" s="15">
        <v>120060</v>
      </c>
    </row>
    <row r="444" spans="1:7" x14ac:dyDescent="0.25">
      <c r="A444" s="13">
        <v>46172</v>
      </c>
      <c r="B444" s="14" t="s">
        <v>816</v>
      </c>
      <c r="C444" s="14" t="s">
        <v>89</v>
      </c>
      <c r="D444" s="14" t="s">
        <v>42</v>
      </c>
      <c r="E444" s="14" t="s">
        <v>11</v>
      </c>
      <c r="F444" s="15">
        <v>43200</v>
      </c>
      <c r="G444" s="15">
        <v>43200</v>
      </c>
    </row>
    <row r="445" spans="1:7" x14ac:dyDescent="0.25">
      <c r="A445" s="13">
        <v>46172</v>
      </c>
      <c r="B445" s="14" t="s">
        <v>817</v>
      </c>
      <c r="C445" s="14" t="s">
        <v>123</v>
      </c>
      <c r="D445" s="14" t="s">
        <v>33</v>
      </c>
      <c r="E445" s="14" t="s">
        <v>11</v>
      </c>
      <c r="F445" s="15">
        <v>123901.43</v>
      </c>
      <c r="G445" s="15">
        <v>123901.43</v>
      </c>
    </row>
    <row r="446" spans="1:7" x14ac:dyDescent="0.25">
      <c r="A446" s="13">
        <v>46172</v>
      </c>
      <c r="B446" s="14" t="s">
        <v>818</v>
      </c>
      <c r="C446" s="14" t="s">
        <v>123</v>
      </c>
      <c r="D446" s="14" t="s">
        <v>33</v>
      </c>
      <c r="E446" s="14" t="s">
        <v>11</v>
      </c>
      <c r="F446" s="15">
        <v>110308.8</v>
      </c>
      <c r="G446" s="15">
        <v>110308.8</v>
      </c>
    </row>
    <row r="447" spans="1:7" x14ac:dyDescent="0.25">
      <c r="A447" s="13">
        <v>46172</v>
      </c>
      <c r="B447" s="14" t="s">
        <v>819</v>
      </c>
      <c r="C447" s="14" t="s">
        <v>123</v>
      </c>
      <c r="D447" s="14" t="s">
        <v>33</v>
      </c>
      <c r="E447" s="14" t="s">
        <v>11</v>
      </c>
      <c r="F447" s="15">
        <v>129460.12</v>
      </c>
      <c r="G447" s="15">
        <v>129460.12</v>
      </c>
    </row>
    <row r="448" spans="1:7" x14ac:dyDescent="0.25">
      <c r="A448" s="13">
        <v>46172</v>
      </c>
      <c r="B448" s="14" t="s">
        <v>820</v>
      </c>
      <c r="C448" s="14" t="s">
        <v>352</v>
      </c>
      <c r="D448" s="14" t="s">
        <v>463</v>
      </c>
      <c r="E448" s="14" t="s">
        <v>11</v>
      </c>
      <c r="F448" s="15">
        <v>108242</v>
      </c>
      <c r="G448" s="15">
        <v>-108242</v>
      </c>
    </row>
    <row r="449" spans="1:7" x14ac:dyDescent="0.25">
      <c r="A449" s="13">
        <v>46173</v>
      </c>
      <c r="B449" s="14" t="s">
        <v>821</v>
      </c>
      <c r="C449" s="14" t="s">
        <v>23</v>
      </c>
      <c r="D449" s="14" t="s">
        <v>42</v>
      </c>
      <c r="E449" s="14" t="s">
        <v>11</v>
      </c>
      <c r="F449" s="15">
        <v>80439.38</v>
      </c>
      <c r="G449" s="15">
        <v>80439.38</v>
      </c>
    </row>
    <row r="450" spans="1:7" x14ac:dyDescent="0.25">
      <c r="A450" s="13">
        <v>46173</v>
      </c>
      <c r="B450" s="14" t="s">
        <v>822</v>
      </c>
      <c r="C450" s="14" t="s">
        <v>31</v>
      </c>
      <c r="D450" s="14" t="s">
        <v>49</v>
      </c>
      <c r="E450" s="14" t="s">
        <v>11</v>
      </c>
      <c r="F450" s="15">
        <v>35913.4</v>
      </c>
      <c r="G450" s="15">
        <v>35913.4</v>
      </c>
    </row>
    <row r="451" spans="1:7" x14ac:dyDescent="0.25">
      <c r="A451" s="13">
        <v>46173</v>
      </c>
      <c r="B451" s="14" t="s">
        <v>823</v>
      </c>
      <c r="C451" s="14" t="s">
        <v>351</v>
      </c>
      <c r="D451" s="14" t="s">
        <v>66</v>
      </c>
      <c r="E451" s="14" t="s">
        <v>11</v>
      </c>
      <c r="F451" s="15">
        <v>20512</v>
      </c>
      <c r="G451" s="15">
        <v>20512</v>
      </c>
    </row>
    <row r="452" spans="1:7" x14ac:dyDescent="0.25">
      <c r="A452" s="13">
        <v>46173</v>
      </c>
      <c r="B452" s="14" t="s">
        <v>824</v>
      </c>
      <c r="C452" s="14" t="s">
        <v>37</v>
      </c>
      <c r="D452" s="14" t="s">
        <v>33</v>
      </c>
      <c r="E452" s="14" t="s">
        <v>11</v>
      </c>
      <c r="F452" s="15">
        <v>58628.5</v>
      </c>
      <c r="G452" s="15">
        <v>58628.5</v>
      </c>
    </row>
    <row r="453" spans="1:7" x14ac:dyDescent="0.25">
      <c r="A453" s="13">
        <v>46173</v>
      </c>
      <c r="B453" s="14" t="s">
        <v>825</v>
      </c>
      <c r="C453" s="14" t="s">
        <v>37</v>
      </c>
      <c r="D453" s="14" t="s">
        <v>33</v>
      </c>
      <c r="E453" s="14" t="s">
        <v>11</v>
      </c>
      <c r="F453" s="15">
        <v>121700.01</v>
      </c>
      <c r="G453" s="15">
        <v>121700.01</v>
      </c>
    </row>
    <row r="454" spans="1:7" x14ac:dyDescent="0.25">
      <c r="A454" s="13">
        <v>46173</v>
      </c>
      <c r="B454" s="14" t="s">
        <v>826</v>
      </c>
      <c r="C454" s="14" t="s">
        <v>260</v>
      </c>
      <c r="D454" s="14" t="s">
        <v>49</v>
      </c>
      <c r="E454" s="14" t="s">
        <v>11</v>
      </c>
      <c r="F454" s="15">
        <v>10</v>
      </c>
      <c r="G454" s="15">
        <v>-10</v>
      </c>
    </row>
    <row r="455" spans="1:7" x14ac:dyDescent="0.25">
      <c r="A455" s="13">
        <v>46173</v>
      </c>
      <c r="B455" s="14" t="s">
        <v>827</v>
      </c>
      <c r="C455" s="14" t="s">
        <v>53</v>
      </c>
      <c r="D455" s="14" t="s">
        <v>42</v>
      </c>
      <c r="E455" s="14" t="s">
        <v>11</v>
      </c>
      <c r="F455" s="15">
        <v>1173190.19</v>
      </c>
      <c r="G455" s="15">
        <v>1173190.19</v>
      </c>
    </row>
    <row r="456" spans="1:7" x14ac:dyDescent="0.25">
      <c r="A456" s="13">
        <v>46173</v>
      </c>
      <c r="B456" s="14" t="s">
        <v>828</v>
      </c>
      <c r="C456" s="14" t="s">
        <v>75</v>
      </c>
      <c r="D456" s="14" t="s">
        <v>49</v>
      </c>
      <c r="E456" s="14" t="s">
        <v>11</v>
      </c>
      <c r="F456" s="15">
        <v>183860</v>
      </c>
      <c r="G456" s="15">
        <v>183860</v>
      </c>
    </row>
    <row r="457" spans="1:7" x14ac:dyDescent="0.25">
      <c r="A457" s="13">
        <v>46173</v>
      </c>
      <c r="B457" s="14" t="s">
        <v>829</v>
      </c>
      <c r="C457" s="14" t="s">
        <v>75</v>
      </c>
      <c r="D457" s="14" t="s">
        <v>49</v>
      </c>
      <c r="E457" s="14" t="s">
        <v>11</v>
      </c>
      <c r="F457" s="15">
        <v>195436.79999999999</v>
      </c>
      <c r="G457" s="15">
        <v>195436.79999999999</v>
      </c>
    </row>
    <row r="458" spans="1:7" x14ac:dyDescent="0.25">
      <c r="A458" s="13">
        <v>46173</v>
      </c>
      <c r="B458" s="14" t="s">
        <v>830</v>
      </c>
      <c r="C458" s="14" t="s">
        <v>84</v>
      </c>
      <c r="D458" s="14" t="s">
        <v>49</v>
      </c>
      <c r="E458" s="14" t="s">
        <v>11</v>
      </c>
      <c r="F458" s="15">
        <v>3933</v>
      </c>
      <c r="G458" s="15">
        <v>3933</v>
      </c>
    </row>
    <row r="459" spans="1:7" x14ac:dyDescent="0.25">
      <c r="A459" s="13">
        <v>46173</v>
      </c>
      <c r="B459" s="14" t="s">
        <v>831</v>
      </c>
      <c r="C459" s="14" t="s">
        <v>102</v>
      </c>
      <c r="D459" s="14" t="s">
        <v>463</v>
      </c>
      <c r="E459" s="14" t="s">
        <v>11</v>
      </c>
      <c r="F459" s="15">
        <v>15312</v>
      </c>
      <c r="G459" s="15">
        <v>15312</v>
      </c>
    </row>
    <row r="460" spans="1:7" x14ac:dyDescent="0.25">
      <c r="A460" s="13">
        <v>46173</v>
      </c>
      <c r="B460" s="14" t="s">
        <v>832</v>
      </c>
      <c r="C460" s="14" t="s">
        <v>102</v>
      </c>
      <c r="D460" s="14" t="s">
        <v>451</v>
      </c>
      <c r="E460" s="14" t="s">
        <v>11</v>
      </c>
      <c r="F460" s="15">
        <v>8378.68</v>
      </c>
      <c r="G460" s="15">
        <v>8378.68</v>
      </c>
    </row>
    <row r="461" spans="1:7" x14ac:dyDescent="0.25">
      <c r="A461" s="13">
        <v>46173</v>
      </c>
      <c r="B461" s="14" t="s">
        <v>833</v>
      </c>
      <c r="C461" s="14" t="s">
        <v>102</v>
      </c>
      <c r="D461" s="14" t="s">
        <v>463</v>
      </c>
      <c r="E461" s="14" t="s">
        <v>11</v>
      </c>
      <c r="F461" s="15">
        <v>15312</v>
      </c>
      <c r="G461" s="15">
        <v>15312</v>
      </c>
    </row>
    <row r="462" spans="1:7" x14ac:dyDescent="0.25">
      <c r="A462" s="13">
        <v>46173</v>
      </c>
      <c r="B462" s="14" t="s">
        <v>834</v>
      </c>
      <c r="C462" s="14" t="s">
        <v>102</v>
      </c>
      <c r="D462" s="14" t="s">
        <v>451</v>
      </c>
      <c r="E462" s="14" t="s">
        <v>11</v>
      </c>
      <c r="F462" s="15">
        <v>7656</v>
      </c>
      <c r="G462" s="15">
        <v>7656</v>
      </c>
    </row>
    <row r="463" spans="1:7" x14ac:dyDescent="0.25">
      <c r="A463" s="13">
        <v>46173</v>
      </c>
      <c r="B463" s="14" t="s">
        <v>835</v>
      </c>
      <c r="C463" s="14" t="s">
        <v>102</v>
      </c>
      <c r="D463" s="14" t="s">
        <v>463</v>
      </c>
      <c r="E463" s="14" t="s">
        <v>11</v>
      </c>
      <c r="F463" s="15">
        <v>15312</v>
      </c>
      <c r="G463" s="15">
        <v>15312</v>
      </c>
    </row>
    <row r="464" spans="1:7" x14ac:dyDescent="0.25">
      <c r="A464" s="13">
        <v>46173</v>
      </c>
      <c r="B464" s="14" t="s">
        <v>836</v>
      </c>
      <c r="C464" s="14" t="s">
        <v>103</v>
      </c>
      <c r="D464" s="14" t="s">
        <v>463</v>
      </c>
      <c r="E464" s="14" t="s">
        <v>11</v>
      </c>
      <c r="F464" s="15">
        <v>14500</v>
      </c>
      <c r="G464" s="15">
        <v>14500</v>
      </c>
    </row>
    <row r="465" spans="1:7" x14ac:dyDescent="0.25">
      <c r="A465" s="13">
        <v>46173</v>
      </c>
      <c r="B465" s="14" t="s">
        <v>837</v>
      </c>
      <c r="C465" s="14" t="s">
        <v>103</v>
      </c>
      <c r="D465" s="14" t="s">
        <v>463</v>
      </c>
      <c r="E465" s="14" t="s">
        <v>11</v>
      </c>
      <c r="F465" s="15">
        <v>47900</v>
      </c>
      <c r="G465" s="15">
        <v>47900</v>
      </c>
    </row>
    <row r="466" spans="1:7" x14ac:dyDescent="0.25">
      <c r="A466" s="13">
        <v>46173</v>
      </c>
      <c r="B466" s="14" t="s">
        <v>838</v>
      </c>
      <c r="C466" s="14" t="s">
        <v>103</v>
      </c>
      <c r="D466" s="14" t="s">
        <v>731</v>
      </c>
      <c r="E466" s="14" t="s">
        <v>11</v>
      </c>
      <c r="F466" s="15">
        <v>74474.320000000007</v>
      </c>
      <c r="G466" s="15">
        <v>74474.320000000007</v>
      </c>
    </row>
    <row r="467" spans="1:7" x14ac:dyDescent="0.25">
      <c r="A467" s="13">
        <v>46173</v>
      </c>
      <c r="B467" s="14" t="s">
        <v>839</v>
      </c>
      <c r="C467" s="14" t="s">
        <v>103</v>
      </c>
      <c r="D467" s="14" t="s">
        <v>731</v>
      </c>
      <c r="E467" s="14" t="s">
        <v>11</v>
      </c>
      <c r="F467" s="15">
        <v>25520</v>
      </c>
      <c r="G467" s="15">
        <v>25520</v>
      </c>
    </row>
    <row r="468" spans="1:7" x14ac:dyDescent="0.25">
      <c r="A468" s="13">
        <v>46173</v>
      </c>
      <c r="B468" s="14" t="s">
        <v>840</v>
      </c>
      <c r="C468" s="14" t="s">
        <v>103</v>
      </c>
      <c r="D468" s="14" t="s">
        <v>731</v>
      </c>
      <c r="E468" s="14" t="s">
        <v>11</v>
      </c>
      <c r="F468" s="15">
        <v>90480</v>
      </c>
      <c r="G468" s="15">
        <v>90480</v>
      </c>
    </row>
    <row r="469" spans="1:7" x14ac:dyDescent="0.25">
      <c r="A469" s="13">
        <v>46173</v>
      </c>
      <c r="B469" s="14" t="s">
        <v>841</v>
      </c>
      <c r="C469" s="14" t="s">
        <v>103</v>
      </c>
      <c r="D469" s="14" t="s">
        <v>731</v>
      </c>
      <c r="E469" s="14" t="s">
        <v>11</v>
      </c>
      <c r="F469" s="15">
        <v>45240</v>
      </c>
      <c r="G469" s="15">
        <v>45240</v>
      </c>
    </row>
    <row r="470" spans="1:7" x14ac:dyDescent="0.25">
      <c r="A470" s="13">
        <v>46173</v>
      </c>
      <c r="B470" s="14" t="s">
        <v>842</v>
      </c>
      <c r="C470" s="14" t="s">
        <v>332</v>
      </c>
      <c r="D470" s="14" t="s">
        <v>451</v>
      </c>
      <c r="E470" s="14" t="s">
        <v>11</v>
      </c>
      <c r="F470" s="15">
        <v>1761145.26</v>
      </c>
      <c r="G470" s="15">
        <v>1761145.26</v>
      </c>
    </row>
    <row r="471" spans="1:7" x14ac:dyDescent="0.25">
      <c r="A471" s="13">
        <v>46173</v>
      </c>
      <c r="B471" s="14" t="s">
        <v>843</v>
      </c>
      <c r="C471" s="14" t="s">
        <v>113</v>
      </c>
      <c r="D471" s="14" t="s">
        <v>49</v>
      </c>
      <c r="E471" s="14" t="s">
        <v>11</v>
      </c>
      <c r="F471" s="15">
        <v>535872</v>
      </c>
      <c r="G471" s="15">
        <v>535872</v>
      </c>
    </row>
    <row r="472" spans="1:7" x14ac:dyDescent="0.25">
      <c r="A472" s="13">
        <v>46173</v>
      </c>
      <c r="B472" s="14" t="s">
        <v>844</v>
      </c>
      <c r="C472" s="14" t="s">
        <v>123</v>
      </c>
      <c r="D472" s="14" t="s">
        <v>33</v>
      </c>
      <c r="E472" s="14" t="s">
        <v>11</v>
      </c>
      <c r="F472" s="15">
        <v>116702.81</v>
      </c>
      <c r="G472" s="15">
        <v>116702.81</v>
      </c>
    </row>
    <row r="473" spans="1:7" x14ac:dyDescent="0.25">
      <c r="A473" s="13">
        <v>46173</v>
      </c>
      <c r="B473" s="14" t="s">
        <v>845</v>
      </c>
      <c r="C473" s="14" t="s">
        <v>146</v>
      </c>
      <c r="D473" s="14" t="s">
        <v>49</v>
      </c>
      <c r="E473" s="14" t="s">
        <v>11</v>
      </c>
      <c r="F473" s="15">
        <v>242650</v>
      </c>
      <c r="G473" s="15">
        <v>242650</v>
      </c>
    </row>
    <row r="474" spans="1:7" x14ac:dyDescent="0.25">
      <c r="A474" s="13">
        <v>46173</v>
      </c>
      <c r="B474" s="14" t="s">
        <v>846</v>
      </c>
      <c r="C474" s="14" t="s">
        <v>138</v>
      </c>
      <c r="D474" s="14" t="s">
        <v>463</v>
      </c>
      <c r="E474" s="14" t="s">
        <v>11</v>
      </c>
      <c r="F474" s="15">
        <v>1747319.48</v>
      </c>
      <c r="G474" s="15">
        <v>1747319.48</v>
      </c>
    </row>
    <row r="475" spans="1:7" x14ac:dyDescent="0.25">
      <c r="A475" s="13">
        <v>46173</v>
      </c>
      <c r="B475" s="14" t="s">
        <v>847</v>
      </c>
      <c r="C475" s="14" t="s">
        <v>149</v>
      </c>
      <c r="D475" s="14" t="s">
        <v>42</v>
      </c>
      <c r="E475" s="14" t="s">
        <v>11</v>
      </c>
      <c r="F475" s="15">
        <v>730882.4</v>
      </c>
      <c r="G475" s="15">
        <v>730882.4</v>
      </c>
    </row>
    <row r="476" spans="1:7" x14ac:dyDescent="0.25">
      <c r="A476" s="13">
        <v>46173</v>
      </c>
      <c r="B476" s="14" t="s">
        <v>848</v>
      </c>
      <c r="C476" s="14" t="s">
        <v>153</v>
      </c>
      <c r="D476" s="14" t="s">
        <v>57</v>
      </c>
      <c r="E476" s="14" t="s">
        <v>11</v>
      </c>
      <c r="F476" s="15">
        <v>76700</v>
      </c>
      <c r="G476" s="15">
        <v>76700</v>
      </c>
    </row>
    <row r="477" spans="1:7" x14ac:dyDescent="0.25">
      <c r="A477" s="13">
        <v>46173</v>
      </c>
      <c r="B477" s="14" t="s">
        <v>766</v>
      </c>
      <c r="C477" s="14" t="s">
        <v>153</v>
      </c>
      <c r="D477" s="14" t="s">
        <v>42</v>
      </c>
      <c r="E477" s="14" t="s">
        <v>11</v>
      </c>
      <c r="F477" s="15">
        <v>76700</v>
      </c>
      <c r="G477" s="15">
        <v>76700</v>
      </c>
    </row>
    <row r="478" spans="1:7" x14ac:dyDescent="0.25">
      <c r="A478" s="13">
        <v>46173</v>
      </c>
      <c r="B478" s="14" t="s">
        <v>849</v>
      </c>
      <c r="C478" s="14" t="s">
        <v>153</v>
      </c>
      <c r="D478" s="14" t="s">
        <v>82</v>
      </c>
      <c r="E478" s="14" t="s">
        <v>11</v>
      </c>
      <c r="F478" s="15">
        <v>115050</v>
      </c>
      <c r="G478" s="15">
        <v>115050</v>
      </c>
    </row>
    <row r="479" spans="1:7" x14ac:dyDescent="0.25">
      <c r="A479" s="13">
        <v>46173</v>
      </c>
      <c r="B479" s="14" t="s">
        <v>850</v>
      </c>
      <c r="C479" s="14" t="s">
        <v>152</v>
      </c>
      <c r="D479" s="14" t="s">
        <v>57</v>
      </c>
      <c r="E479" s="14" t="s">
        <v>11</v>
      </c>
      <c r="F479" s="15">
        <v>10000</v>
      </c>
      <c r="G479" s="15">
        <v>10000</v>
      </c>
    </row>
    <row r="480" spans="1:7" x14ac:dyDescent="0.25">
      <c r="A480" s="13">
        <v>46173</v>
      </c>
      <c r="B480" s="14" t="s">
        <v>851</v>
      </c>
      <c r="C480" s="14" t="s">
        <v>164</v>
      </c>
      <c r="D480" s="14" t="s">
        <v>451</v>
      </c>
      <c r="E480" s="14" t="s">
        <v>11</v>
      </c>
      <c r="F480" s="15">
        <v>55841</v>
      </c>
      <c r="G480" s="15">
        <v>55841</v>
      </c>
    </row>
    <row r="481" spans="1:7" x14ac:dyDescent="0.25">
      <c r="A481" s="13">
        <v>46173</v>
      </c>
      <c r="B481" s="14" t="s">
        <v>852</v>
      </c>
      <c r="C481" s="14" t="s">
        <v>164</v>
      </c>
      <c r="D481" s="14" t="s">
        <v>731</v>
      </c>
      <c r="E481" s="14" t="s">
        <v>11</v>
      </c>
      <c r="F481" s="15">
        <v>47810</v>
      </c>
      <c r="G481" s="15">
        <v>47810</v>
      </c>
    </row>
    <row r="482" spans="1:7" x14ac:dyDescent="0.25">
      <c r="A482" s="13">
        <v>46173</v>
      </c>
      <c r="B482" s="14" t="s">
        <v>853</v>
      </c>
      <c r="C482" s="14" t="s">
        <v>164</v>
      </c>
      <c r="D482" s="14" t="s">
        <v>731</v>
      </c>
      <c r="E482" s="14" t="s">
        <v>11</v>
      </c>
      <c r="F482" s="15">
        <v>12489</v>
      </c>
      <c r="G482" s="15">
        <v>12489</v>
      </c>
    </row>
    <row r="483" spans="1:7" x14ac:dyDescent="0.25">
      <c r="A483" s="13">
        <v>46173</v>
      </c>
      <c r="B483" s="14" t="s">
        <v>854</v>
      </c>
      <c r="C483" s="14" t="s">
        <v>164</v>
      </c>
      <c r="D483" s="14" t="s">
        <v>49</v>
      </c>
      <c r="E483" s="14" t="s">
        <v>11</v>
      </c>
      <c r="F483" s="15">
        <v>88902.080000000002</v>
      </c>
      <c r="G483" s="15">
        <v>88902.080000000002</v>
      </c>
    </row>
    <row r="484" spans="1:7" x14ac:dyDescent="0.25">
      <c r="A484" s="13">
        <v>46173</v>
      </c>
      <c r="B484" s="14" t="s">
        <v>855</v>
      </c>
      <c r="C484" s="14" t="s">
        <v>164</v>
      </c>
      <c r="D484" s="14" t="s">
        <v>49</v>
      </c>
      <c r="E484" s="14" t="s">
        <v>11</v>
      </c>
      <c r="F484" s="15">
        <v>98906.44</v>
      </c>
      <c r="G484" s="15">
        <v>98906.44</v>
      </c>
    </row>
    <row r="485" spans="1:7" x14ac:dyDescent="0.25">
      <c r="A485" s="13">
        <v>46173</v>
      </c>
      <c r="B485" s="14" t="s">
        <v>856</v>
      </c>
      <c r="C485" s="14" t="s">
        <v>164</v>
      </c>
      <c r="D485" s="14" t="s">
        <v>49</v>
      </c>
      <c r="E485" s="14" t="s">
        <v>11</v>
      </c>
      <c r="F485" s="15">
        <v>12027</v>
      </c>
      <c r="G485" s="15">
        <v>12027</v>
      </c>
    </row>
    <row r="486" spans="1:7" x14ac:dyDescent="0.25">
      <c r="A486" s="13">
        <v>46173</v>
      </c>
      <c r="B486" s="14" t="s">
        <v>857</v>
      </c>
      <c r="C486" s="14" t="s">
        <v>177</v>
      </c>
      <c r="D486" s="14" t="s">
        <v>49</v>
      </c>
      <c r="E486" s="14" t="s">
        <v>11</v>
      </c>
      <c r="F486" s="15">
        <v>1000</v>
      </c>
      <c r="G486" s="15">
        <v>1000</v>
      </c>
    </row>
    <row r="487" spans="1:7" x14ac:dyDescent="0.25">
      <c r="A487" s="13">
        <v>46173</v>
      </c>
      <c r="B487" s="14" t="s">
        <v>858</v>
      </c>
      <c r="C487" s="14" t="s">
        <v>355</v>
      </c>
      <c r="D487" s="14" t="s">
        <v>731</v>
      </c>
      <c r="E487" s="14" t="s">
        <v>11</v>
      </c>
      <c r="F487" s="15">
        <v>21406</v>
      </c>
      <c r="G487" s="15">
        <v>21406</v>
      </c>
    </row>
    <row r="488" spans="1:7" x14ac:dyDescent="0.25">
      <c r="A488" s="13">
        <v>46173</v>
      </c>
      <c r="B488" s="14" t="s">
        <v>859</v>
      </c>
      <c r="C488" s="14" t="s">
        <v>334</v>
      </c>
      <c r="D488" s="14" t="s">
        <v>82</v>
      </c>
      <c r="E488" s="14" t="s">
        <v>11</v>
      </c>
      <c r="F488" s="15">
        <v>209623.42</v>
      </c>
      <c r="G488" s="15">
        <v>209623.42</v>
      </c>
    </row>
    <row r="489" spans="1:7" x14ac:dyDescent="0.25">
      <c r="A489" s="13">
        <v>46173</v>
      </c>
      <c r="B489" s="14" t="s">
        <v>860</v>
      </c>
      <c r="C489" s="14" t="s">
        <v>335</v>
      </c>
      <c r="D489" s="14" t="s">
        <v>463</v>
      </c>
      <c r="E489" s="14" t="s">
        <v>11</v>
      </c>
      <c r="F489" s="15">
        <v>75203</v>
      </c>
      <c r="G489" s="15">
        <v>75203</v>
      </c>
    </row>
    <row r="490" spans="1:7" x14ac:dyDescent="0.25">
      <c r="A490" s="13">
        <v>46173</v>
      </c>
      <c r="B490" s="14" t="s">
        <v>861</v>
      </c>
      <c r="C490" s="14" t="s">
        <v>335</v>
      </c>
      <c r="D490" s="14" t="s">
        <v>463</v>
      </c>
      <c r="E490" s="14" t="s">
        <v>11</v>
      </c>
      <c r="F490" s="15">
        <v>22680</v>
      </c>
      <c r="G490" s="15">
        <v>22680</v>
      </c>
    </row>
    <row r="491" spans="1:7" x14ac:dyDescent="0.25">
      <c r="A491" s="13">
        <v>46173</v>
      </c>
      <c r="B491" s="14" t="s">
        <v>862</v>
      </c>
      <c r="C491" s="14" t="s">
        <v>335</v>
      </c>
      <c r="D491" s="14" t="s">
        <v>463</v>
      </c>
      <c r="E491" s="14" t="s">
        <v>11</v>
      </c>
      <c r="F491" s="15">
        <v>470229.6</v>
      </c>
      <c r="G491" s="15">
        <v>470229.6</v>
      </c>
    </row>
    <row r="492" spans="1:7" x14ac:dyDescent="0.25">
      <c r="A492" s="13">
        <v>46173</v>
      </c>
      <c r="B492" s="14" t="s">
        <v>863</v>
      </c>
      <c r="C492" s="14" t="s">
        <v>329</v>
      </c>
      <c r="D492" s="14" t="s">
        <v>239</v>
      </c>
      <c r="E492" s="14" t="s">
        <v>11</v>
      </c>
      <c r="F492" s="15">
        <v>156825</v>
      </c>
      <c r="G492" s="15">
        <v>156825</v>
      </c>
    </row>
    <row r="493" spans="1:7" x14ac:dyDescent="0.25">
      <c r="A493" s="13">
        <v>46173</v>
      </c>
      <c r="B493" s="14" t="s">
        <v>864</v>
      </c>
      <c r="C493" s="14" t="s">
        <v>329</v>
      </c>
      <c r="D493" s="14" t="s">
        <v>239</v>
      </c>
      <c r="E493" s="14" t="s">
        <v>11</v>
      </c>
      <c r="F493" s="15">
        <v>196031.76</v>
      </c>
      <c r="G493" s="15">
        <v>196031.76</v>
      </c>
    </row>
    <row r="494" spans="1:7" x14ac:dyDescent="0.25">
      <c r="A494" s="13">
        <v>46173</v>
      </c>
      <c r="B494" s="14" t="s">
        <v>865</v>
      </c>
      <c r="C494" s="14" t="s">
        <v>201</v>
      </c>
      <c r="D494" s="14" t="s">
        <v>33</v>
      </c>
      <c r="E494" s="14" t="s">
        <v>11</v>
      </c>
      <c r="F494" s="15">
        <v>83859.31</v>
      </c>
      <c r="G494" s="15">
        <v>83859.31</v>
      </c>
    </row>
    <row r="495" spans="1:7" x14ac:dyDescent="0.25">
      <c r="A495" s="13">
        <v>46173</v>
      </c>
      <c r="B495" s="14" t="s">
        <v>866</v>
      </c>
      <c r="C495" s="14" t="s">
        <v>203</v>
      </c>
      <c r="D495" s="14" t="s">
        <v>66</v>
      </c>
      <c r="E495" s="14" t="s">
        <v>11</v>
      </c>
      <c r="F495" s="15">
        <v>452270</v>
      </c>
      <c r="G495" s="15">
        <v>452270</v>
      </c>
    </row>
    <row r="496" spans="1:7" x14ac:dyDescent="0.25">
      <c r="A496" s="13">
        <v>46173</v>
      </c>
      <c r="B496" s="14" t="s">
        <v>867</v>
      </c>
      <c r="C496" s="14" t="s">
        <v>203</v>
      </c>
      <c r="D496" s="14" t="s">
        <v>66</v>
      </c>
      <c r="E496" s="14" t="s">
        <v>11</v>
      </c>
      <c r="F496" s="15">
        <v>15680</v>
      </c>
      <c r="G496" s="15">
        <v>15680</v>
      </c>
    </row>
    <row r="497" spans="1:7" x14ac:dyDescent="0.25">
      <c r="A497" s="13">
        <v>46173</v>
      </c>
      <c r="B497" s="14" t="s">
        <v>868</v>
      </c>
      <c r="C497" s="14" t="s">
        <v>203</v>
      </c>
      <c r="D497" s="14" t="s">
        <v>49</v>
      </c>
      <c r="E497" s="14" t="s">
        <v>11</v>
      </c>
      <c r="F497" s="15">
        <v>102900</v>
      </c>
      <c r="G497" s="15">
        <v>102900</v>
      </c>
    </row>
    <row r="498" spans="1:7" x14ac:dyDescent="0.25">
      <c r="A498" s="13">
        <v>46173</v>
      </c>
      <c r="B498" s="14" t="s">
        <v>869</v>
      </c>
      <c r="C498" s="14" t="s">
        <v>203</v>
      </c>
      <c r="D498" s="14" t="s">
        <v>49</v>
      </c>
      <c r="E498" s="14" t="s">
        <v>11</v>
      </c>
      <c r="F498" s="15">
        <v>92610</v>
      </c>
      <c r="G498" s="15">
        <v>92610</v>
      </c>
    </row>
    <row r="499" spans="1:7" x14ac:dyDescent="0.25">
      <c r="A499" s="13">
        <v>46173</v>
      </c>
      <c r="B499" s="14" t="s">
        <v>870</v>
      </c>
      <c r="C499" s="14" t="s">
        <v>203</v>
      </c>
      <c r="D499" s="14" t="s">
        <v>49</v>
      </c>
      <c r="E499" s="14" t="s">
        <v>11</v>
      </c>
      <c r="F499" s="15">
        <v>14602</v>
      </c>
      <c r="G499" s="15">
        <v>14602</v>
      </c>
    </row>
    <row r="500" spans="1:7" x14ac:dyDescent="0.25">
      <c r="A500" s="13">
        <v>46173</v>
      </c>
      <c r="B500" s="14" t="s">
        <v>871</v>
      </c>
      <c r="C500" s="14" t="s">
        <v>207</v>
      </c>
      <c r="D500" s="14" t="s">
        <v>731</v>
      </c>
      <c r="E500" s="14" t="s">
        <v>11</v>
      </c>
      <c r="F500" s="15">
        <v>527240</v>
      </c>
      <c r="G500" s="15">
        <v>527240</v>
      </c>
    </row>
    <row r="501" spans="1:7" x14ac:dyDescent="0.25">
      <c r="A501" s="13">
        <v>46173</v>
      </c>
      <c r="B501" s="14" t="s">
        <v>872</v>
      </c>
      <c r="C501" s="14" t="s">
        <v>330</v>
      </c>
      <c r="D501" s="14" t="s">
        <v>42</v>
      </c>
      <c r="E501" s="14" t="s">
        <v>11</v>
      </c>
      <c r="F501" s="15">
        <v>412960</v>
      </c>
      <c r="G501" s="15">
        <v>412960</v>
      </c>
    </row>
    <row r="502" spans="1:7" x14ac:dyDescent="0.25">
      <c r="A502" s="13">
        <v>46173</v>
      </c>
      <c r="B502" s="14" t="s">
        <v>873</v>
      </c>
      <c r="C502" s="14" t="s">
        <v>194</v>
      </c>
      <c r="D502" s="14" t="s">
        <v>66</v>
      </c>
      <c r="E502" s="14" t="s">
        <v>11</v>
      </c>
      <c r="F502" s="15">
        <v>169752</v>
      </c>
      <c r="G502" s="15">
        <v>169752</v>
      </c>
    </row>
    <row r="503" spans="1:7" x14ac:dyDescent="0.25">
      <c r="A503" s="13">
        <v>46173</v>
      </c>
      <c r="B503" s="14" t="s">
        <v>874</v>
      </c>
      <c r="C503" s="14" t="s">
        <v>194</v>
      </c>
      <c r="D503" s="14" t="s">
        <v>66</v>
      </c>
      <c r="E503" s="14" t="s">
        <v>11</v>
      </c>
      <c r="F503" s="15">
        <v>28674</v>
      </c>
      <c r="G503" s="15">
        <v>28674</v>
      </c>
    </row>
    <row r="504" spans="1:7" x14ac:dyDescent="0.25">
      <c r="A504" s="13">
        <v>46173</v>
      </c>
      <c r="B504" s="14" t="s">
        <v>875</v>
      </c>
      <c r="C504" s="14" t="s">
        <v>197</v>
      </c>
      <c r="D504" s="14" t="s">
        <v>42</v>
      </c>
      <c r="E504" s="14" t="s">
        <v>11</v>
      </c>
      <c r="F504" s="15">
        <v>645922.80000000005</v>
      </c>
      <c r="G504" s="15">
        <v>645922.80000000005</v>
      </c>
    </row>
    <row r="505" spans="1:7" x14ac:dyDescent="0.25">
      <c r="A505" s="13">
        <v>46173</v>
      </c>
      <c r="B505" s="14" t="s">
        <v>876</v>
      </c>
      <c r="C505" s="14" t="s">
        <v>226</v>
      </c>
      <c r="D505" s="14" t="s">
        <v>39</v>
      </c>
      <c r="E505" s="14" t="s">
        <v>11</v>
      </c>
      <c r="F505" s="15">
        <v>94814.01</v>
      </c>
      <c r="G505" s="15">
        <v>94814.01</v>
      </c>
    </row>
    <row r="506" spans="1:7" x14ac:dyDescent="0.25">
      <c r="A506" s="13">
        <v>46173</v>
      </c>
      <c r="B506" s="14" t="s">
        <v>877</v>
      </c>
      <c r="C506" s="14" t="s">
        <v>233</v>
      </c>
      <c r="D506" s="14" t="s">
        <v>731</v>
      </c>
      <c r="E506" s="14" t="s">
        <v>11</v>
      </c>
      <c r="F506" s="15">
        <v>679140</v>
      </c>
      <c r="G506" s="15">
        <v>679140</v>
      </c>
    </row>
    <row r="507" spans="1:7" x14ac:dyDescent="0.25">
      <c r="A507" s="13">
        <v>46173</v>
      </c>
      <c r="B507" s="14" t="s">
        <v>878</v>
      </c>
      <c r="C507" s="14" t="s">
        <v>233</v>
      </c>
      <c r="D507" s="14" t="s">
        <v>731</v>
      </c>
      <c r="E507" s="14" t="s">
        <v>11</v>
      </c>
      <c r="F507" s="15">
        <v>62720</v>
      </c>
      <c r="G507" s="15">
        <v>62720</v>
      </c>
    </row>
    <row r="508" spans="1:7" x14ac:dyDescent="0.25">
      <c r="A508" s="13">
        <v>46173</v>
      </c>
      <c r="B508" s="14" t="s">
        <v>879</v>
      </c>
      <c r="C508" s="14" t="s">
        <v>233</v>
      </c>
      <c r="D508" s="14" t="s">
        <v>731</v>
      </c>
      <c r="E508" s="14" t="s">
        <v>11</v>
      </c>
      <c r="F508" s="15">
        <v>227089.52</v>
      </c>
      <c r="G508" s="15">
        <v>227089.52</v>
      </c>
    </row>
    <row r="509" spans="1:7" x14ac:dyDescent="0.25">
      <c r="A509" s="13">
        <v>46173</v>
      </c>
      <c r="B509" s="14" t="s">
        <v>880</v>
      </c>
      <c r="C509" s="14" t="s">
        <v>233</v>
      </c>
      <c r="D509" s="14" t="s">
        <v>731</v>
      </c>
      <c r="E509" s="14" t="s">
        <v>11</v>
      </c>
      <c r="F509" s="15">
        <v>279300</v>
      </c>
      <c r="G509" s="15">
        <v>279300</v>
      </c>
    </row>
    <row r="510" spans="1:7" x14ac:dyDescent="0.25">
      <c r="A510" s="13">
        <v>46173</v>
      </c>
      <c r="B510" s="14" t="s">
        <v>881</v>
      </c>
      <c r="C510" s="14" t="s">
        <v>243</v>
      </c>
      <c r="D510" s="14" t="s">
        <v>463</v>
      </c>
      <c r="E510" s="14" t="s">
        <v>11</v>
      </c>
      <c r="F510" s="15">
        <v>0.89</v>
      </c>
      <c r="G510" s="15">
        <v>0.89</v>
      </c>
    </row>
    <row r="511" spans="1:7" x14ac:dyDescent="0.25">
      <c r="A511" s="13">
        <v>46173</v>
      </c>
      <c r="B511" s="14" t="s">
        <v>882</v>
      </c>
      <c r="C511" s="14" t="s">
        <v>250</v>
      </c>
      <c r="D511" s="14" t="s">
        <v>42</v>
      </c>
      <c r="E511" s="14" t="s">
        <v>11</v>
      </c>
      <c r="F511" s="15">
        <v>32340</v>
      </c>
      <c r="G511" s="15">
        <v>32340</v>
      </c>
    </row>
    <row r="512" spans="1:7" x14ac:dyDescent="0.25">
      <c r="A512" s="13">
        <v>46173</v>
      </c>
      <c r="B512" s="14" t="s">
        <v>883</v>
      </c>
      <c r="C512" s="14" t="s">
        <v>250</v>
      </c>
      <c r="D512" s="14" t="s">
        <v>42</v>
      </c>
      <c r="E512" s="14" t="s">
        <v>11</v>
      </c>
      <c r="F512" s="15">
        <v>60882.5</v>
      </c>
      <c r="G512" s="15">
        <v>60882.5</v>
      </c>
    </row>
    <row r="513" spans="1:7" x14ac:dyDescent="0.25">
      <c r="A513" s="13">
        <v>46174</v>
      </c>
      <c r="B513" s="14" t="s">
        <v>884</v>
      </c>
      <c r="C513" s="14" t="s">
        <v>53</v>
      </c>
      <c r="D513" s="14" t="s">
        <v>451</v>
      </c>
      <c r="E513" s="14" t="s">
        <v>10</v>
      </c>
      <c r="F513" s="15">
        <v>23936.2</v>
      </c>
      <c r="G513" s="15">
        <v>23936.2</v>
      </c>
    </row>
    <row r="514" spans="1:7" x14ac:dyDescent="0.25">
      <c r="A514" s="13">
        <v>46174</v>
      </c>
      <c r="B514" s="14" t="s">
        <v>885</v>
      </c>
      <c r="C514" s="14" t="s">
        <v>69</v>
      </c>
      <c r="D514" s="14" t="s">
        <v>463</v>
      </c>
      <c r="E514" s="14" t="s">
        <v>10</v>
      </c>
      <c r="F514" s="15">
        <v>9150</v>
      </c>
      <c r="G514" s="15">
        <v>9150</v>
      </c>
    </row>
    <row r="515" spans="1:7" x14ac:dyDescent="0.25">
      <c r="A515" s="13">
        <v>46174</v>
      </c>
      <c r="B515" s="14" t="s">
        <v>886</v>
      </c>
      <c r="C515" s="14" t="s">
        <v>267</v>
      </c>
      <c r="D515" s="14" t="s">
        <v>20</v>
      </c>
      <c r="E515" s="14" t="s">
        <v>10</v>
      </c>
      <c r="F515" s="15">
        <v>18951.48</v>
      </c>
      <c r="G515" s="15">
        <v>-18951.48</v>
      </c>
    </row>
    <row r="516" spans="1:7" x14ac:dyDescent="0.25">
      <c r="A516" s="13">
        <v>46174</v>
      </c>
      <c r="B516" s="14" t="s">
        <v>887</v>
      </c>
      <c r="C516" s="14" t="s">
        <v>267</v>
      </c>
      <c r="D516" s="14" t="s">
        <v>20</v>
      </c>
      <c r="E516" s="14" t="s">
        <v>10</v>
      </c>
      <c r="F516" s="15">
        <v>10718.46</v>
      </c>
      <c r="G516" s="15">
        <v>-10718.46</v>
      </c>
    </row>
    <row r="517" spans="1:7" x14ac:dyDescent="0.25">
      <c r="A517" s="13">
        <v>46174</v>
      </c>
      <c r="B517" s="14" t="s">
        <v>888</v>
      </c>
      <c r="C517" s="14" t="s">
        <v>144</v>
      </c>
      <c r="D517" s="14" t="s">
        <v>42</v>
      </c>
      <c r="E517" s="14" t="s">
        <v>10</v>
      </c>
      <c r="F517" s="15">
        <v>413467.96</v>
      </c>
      <c r="G517" s="15">
        <v>413467.96</v>
      </c>
    </row>
    <row r="518" spans="1:7" x14ac:dyDescent="0.25">
      <c r="A518" s="13">
        <v>46174</v>
      </c>
      <c r="B518" s="14" t="s">
        <v>889</v>
      </c>
      <c r="C518" s="14" t="s">
        <v>290</v>
      </c>
      <c r="D518" s="14" t="s">
        <v>20</v>
      </c>
      <c r="E518" s="14" t="s">
        <v>10</v>
      </c>
      <c r="F518" s="15">
        <v>6891.58</v>
      </c>
      <c r="G518" s="15">
        <v>-6891.58</v>
      </c>
    </row>
    <row r="519" spans="1:7" x14ac:dyDescent="0.25">
      <c r="A519" s="13">
        <v>46174</v>
      </c>
      <c r="B519" s="14" t="s">
        <v>890</v>
      </c>
      <c r="C519" s="14" t="s">
        <v>292</v>
      </c>
      <c r="D519" s="14" t="s">
        <v>20</v>
      </c>
      <c r="E519" s="14" t="s">
        <v>10</v>
      </c>
      <c r="F519" s="15">
        <v>6048</v>
      </c>
      <c r="G519" s="15">
        <v>-6048</v>
      </c>
    </row>
    <row r="520" spans="1:7" x14ac:dyDescent="0.25">
      <c r="A520" s="13">
        <v>46174</v>
      </c>
      <c r="B520" s="14" t="s">
        <v>891</v>
      </c>
      <c r="C520" s="14" t="s">
        <v>328</v>
      </c>
      <c r="D520" s="14" t="s">
        <v>42</v>
      </c>
      <c r="E520" s="14" t="s">
        <v>10</v>
      </c>
      <c r="F520" s="15">
        <v>9549.9</v>
      </c>
      <c r="G520" s="15">
        <v>9549.9</v>
      </c>
    </row>
    <row r="521" spans="1:7" x14ac:dyDescent="0.25">
      <c r="A521" s="13">
        <v>46174</v>
      </c>
      <c r="B521" s="14" t="s">
        <v>892</v>
      </c>
      <c r="C521" s="14" t="s">
        <v>328</v>
      </c>
      <c r="D521" s="14" t="s">
        <v>42</v>
      </c>
      <c r="E521" s="14" t="s">
        <v>10</v>
      </c>
      <c r="F521" s="15">
        <v>21487.27</v>
      </c>
      <c r="G521" s="15">
        <v>21487.27</v>
      </c>
    </row>
    <row r="522" spans="1:7" x14ac:dyDescent="0.25">
      <c r="A522" s="13">
        <v>46174</v>
      </c>
      <c r="B522" s="14" t="s">
        <v>893</v>
      </c>
      <c r="C522" s="14" t="s">
        <v>328</v>
      </c>
      <c r="D522" s="14" t="s">
        <v>42</v>
      </c>
      <c r="E522" s="14" t="s">
        <v>10</v>
      </c>
      <c r="F522" s="15">
        <v>9549.9</v>
      </c>
      <c r="G522" s="15">
        <v>9549.9</v>
      </c>
    </row>
    <row r="523" spans="1:7" x14ac:dyDescent="0.25">
      <c r="A523" s="13">
        <v>46174</v>
      </c>
      <c r="B523" s="14" t="s">
        <v>894</v>
      </c>
      <c r="C523" s="14" t="s">
        <v>328</v>
      </c>
      <c r="D523" s="14" t="s">
        <v>42</v>
      </c>
      <c r="E523" s="14" t="s">
        <v>10</v>
      </c>
      <c r="F523" s="15">
        <v>11672.1</v>
      </c>
      <c r="G523" s="15">
        <v>11672.1</v>
      </c>
    </row>
    <row r="524" spans="1:7" x14ac:dyDescent="0.25">
      <c r="A524" s="13">
        <v>46174</v>
      </c>
      <c r="B524" s="14" t="s">
        <v>895</v>
      </c>
      <c r="C524" s="14" t="s">
        <v>295</v>
      </c>
      <c r="D524" s="14" t="s">
        <v>20</v>
      </c>
      <c r="E524" s="14" t="s">
        <v>10</v>
      </c>
      <c r="F524" s="15">
        <v>1852.02</v>
      </c>
      <c r="G524" s="15">
        <v>-1852.02</v>
      </c>
    </row>
    <row r="525" spans="1:7" x14ac:dyDescent="0.25">
      <c r="A525" s="13">
        <v>46174</v>
      </c>
      <c r="B525" s="14" t="s">
        <v>896</v>
      </c>
      <c r="C525" s="14" t="s">
        <v>302</v>
      </c>
      <c r="D525" s="14" t="s">
        <v>20</v>
      </c>
      <c r="E525" s="14" t="s">
        <v>10</v>
      </c>
      <c r="F525" s="15">
        <v>54183.66</v>
      </c>
      <c r="G525" s="15">
        <v>-54183.66</v>
      </c>
    </row>
    <row r="526" spans="1:7" x14ac:dyDescent="0.25">
      <c r="A526" s="13">
        <v>46174</v>
      </c>
      <c r="B526" s="14" t="s">
        <v>897</v>
      </c>
      <c r="C526" s="14" t="s">
        <v>304</v>
      </c>
      <c r="D526" s="14" t="s">
        <v>20</v>
      </c>
      <c r="E526" s="14" t="s">
        <v>10</v>
      </c>
      <c r="F526" s="15">
        <v>1200</v>
      </c>
      <c r="G526" s="15">
        <v>-1200</v>
      </c>
    </row>
    <row r="527" spans="1:7" x14ac:dyDescent="0.25">
      <c r="A527" s="13">
        <v>46174</v>
      </c>
      <c r="B527" s="14" t="s">
        <v>898</v>
      </c>
      <c r="C527" s="14" t="s">
        <v>208</v>
      </c>
      <c r="D527" s="14" t="s">
        <v>39</v>
      </c>
      <c r="E527" s="14" t="s">
        <v>10</v>
      </c>
      <c r="F527" s="15">
        <v>60900</v>
      </c>
      <c r="G527" s="15">
        <v>60900</v>
      </c>
    </row>
    <row r="528" spans="1:7" x14ac:dyDescent="0.25">
      <c r="A528" s="13">
        <v>46174</v>
      </c>
      <c r="B528" s="14" t="s">
        <v>899</v>
      </c>
      <c r="C528" s="14" t="s">
        <v>208</v>
      </c>
      <c r="D528" s="14" t="s">
        <v>39</v>
      </c>
      <c r="E528" s="14" t="s">
        <v>10</v>
      </c>
      <c r="F528" s="15">
        <v>69020</v>
      </c>
      <c r="G528" s="15">
        <v>69020</v>
      </c>
    </row>
    <row r="529" spans="1:7" x14ac:dyDescent="0.25">
      <c r="A529" s="13">
        <v>46174</v>
      </c>
      <c r="B529" s="14" t="s">
        <v>900</v>
      </c>
      <c r="C529" s="14" t="s">
        <v>194</v>
      </c>
      <c r="D529" s="14" t="s">
        <v>66</v>
      </c>
      <c r="E529" s="14" t="s">
        <v>10</v>
      </c>
      <c r="F529" s="15">
        <v>172046</v>
      </c>
      <c r="G529" s="15">
        <v>172046</v>
      </c>
    </row>
    <row r="530" spans="1:7" x14ac:dyDescent="0.25">
      <c r="A530" s="13">
        <v>46174</v>
      </c>
      <c r="B530" s="14" t="s">
        <v>901</v>
      </c>
      <c r="C530" s="14" t="s">
        <v>194</v>
      </c>
      <c r="D530" s="14" t="s">
        <v>66</v>
      </c>
      <c r="E530" s="14" t="s">
        <v>10</v>
      </c>
      <c r="F530" s="15">
        <v>169752</v>
      </c>
      <c r="G530" s="15">
        <v>169752</v>
      </c>
    </row>
    <row r="531" spans="1:7" x14ac:dyDescent="0.25">
      <c r="A531" s="13">
        <v>46175</v>
      </c>
      <c r="B531" s="14" t="s">
        <v>902</v>
      </c>
      <c r="C531" s="14" t="s">
        <v>27</v>
      </c>
      <c r="D531" s="14" t="s">
        <v>66</v>
      </c>
      <c r="E531" s="14" t="s">
        <v>10</v>
      </c>
      <c r="F531" s="15">
        <v>120950</v>
      </c>
      <c r="G531" s="15">
        <v>120950</v>
      </c>
    </row>
    <row r="532" spans="1:7" x14ac:dyDescent="0.25">
      <c r="A532" s="13">
        <v>46175</v>
      </c>
      <c r="B532" s="14" t="s">
        <v>903</v>
      </c>
      <c r="C532" s="14" t="s">
        <v>37</v>
      </c>
      <c r="D532" s="14" t="s">
        <v>33</v>
      </c>
      <c r="E532" s="14" t="s">
        <v>10</v>
      </c>
      <c r="F532" s="15">
        <v>183305.93</v>
      </c>
      <c r="G532" s="15">
        <v>183305.93</v>
      </c>
    </row>
    <row r="533" spans="1:7" x14ac:dyDescent="0.25">
      <c r="A533" s="13">
        <v>46175</v>
      </c>
      <c r="B533" s="14" t="s">
        <v>904</v>
      </c>
      <c r="C533" s="14" t="s">
        <v>37</v>
      </c>
      <c r="D533" s="14" t="s">
        <v>33</v>
      </c>
      <c r="E533" s="14" t="s">
        <v>10</v>
      </c>
      <c r="F533" s="15">
        <v>57090.93</v>
      </c>
      <c r="G533" s="15">
        <v>57090.93</v>
      </c>
    </row>
    <row r="534" spans="1:7" x14ac:dyDescent="0.25">
      <c r="A534" s="13">
        <v>46175</v>
      </c>
      <c r="B534" s="14" t="s">
        <v>905</v>
      </c>
      <c r="C534" s="14" t="s">
        <v>59</v>
      </c>
      <c r="D534" s="14" t="s">
        <v>39</v>
      </c>
      <c r="E534" s="14" t="s">
        <v>10</v>
      </c>
      <c r="F534" s="15">
        <v>73080</v>
      </c>
      <c r="G534" s="15">
        <v>73080</v>
      </c>
    </row>
    <row r="535" spans="1:7" x14ac:dyDescent="0.25">
      <c r="A535" s="13">
        <v>46175</v>
      </c>
      <c r="B535" s="14" t="s">
        <v>906</v>
      </c>
      <c r="C535" s="14" t="s">
        <v>76</v>
      </c>
      <c r="D535" s="14" t="s">
        <v>66</v>
      </c>
      <c r="E535" s="14" t="s">
        <v>10</v>
      </c>
      <c r="F535" s="15">
        <v>89623</v>
      </c>
      <c r="G535" s="15">
        <v>89623</v>
      </c>
    </row>
    <row r="536" spans="1:7" x14ac:dyDescent="0.25">
      <c r="A536" s="13">
        <v>46175</v>
      </c>
      <c r="B536" s="14" t="s">
        <v>907</v>
      </c>
      <c r="C536" s="14" t="s">
        <v>76</v>
      </c>
      <c r="D536" s="14" t="s">
        <v>66</v>
      </c>
      <c r="E536" s="14" t="s">
        <v>10</v>
      </c>
      <c r="F536" s="15">
        <v>77924</v>
      </c>
      <c r="G536" s="15">
        <v>77924</v>
      </c>
    </row>
    <row r="537" spans="1:7" x14ac:dyDescent="0.25">
      <c r="A537" s="13">
        <v>46175</v>
      </c>
      <c r="B537" s="14" t="s">
        <v>908</v>
      </c>
      <c r="C537" s="14" t="s">
        <v>207</v>
      </c>
      <c r="D537" s="14" t="s">
        <v>731</v>
      </c>
      <c r="E537" s="14" t="s">
        <v>10</v>
      </c>
      <c r="F537" s="15">
        <v>34300</v>
      </c>
      <c r="G537" s="15">
        <v>34300</v>
      </c>
    </row>
    <row r="538" spans="1:7" x14ac:dyDescent="0.25">
      <c r="A538" s="13">
        <v>46176</v>
      </c>
      <c r="B538" s="14" t="s">
        <v>909</v>
      </c>
      <c r="C538" s="14" t="s">
        <v>76</v>
      </c>
      <c r="D538" s="14" t="s">
        <v>66</v>
      </c>
      <c r="E538" s="14" t="s">
        <v>10</v>
      </c>
      <c r="F538" s="15">
        <v>75261</v>
      </c>
      <c r="G538" s="15">
        <v>75261</v>
      </c>
    </row>
    <row r="539" spans="1:7" x14ac:dyDescent="0.25">
      <c r="A539" s="13">
        <v>46176</v>
      </c>
      <c r="B539" s="14" t="s">
        <v>910</v>
      </c>
      <c r="C539" s="14" t="s">
        <v>76</v>
      </c>
      <c r="D539" s="14" t="s">
        <v>66</v>
      </c>
      <c r="E539" s="14" t="s">
        <v>10</v>
      </c>
      <c r="F539" s="15">
        <v>77193</v>
      </c>
      <c r="G539" s="15">
        <v>77193</v>
      </c>
    </row>
    <row r="540" spans="1:7" x14ac:dyDescent="0.25">
      <c r="A540" s="13">
        <v>46176</v>
      </c>
      <c r="B540" s="14" t="s">
        <v>911</v>
      </c>
      <c r="C540" s="14" t="s">
        <v>194</v>
      </c>
      <c r="D540" s="14" t="s">
        <v>66</v>
      </c>
      <c r="E540" s="14" t="s">
        <v>10</v>
      </c>
      <c r="F540" s="15">
        <v>68818</v>
      </c>
      <c r="G540" s="15">
        <v>68818</v>
      </c>
    </row>
    <row r="541" spans="1:7" x14ac:dyDescent="0.25">
      <c r="A541" s="13">
        <v>46177</v>
      </c>
      <c r="B541" s="14" t="s">
        <v>912</v>
      </c>
      <c r="C541" s="14" t="s">
        <v>268</v>
      </c>
      <c r="D541" s="14" t="s">
        <v>33</v>
      </c>
      <c r="E541" s="14" t="s">
        <v>10</v>
      </c>
      <c r="F541" s="15">
        <v>33000</v>
      </c>
      <c r="G541" s="15">
        <v>-33000</v>
      </c>
    </row>
    <row r="542" spans="1:7" x14ac:dyDescent="0.25">
      <c r="A542" s="13">
        <v>46177</v>
      </c>
      <c r="B542" s="14" t="s">
        <v>913</v>
      </c>
      <c r="C542" s="14" t="s">
        <v>129</v>
      </c>
      <c r="D542" s="14" t="s">
        <v>42</v>
      </c>
      <c r="E542" s="14" t="s">
        <v>10</v>
      </c>
      <c r="F542" s="15">
        <v>64969</v>
      </c>
      <c r="G542" s="15">
        <v>64969</v>
      </c>
    </row>
    <row r="543" spans="1:7" x14ac:dyDescent="0.25">
      <c r="A543" s="13">
        <v>46177</v>
      </c>
      <c r="B543" s="14" t="s">
        <v>914</v>
      </c>
      <c r="C543" s="14" t="s">
        <v>194</v>
      </c>
      <c r="D543" s="14" t="s">
        <v>66</v>
      </c>
      <c r="E543" s="14" t="s">
        <v>10</v>
      </c>
      <c r="F543" s="15">
        <v>143372</v>
      </c>
      <c r="G543" s="15">
        <v>143372</v>
      </c>
    </row>
    <row r="544" spans="1:7" x14ac:dyDescent="0.25">
      <c r="A544" s="13">
        <v>46178</v>
      </c>
      <c r="B544" s="14" t="s">
        <v>915</v>
      </c>
      <c r="C544" s="14" t="s">
        <v>129</v>
      </c>
      <c r="D544" s="14" t="s">
        <v>42</v>
      </c>
      <c r="E544" s="14" t="s">
        <v>10</v>
      </c>
      <c r="F544" s="15">
        <v>69836</v>
      </c>
      <c r="G544" s="15">
        <v>69836</v>
      </c>
    </row>
    <row r="545" spans="1:7" x14ac:dyDescent="0.25">
      <c r="A545" s="13">
        <v>46178</v>
      </c>
      <c r="B545" s="14" t="s">
        <v>916</v>
      </c>
      <c r="C545" s="14" t="s">
        <v>208</v>
      </c>
      <c r="D545" s="14" t="s">
        <v>39</v>
      </c>
      <c r="E545" s="14" t="s">
        <v>10</v>
      </c>
      <c r="F545" s="15">
        <v>69020</v>
      </c>
      <c r="G545" s="15">
        <v>69020</v>
      </c>
    </row>
    <row r="546" spans="1:7" x14ac:dyDescent="0.25">
      <c r="A546" s="13">
        <v>46178</v>
      </c>
      <c r="B546" s="14" t="s">
        <v>917</v>
      </c>
      <c r="C546" s="14" t="s">
        <v>232</v>
      </c>
      <c r="D546" s="14" t="s">
        <v>39</v>
      </c>
      <c r="E546" s="14" t="s">
        <v>10</v>
      </c>
      <c r="F546" s="15">
        <v>593588.19999999995</v>
      </c>
      <c r="G546" s="15">
        <v>593588.19999999995</v>
      </c>
    </row>
    <row r="547" spans="1:7" x14ac:dyDescent="0.25">
      <c r="A547" s="13">
        <v>46179</v>
      </c>
      <c r="B547" s="14" t="s">
        <v>918</v>
      </c>
      <c r="C547" s="14" t="s">
        <v>59</v>
      </c>
      <c r="D547" s="14" t="s">
        <v>39</v>
      </c>
      <c r="E547" s="14" t="s">
        <v>10</v>
      </c>
      <c r="F547" s="15">
        <v>73080</v>
      </c>
      <c r="G547" s="15">
        <v>73080</v>
      </c>
    </row>
    <row r="548" spans="1:7" x14ac:dyDescent="0.25">
      <c r="A548" s="13">
        <v>46179</v>
      </c>
      <c r="B548" s="14" t="s">
        <v>919</v>
      </c>
      <c r="C548" s="14" t="s">
        <v>76</v>
      </c>
      <c r="D548" s="14" t="s">
        <v>66</v>
      </c>
      <c r="E548" s="14" t="s">
        <v>10</v>
      </c>
      <c r="F548" s="15">
        <v>77402</v>
      </c>
      <c r="G548" s="15">
        <v>77402</v>
      </c>
    </row>
    <row r="549" spans="1:7" x14ac:dyDescent="0.25">
      <c r="A549" s="13">
        <v>46179</v>
      </c>
      <c r="B549" s="14" t="s">
        <v>920</v>
      </c>
      <c r="C549" s="14" t="s">
        <v>129</v>
      </c>
      <c r="D549" s="14" t="s">
        <v>42</v>
      </c>
      <c r="E549" s="14" t="s">
        <v>10</v>
      </c>
      <c r="F549" s="15">
        <v>57220</v>
      </c>
      <c r="G549" s="15">
        <v>57220</v>
      </c>
    </row>
    <row r="550" spans="1:7" x14ac:dyDescent="0.25">
      <c r="A550" s="13">
        <v>46179</v>
      </c>
      <c r="B550" s="14" t="s">
        <v>921</v>
      </c>
      <c r="C550" s="14" t="s">
        <v>194</v>
      </c>
      <c r="D550" s="14" t="s">
        <v>66</v>
      </c>
      <c r="E550" s="14" t="s">
        <v>10</v>
      </c>
      <c r="F550" s="15">
        <v>57349</v>
      </c>
      <c r="G550" s="15">
        <v>57349</v>
      </c>
    </row>
    <row r="551" spans="1:7" x14ac:dyDescent="0.25">
      <c r="A551" s="13">
        <v>46179</v>
      </c>
      <c r="B551" s="14" t="s">
        <v>922</v>
      </c>
      <c r="C551" s="14" t="s">
        <v>194</v>
      </c>
      <c r="D551" s="14" t="s">
        <v>66</v>
      </c>
      <c r="E551" s="14" t="s">
        <v>10</v>
      </c>
      <c r="F551" s="15">
        <v>199574</v>
      </c>
      <c r="G551" s="15">
        <v>199574</v>
      </c>
    </row>
    <row r="552" spans="1:7" x14ac:dyDescent="0.25">
      <c r="A552" s="13">
        <v>46179</v>
      </c>
      <c r="B552" s="14" t="s">
        <v>923</v>
      </c>
      <c r="C552" s="14" t="s">
        <v>194</v>
      </c>
      <c r="D552" s="14" t="s">
        <v>66</v>
      </c>
      <c r="E552" s="14" t="s">
        <v>10</v>
      </c>
      <c r="F552" s="15">
        <v>172046</v>
      </c>
      <c r="G552" s="15">
        <v>172046</v>
      </c>
    </row>
    <row r="553" spans="1:7" x14ac:dyDescent="0.25">
      <c r="A553" s="13">
        <v>46180</v>
      </c>
      <c r="B553" s="14" t="s">
        <v>924</v>
      </c>
      <c r="C553" s="14" t="s">
        <v>208</v>
      </c>
      <c r="D553" s="14" t="s">
        <v>39</v>
      </c>
      <c r="E553" s="14" t="s">
        <v>10</v>
      </c>
      <c r="F553" s="15">
        <v>60900</v>
      </c>
      <c r="G553" s="15">
        <v>60900</v>
      </c>
    </row>
    <row r="554" spans="1:7" x14ac:dyDescent="0.25">
      <c r="A554" s="13">
        <v>46181</v>
      </c>
      <c r="B554" s="14" t="s">
        <v>925</v>
      </c>
      <c r="C554" s="14" t="s">
        <v>76</v>
      </c>
      <c r="D554" s="14" t="s">
        <v>66</v>
      </c>
      <c r="E554" s="14" t="s">
        <v>10</v>
      </c>
      <c r="F554" s="15">
        <v>80327</v>
      </c>
      <c r="G554" s="15">
        <v>80327</v>
      </c>
    </row>
    <row r="555" spans="1:7" x14ac:dyDescent="0.25">
      <c r="A555" s="13">
        <v>46181</v>
      </c>
      <c r="B555" s="14" t="s">
        <v>926</v>
      </c>
      <c r="C555" s="14" t="s">
        <v>76</v>
      </c>
      <c r="D555" s="14" t="s">
        <v>66</v>
      </c>
      <c r="E555" s="14" t="s">
        <v>10</v>
      </c>
      <c r="F555" s="15">
        <v>77402</v>
      </c>
      <c r="G555" s="15">
        <v>77402</v>
      </c>
    </row>
    <row r="556" spans="1:7" x14ac:dyDescent="0.25">
      <c r="A556" s="13">
        <v>46181</v>
      </c>
      <c r="B556" s="14" t="s">
        <v>927</v>
      </c>
      <c r="C556" s="14" t="s">
        <v>268</v>
      </c>
      <c r="D556" s="14" t="s">
        <v>33</v>
      </c>
      <c r="E556" s="14" t="s">
        <v>10</v>
      </c>
      <c r="F556" s="15">
        <v>50000</v>
      </c>
      <c r="G556" s="15">
        <v>-50000</v>
      </c>
    </row>
    <row r="557" spans="1:7" x14ac:dyDescent="0.25">
      <c r="A557" s="13">
        <v>46181</v>
      </c>
      <c r="B557" s="14" t="s">
        <v>928</v>
      </c>
      <c r="C557" s="14" t="s">
        <v>194</v>
      </c>
      <c r="D557" s="14" t="s">
        <v>66</v>
      </c>
      <c r="E557" s="14" t="s">
        <v>10</v>
      </c>
      <c r="F557" s="15">
        <v>169752</v>
      </c>
      <c r="G557" s="15">
        <v>169752</v>
      </c>
    </row>
    <row r="558" spans="1:7" x14ac:dyDescent="0.25">
      <c r="A558" s="13">
        <v>46182</v>
      </c>
      <c r="B558" s="14" t="s">
        <v>929</v>
      </c>
      <c r="C558" s="14" t="s">
        <v>263</v>
      </c>
      <c r="D558" s="14" t="s">
        <v>82</v>
      </c>
      <c r="E558" s="14" t="s">
        <v>10</v>
      </c>
      <c r="F558" s="15">
        <v>17998</v>
      </c>
      <c r="G558" s="15">
        <v>-17998</v>
      </c>
    </row>
    <row r="559" spans="1:7" x14ac:dyDescent="0.25">
      <c r="A559" s="13">
        <v>46182</v>
      </c>
      <c r="B559" s="14" t="s">
        <v>930</v>
      </c>
      <c r="C559" s="14" t="s">
        <v>109</v>
      </c>
      <c r="D559" s="14" t="s">
        <v>82</v>
      </c>
      <c r="E559" s="14" t="s">
        <v>10</v>
      </c>
      <c r="F559" s="15">
        <v>1726002</v>
      </c>
      <c r="G559" s="15">
        <v>1726002</v>
      </c>
    </row>
    <row r="560" spans="1:7" x14ac:dyDescent="0.25">
      <c r="A560" s="13">
        <v>46182</v>
      </c>
      <c r="B560" s="14" t="s">
        <v>931</v>
      </c>
      <c r="C560" s="14" t="s">
        <v>208</v>
      </c>
      <c r="D560" s="14" t="s">
        <v>39</v>
      </c>
      <c r="E560" s="14" t="s">
        <v>10</v>
      </c>
      <c r="F560" s="15">
        <v>60900</v>
      </c>
      <c r="G560" s="15">
        <v>60900</v>
      </c>
    </row>
    <row r="561" spans="1:7" x14ac:dyDescent="0.25">
      <c r="A561" s="13">
        <v>46184</v>
      </c>
      <c r="B561" s="14" t="s">
        <v>932</v>
      </c>
      <c r="C561" s="14" t="s">
        <v>201</v>
      </c>
      <c r="D561" s="14" t="s">
        <v>33</v>
      </c>
      <c r="E561" s="14" t="s">
        <v>10</v>
      </c>
      <c r="F561" s="15">
        <v>93179.78</v>
      </c>
      <c r="G561" s="15">
        <v>93179.78</v>
      </c>
    </row>
    <row r="562" spans="1:7" x14ac:dyDescent="0.25">
      <c r="A562" s="13">
        <v>46185</v>
      </c>
      <c r="B562" s="14" t="s">
        <v>933</v>
      </c>
      <c r="C562" s="14" t="s">
        <v>27</v>
      </c>
      <c r="D562" s="14" t="s">
        <v>42</v>
      </c>
      <c r="E562" s="14" t="s">
        <v>10</v>
      </c>
      <c r="F562" s="15">
        <v>44132</v>
      </c>
      <c r="G562" s="15">
        <v>44132</v>
      </c>
    </row>
    <row r="563" spans="1:7" x14ac:dyDescent="0.25">
      <c r="A563" s="13">
        <v>46185</v>
      </c>
      <c r="B563" s="14" t="s">
        <v>934</v>
      </c>
      <c r="C563" s="14" t="s">
        <v>76</v>
      </c>
      <c r="D563" s="14" t="s">
        <v>66</v>
      </c>
      <c r="E563" s="14" t="s">
        <v>10</v>
      </c>
      <c r="F563" s="15">
        <v>82050</v>
      </c>
      <c r="G563" s="15">
        <v>82050</v>
      </c>
    </row>
    <row r="564" spans="1:7" x14ac:dyDescent="0.25">
      <c r="A564" s="13">
        <v>46185</v>
      </c>
      <c r="B564" s="14" t="s">
        <v>935</v>
      </c>
      <c r="C564" s="14" t="s">
        <v>76</v>
      </c>
      <c r="D564" s="14" t="s">
        <v>66</v>
      </c>
      <c r="E564" s="14" t="s">
        <v>10</v>
      </c>
      <c r="F564" s="15">
        <v>78682</v>
      </c>
      <c r="G564" s="15">
        <v>78682</v>
      </c>
    </row>
    <row r="565" spans="1:7" x14ac:dyDescent="0.25">
      <c r="A565" s="13">
        <v>46185</v>
      </c>
      <c r="B565" s="14" t="s">
        <v>936</v>
      </c>
      <c r="C565" s="14" t="s">
        <v>76</v>
      </c>
      <c r="D565" s="14" t="s">
        <v>66</v>
      </c>
      <c r="E565" s="14" t="s">
        <v>10</v>
      </c>
      <c r="F565" s="15">
        <v>87038</v>
      </c>
      <c r="G565" s="15">
        <v>87038</v>
      </c>
    </row>
    <row r="566" spans="1:7" x14ac:dyDescent="0.25">
      <c r="A566" s="13">
        <v>46185</v>
      </c>
      <c r="B566" s="14" t="s">
        <v>937</v>
      </c>
      <c r="C566" s="14" t="s">
        <v>194</v>
      </c>
      <c r="D566" s="14" t="s">
        <v>66</v>
      </c>
      <c r="E566" s="14" t="s">
        <v>10</v>
      </c>
      <c r="F566" s="15">
        <v>197853</v>
      </c>
      <c r="G566" s="15">
        <v>197853</v>
      </c>
    </row>
    <row r="567" spans="1:7" x14ac:dyDescent="0.25">
      <c r="A567" s="13">
        <v>46185</v>
      </c>
      <c r="B567" s="14" t="s">
        <v>938</v>
      </c>
      <c r="C567" s="14" t="s">
        <v>196</v>
      </c>
      <c r="D567" s="14" t="s">
        <v>451</v>
      </c>
      <c r="E567" s="14" t="s">
        <v>10</v>
      </c>
      <c r="F567" s="15">
        <v>217292.46</v>
      </c>
      <c r="G567" s="15">
        <v>217292.46</v>
      </c>
    </row>
    <row r="568" spans="1:7" x14ac:dyDescent="0.25">
      <c r="A568" s="13">
        <v>46186</v>
      </c>
      <c r="B568" s="14" t="s">
        <v>939</v>
      </c>
      <c r="C568" s="14" t="s">
        <v>106</v>
      </c>
      <c r="D568" s="14" t="s">
        <v>66</v>
      </c>
      <c r="E568" s="14" t="s">
        <v>10</v>
      </c>
      <c r="F568" s="15">
        <v>137428</v>
      </c>
      <c r="G568" s="15">
        <v>137428</v>
      </c>
    </row>
    <row r="569" spans="1:7" x14ac:dyDescent="0.25">
      <c r="A569" s="13">
        <v>46186</v>
      </c>
      <c r="B569" s="14" t="s">
        <v>940</v>
      </c>
      <c r="C569" s="14" t="s">
        <v>129</v>
      </c>
      <c r="D569" s="14" t="s">
        <v>42</v>
      </c>
      <c r="E569" s="14" t="s">
        <v>10</v>
      </c>
      <c r="F569" s="15">
        <v>64024</v>
      </c>
      <c r="G569" s="15">
        <v>64024</v>
      </c>
    </row>
    <row r="570" spans="1:7" x14ac:dyDescent="0.25">
      <c r="A570" s="13">
        <v>46186</v>
      </c>
      <c r="B570" s="14" t="s">
        <v>941</v>
      </c>
      <c r="C570" s="14" t="s">
        <v>194</v>
      </c>
      <c r="D570" s="14" t="s">
        <v>66</v>
      </c>
      <c r="E570" s="14" t="s">
        <v>10</v>
      </c>
      <c r="F570" s="15">
        <v>7169.01</v>
      </c>
      <c r="G570" s="15">
        <v>7169.01</v>
      </c>
    </row>
    <row r="571" spans="1:7" x14ac:dyDescent="0.25">
      <c r="A571" s="13">
        <v>46187</v>
      </c>
      <c r="B571" s="14" t="s">
        <v>942</v>
      </c>
      <c r="C571" s="14" t="s">
        <v>76</v>
      </c>
      <c r="D571" s="14" t="s">
        <v>66</v>
      </c>
      <c r="E571" s="14" t="s">
        <v>10</v>
      </c>
      <c r="F571" s="15">
        <v>77219</v>
      </c>
      <c r="G571" s="15">
        <v>77219</v>
      </c>
    </row>
    <row r="572" spans="1:7" x14ac:dyDescent="0.25">
      <c r="A572" s="13">
        <v>46187</v>
      </c>
      <c r="B572" s="14" t="s">
        <v>943</v>
      </c>
      <c r="C572" s="14" t="s">
        <v>194</v>
      </c>
      <c r="D572" s="14" t="s">
        <v>66</v>
      </c>
      <c r="E572" s="14" t="s">
        <v>10</v>
      </c>
      <c r="F572" s="15">
        <v>28674</v>
      </c>
      <c r="G572" s="15">
        <v>28674</v>
      </c>
    </row>
    <row r="573" spans="1:7" x14ac:dyDescent="0.25">
      <c r="A573" s="13">
        <v>46188</v>
      </c>
      <c r="B573" s="14" t="s">
        <v>944</v>
      </c>
      <c r="C573" s="14" t="s">
        <v>64</v>
      </c>
      <c r="D573" s="14" t="s">
        <v>42</v>
      </c>
      <c r="E573" s="14" t="s">
        <v>10</v>
      </c>
      <c r="F573" s="15">
        <v>236126.14</v>
      </c>
      <c r="G573" s="15">
        <v>236126.14</v>
      </c>
    </row>
    <row r="574" spans="1:7" x14ac:dyDescent="0.25">
      <c r="A574" s="13">
        <v>46188</v>
      </c>
      <c r="B574" s="14" t="s">
        <v>945</v>
      </c>
      <c r="C574" s="14" t="s">
        <v>332</v>
      </c>
      <c r="D574" s="14" t="s">
        <v>82</v>
      </c>
      <c r="E574" s="14" t="s">
        <v>10</v>
      </c>
      <c r="F574" s="15">
        <v>1218000</v>
      </c>
      <c r="G574" s="15">
        <v>1218000</v>
      </c>
    </row>
    <row r="575" spans="1:7" x14ac:dyDescent="0.25">
      <c r="A575" s="13">
        <v>46188</v>
      </c>
      <c r="B575" s="14" t="s">
        <v>946</v>
      </c>
      <c r="C575" s="14" t="s">
        <v>163</v>
      </c>
      <c r="D575" s="14" t="s">
        <v>451</v>
      </c>
      <c r="E575" s="14" t="s">
        <v>10</v>
      </c>
      <c r="F575" s="15">
        <v>31860</v>
      </c>
      <c r="G575" s="15">
        <v>31860</v>
      </c>
    </row>
    <row r="576" spans="1:7" x14ac:dyDescent="0.25">
      <c r="A576" s="13">
        <v>46188</v>
      </c>
      <c r="B576" s="14" t="s">
        <v>947</v>
      </c>
      <c r="C576" s="14" t="s">
        <v>201</v>
      </c>
      <c r="D576" s="14" t="s">
        <v>33</v>
      </c>
      <c r="E576" s="14" t="s">
        <v>10</v>
      </c>
      <c r="F576" s="15">
        <v>55856.91</v>
      </c>
      <c r="G576" s="15">
        <v>55856.91</v>
      </c>
    </row>
    <row r="577" spans="1:7" x14ac:dyDescent="0.25">
      <c r="A577" s="13">
        <v>46188</v>
      </c>
      <c r="B577" s="14" t="s">
        <v>948</v>
      </c>
      <c r="C577" s="14" t="s">
        <v>194</v>
      </c>
      <c r="D577" s="14" t="s">
        <v>66</v>
      </c>
      <c r="E577" s="14" t="s">
        <v>10</v>
      </c>
      <c r="F577" s="15">
        <v>197853</v>
      </c>
      <c r="G577" s="15">
        <v>197853</v>
      </c>
    </row>
    <row r="578" spans="1:7" x14ac:dyDescent="0.25">
      <c r="A578" s="13">
        <v>46188</v>
      </c>
      <c r="B578" s="14" t="s">
        <v>949</v>
      </c>
      <c r="C578" s="14" t="s">
        <v>194</v>
      </c>
      <c r="D578" s="14" t="s">
        <v>66</v>
      </c>
      <c r="E578" s="14" t="s">
        <v>10</v>
      </c>
      <c r="F578" s="15">
        <v>57349</v>
      </c>
      <c r="G578" s="15">
        <v>57349</v>
      </c>
    </row>
    <row r="579" spans="1:7" x14ac:dyDescent="0.25">
      <c r="A579" s="13">
        <v>46189</v>
      </c>
      <c r="B579" s="14" t="s">
        <v>950</v>
      </c>
      <c r="C579" s="14" t="s">
        <v>76</v>
      </c>
      <c r="D579" s="14" t="s">
        <v>66</v>
      </c>
      <c r="E579" s="14" t="s">
        <v>10</v>
      </c>
      <c r="F579" s="15">
        <v>77533</v>
      </c>
      <c r="G579" s="15">
        <v>77533</v>
      </c>
    </row>
    <row r="580" spans="1:7" x14ac:dyDescent="0.25">
      <c r="A580" s="13">
        <v>46189</v>
      </c>
      <c r="B580" s="14" t="s">
        <v>951</v>
      </c>
      <c r="C580" s="14" t="s">
        <v>76</v>
      </c>
      <c r="D580" s="14" t="s">
        <v>66</v>
      </c>
      <c r="E580" s="14" t="s">
        <v>10</v>
      </c>
      <c r="F580" s="15">
        <v>79387</v>
      </c>
      <c r="G580" s="15">
        <v>79387</v>
      </c>
    </row>
    <row r="581" spans="1:7" x14ac:dyDescent="0.25">
      <c r="A581" s="13">
        <v>46189</v>
      </c>
      <c r="B581" s="14" t="s">
        <v>952</v>
      </c>
      <c r="C581" s="14" t="s">
        <v>144</v>
      </c>
      <c r="D581" s="14" t="s">
        <v>42</v>
      </c>
      <c r="E581" s="14" t="s">
        <v>10</v>
      </c>
      <c r="F581" s="15">
        <v>199174.96</v>
      </c>
      <c r="G581" s="15">
        <v>199174.96</v>
      </c>
    </row>
    <row r="582" spans="1:7" x14ac:dyDescent="0.25">
      <c r="A582" s="13">
        <v>46189</v>
      </c>
      <c r="B582" s="14" t="s">
        <v>953</v>
      </c>
      <c r="C582" s="14" t="s">
        <v>285</v>
      </c>
      <c r="D582" s="14" t="s">
        <v>451</v>
      </c>
      <c r="E582" s="14" t="s">
        <v>10</v>
      </c>
      <c r="F582" s="15">
        <v>179000</v>
      </c>
      <c r="G582" s="15">
        <v>-179000</v>
      </c>
    </row>
    <row r="583" spans="1:7" x14ac:dyDescent="0.25">
      <c r="A583" s="13">
        <v>46189</v>
      </c>
      <c r="B583" s="14" t="s">
        <v>954</v>
      </c>
      <c r="C583" s="14" t="s">
        <v>208</v>
      </c>
      <c r="D583" s="14" t="s">
        <v>39</v>
      </c>
      <c r="E583" s="14" t="s">
        <v>10</v>
      </c>
      <c r="F583" s="15">
        <v>60900</v>
      </c>
      <c r="G583" s="15">
        <v>60900</v>
      </c>
    </row>
    <row r="584" spans="1:7" x14ac:dyDescent="0.25">
      <c r="A584" s="13">
        <v>46189</v>
      </c>
      <c r="B584" s="14" t="s">
        <v>955</v>
      </c>
      <c r="C584" s="14" t="s">
        <v>194</v>
      </c>
      <c r="D584" s="14" t="s">
        <v>66</v>
      </c>
      <c r="E584" s="14" t="s">
        <v>10</v>
      </c>
      <c r="F584" s="15">
        <v>200721</v>
      </c>
      <c r="G584" s="15">
        <v>200721</v>
      </c>
    </row>
    <row r="585" spans="1:7" x14ac:dyDescent="0.25">
      <c r="A585" s="13">
        <v>46189</v>
      </c>
      <c r="B585" s="14" t="s">
        <v>956</v>
      </c>
      <c r="C585" s="14" t="s">
        <v>194</v>
      </c>
      <c r="D585" s="14" t="s">
        <v>66</v>
      </c>
      <c r="E585" s="14" t="s">
        <v>10</v>
      </c>
      <c r="F585" s="15">
        <v>57349</v>
      </c>
      <c r="G585" s="15">
        <v>57349</v>
      </c>
    </row>
    <row r="586" spans="1:7" x14ac:dyDescent="0.25">
      <c r="A586" s="13">
        <v>46189</v>
      </c>
      <c r="B586" s="14" t="s">
        <v>957</v>
      </c>
      <c r="C586" s="14" t="s">
        <v>314</v>
      </c>
      <c r="D586" s="14" t="s">
        <v>451</v>
      </c>
      <c r="E586" s="14" t="s">
        <v>10</v>
      </c>
      <c r="F586" s="15">
        <v>28064.39</v>
      </c>
      <c r="G586" s="15">
        <v>-28064.39</v>
      </c>
    </row>
    <row r="587" spans="1:7" x14ac:dyDescent="0.25">
      <c r="A587" s="13">
        <v>46190</v>
      </c>
      <c r="B587" s="14" t="s">
        <v>958</v>
      </c>
      <c r="C587" s="14" t="s">
        <v>27</v>
      </c>
      <c r="D587" s="14" t="s">
        <v>42</v>
      </c>
      <c r="E587" s="14" t="s">
        <v>10</v>
      </c>
      <c r="F587" s="15">
        <v>28084</v>
      </c>
      <c r="G587" s="15">
        <v>28084</v>
      </c>
    </row>
    <row r="588" spans="1:7" x14ac:dyDescent="0.25">
      <c r="A588" s="13">
        <v>46190</v>
      </c>
      <c r="B588" s="14" t="s">
        <v>959</v>
      </c>
      <c r="C588" s="14" t="s">
        <v>59</v>
      </c>
      <c r="D588" s="14" t="s">
        <v>39</v>
      </c>
      <c r="E588" s="14" t="s">
        <v>10</v>
      </c>
      <c r="F588" s="15">
        <v>58870</v>
      </c>
      <c r="G588" s="15">
        <v>58870</v>
      </c>
    </row>
    <row r="589" spans="1:7" x14ac:dyDescent="0.25">
      <c r="A589" s="13">
        <v>46190</v>
      </c>
      <c r="B589" s="14" t="s">
        <v>960</v>
      </c>
      <c r="C589" s="14" t="s">
        <v>76</v>
      </c>
      <c r="D589" s="14" t="s">
        <v>66</v>
      </c>
      <c r="E589" s="14" t="s">
        <v>10</v>
      </c>
      <c r="F589" s="15">
        <v>78812</v>
      </c>
      <c r="G589" s="15">
        <v>78812</v>
      </c>
    </row>
    <row r="590" spans="1:7" x14ac:dyDescent="0.25">
      <c r="A590" s="13">
        <v>46190</v>
      </c>
      <c r="B590" s="14" t="s">
        <v>961</v>
      </c>
      <c r="C590" s="14" t="s">
        <v>289</v>
      </c>
      <c r="D590" s="14" t="s">
        <v>731</v>
      </c>
      <c r="E590" s="14" t="s">
        <v>10</v>
      </c>
      <c r="F590" s="15">
        <v>495000</v>
      </c>
      <c r="G590" s="15">
        <v>-495000</v>
      </c>
    </row>
    <row r="591" spans="1:7" x14ac:dyDescent="0.25">
      <c r="A591" s="13">
        <v>46190</v>
      </c>
      <c r="B591" s="14" t="s">
        <v>962</v>
      </c>
      <c r="C591" s="14" t="s">
        <v>194</v>
      </c>
      <c r="D591" s="14" t="s">
        <v>66</v>
      </c>
      <c r="E591" s="14" t="s">
        <v>10</v>
      </c>
      <c r="F591" s="15">
        <v>169752</v>
      </c>
      <c r="G591" s="15">
        <v>169752</v>
      </c>
    </row>
    <row r="592" spans="1:7" x14ac:dyDescent="0.25">
      <c r="A592" s="13">
        <v>46190</v>
      </c>
      <c r="B592" s="14" t="s">
        <v>963</v>
      </c>
      <c r="C592" s="14" t="s">
        <v>194</v>
      </c>
      <c r="D592" s="14" t="s">
        <v>66</v>
      </c>
      <c r="E592" s="14" t="s">
        <v>10</v>
      </c>
      <c r="F592" s="15">
        <v>57349</v>
      </c>
      <c r="G592" s="15">
        <v>57349</v>
      </c>
    </row>
    <row r="593" spans="1:7" x14ac:dyDescent="0.25">
      <c r="A593" s="13">
        <v>46190</v>
      </c>
      <c r="B593" s="14" t="s">
        <v>964</v>
      </c>
      <c r="C593" s="14" t="s">
        <v>196</v>
      </c>
      <c r="D593" s="14" t="s">
        <v>451</v>
      </c>
      <c r="E593" s="14" t="s">
        <v>10</v>
      </c>
      <c r="F593" s="15">
        <v>287357.07</v>
      </c>
      <c r="G593" s="15">
        <v>287357.07</v>
      </c>
    </row>
    <row r="594" spans="1:7" x14ac:dyDescent="0.25">
      <c r="A594" s="13">
        <v>46190</v>
      </c>
      <c r="B594" s="14" t="s">
        <v>965</v>
      </c>
      <c r="C594" s="14" t="s">
        <v>308</v>
      </c>
      <c r="D594" s="14" t="s">
        <v>396</v>
      </c>
      <c r="E594" s="14" t="s">
        <v>10</v>
      </c>
      <c r="F594" s="15">
        <v>587994</v>
      </c>
      <c r="G594" s="15">
        <v>-587994</v>
      </c>
    </row>
    <row r="595" spans="1:7" x14ac:dyDescent="0.25">
      <c r="A595" s="13">
        <v>46190</v>
      </c>
      <c r="B595" s="14" t="s">
        <v>966</v>
      </c>
      <c r="C595" s="14" t="s">
        <v>232</v>
      </c>
      <c r="D595" s="14" t="s">
        <v>39</v>
      </c>
      <c r="E595" s="14" t="s">
        <v>10</v>
      </c>
      <c r="F595" s="15">
        <v>631390</v>
      </c>
      <c r="G595" s="15">
        <v>631390</v>
      </c>
    </row>
    <row r="596" spans="1:7" x14ac:dyDescent="0.25">
      <c r="A596" s="13">
        <v>46190</v>
      </c>
      <c r="B596" s="14" t="s">
        <v>967</v>
      </c>
      <c r="C596" s="14" t="s">
        <v>244</v>
      </c>
      <c r="D596" s="14" t="s">
        <v>82</v>
      </c>
      <c r="E596" s="14" t="s">
        <v>10</v>
      </c>
      <c r="F596" s="15">
        <v>879470</v>
      </c>
      <c r="G596" s="15">
        <v>879470</v>
      </c>
    </row>
    <row r="597" spans="1:7" x14ac:dyDescent="0.25">
      <c r="A597" s="13">
        <v>46190</v>
      </c>
      <c r="B597" s="14" t="s">
        <v>968</v>
      </c>
      <c r="C597" s="14" t="s">
        <v>250</v>
      </c>
      <c r="D597" s="14" t="s">
        <v>463</v>
      </c>
      <c r="E597" s="14" t="s">
        <v>10</v>
      </c>
      <c r="F597" s="15">
        <v>202370</v>
      </c>
      <c r="G597" s="15">
        <v>202370</v>
      </c>
    </row>
    <row r="598" spans="1:7" x14ac:dyDescent="0.25">
      <c r="A598" s="13">
        <v>46190</v>
      </c>
      <c r="B598" s="14" t="s">
        <v>969</v>
      </c>
      <c r="C598" s="14" t="s">
        <v>250</v>
      </c>
      <c r="D598" s="14" t="s">
        <v>42</v>
      </c>
      <c r="E598" s="14" t="s">
        <v>10</v>
      </c>
      <c r="F598" s="15">
        <v>95550</v>
      </c>
      <c r="G598" s="15">
        <v>95550</v>
      </c>
    </row>
    <row r="599" spans="1:7" x14ac:dyDescent="0.25">
      <c r="A599" s="13">
        <v>46190</v>
      </c>
      <c r="B599" s="14" t="s">
        <v>970</v>
      </c>
      <c r="C599" s="14" t="s">
        <v>250</v>
      </c>
      <c r="D599" s="14" t="s">
        <v>42</v>
      </c>
      <c r="E599" s="14" t="s">
        <v>10</v>
      </c>
      <c r="F599" s="15">
        <v>111475</v>
      </c>
      <c r="G599" s="15">
        <v>111475</v>
      </c>
    </row>
    <row r="600" spans="1:7" x14ac:dyDescent="0.25">
      <c r="A600" s="13">
        <v>46191</v>
      </c>
      <c r="B600" s="14" t="s">
        <v>971</v>
      </c>
      <c r="C600" s="14" t="s">
        <v>76</v>
      </c>
      <c r="D600" s="14" t="s">
        <v>66</v>
      </c>
      <c r="E600" s="14" t="s">
        <v>10</v>
      </c>
      <c r="F600" s="15">
        <v>88892</v>
      </c>
      <c r="G600" s="15">
        <v>88892</v>
      </c>
    </row>
    <row r="601" spans="1:7" x14ac:dyDescent="0.25">
      <c r="A601" s="13">
        <v>46191</v>
      </c>
      <c r="B601" s="14" t="s">
        <v>972</v>
      </c>
      <c r="C601" s="14" t="s">
        <v>76</v>
      </c>
      <c r="D601" s="14" t="s">
        <v>66</v>
      </c>
      <c r="E601" s="14" t="s">
        <v>10</v>
      </c>
      <c r="F601" s="15">
        <v>85967</v>
      </c>
      <c r="G601" s="15">
        <v>85967</v>
      </c>
    </row>
    <row r="602" spans="1:7" x14ac:dyDescent="0.25">
      <c r="A602" s="13">
        <v>46191</v>
      </c>
      <c r="B602" s="14" t="s">
        <v>973</v>
      </c>
      <c r="C602" s="14" t="s">
        <v>91</v>
      </c>
      <c r="D602" s="14" t="s">
        <v>79</v>
      </c>
      <c r="E602" s="14" t="s">
        <v>10</v>
      </c>
      <c r="F602" s="15">
        <v>210000</v>
      </c>
      <c r="G602" s="15">
        <v>-210000</v>
      </c>
    </row>
    <row r="603" spans="1:7" x14ac:dyDescent="0.25">
      <c r="A603" s="13">
        <v>46191</v>
      </c>
      <c r="B603" s="14" t="s">
        <v>974</v>
      </c>
      <c r="C603" s="14" t="s">
        <v>273</v>
      </c>
      <c r="D603" s="14" t="s">
        <v>42</v>
      </c>
      <c r="E603" s="14" t="s">
        <v>10</v>
      </c>
      <c r="F603" s="15">
        <v>559925</v>
      </c>
      <c r="G603" s="15">
        <v>-559925</v>
      </c>
    </row>
    <row r="604" spans="1:7" x14ac:dyDescent="0.25">
      <c r="A604" s="13">
        <v>46191</v>
      </c>
      <c r="B604" s="14" t="s">
        <v>975</v>
      </c>
      <c r="C604" s="14" t="s">
        <v>117</v>
      </c>
      <c r="D604" s="14" t="s">
        <v>39</v>
      </c>
      <c r="E604" s="14" t="s">
        <v>10</v>
      </c>
      <c r="F604" s="15">
        <v>47861.120000000003</v>
      </c>
      <c r="G604" s="15">
        <v>47861.120000000003</v>
      </c>
    </row>
    <row r="605" spans="1:7" x14ac:dyDescent="0.25">
      <c r="A605" s="13">
        <v>46191</v>
      </c>
      <c r="B605" s="14" t="s">
        <v>976</v>
      </c>
      <c r="C605" s="14" t="s">
        <v>117</v>
      </c>
      <c r="D605" s="14" t="s">
        <v>39</v>
      </c>
      <c r="E605" s="14" t="s">
        <v>10</v>
      </c>
      <c r="F605" s="15">
        <v>42893.56</v>
      </c>
      <c r="G605" s="15">
        <v>42893.56</v>
      </c>
    </row>
    <row r="606" spans="1:7" x14ac:dyDescent="0.25">
      <c r="A606" s="13">
        <v>46191</v>
      </c>
      <c r="B606" s="14" t="s">
        <v>977</v>
      </c>
      <c r="C606" s="14" t="s">
        <v>117</v>
      </c>
      <c r="D606" s="14" t="s">
        <v>39</v>
      </c>
      <c r="E606" s="14" t="s">
        <v>10</v>
      </c>
      <c r="F606" s="15">
        <v>2187.36</v>
      </c>
      <c r="G606" s="15">
        <v>2187.36</v>
      </c>
    </row>
    <row r="607" spans="1:7" x14ac:dyDescent="0.25">
      <c r="A607" s="13">
        <v>46191</v>
      </c>
      <c r="B607" s="14" t="s">
        <v>978</v>
      </c>
      <c r="C607" s="14" t="s">
        <v>117</v>
      </c>
      <c r="D607" s="14" t="s">
        <v>39</v>
      </c>
      <c r="E607" s="14" t="s">
        <v>10</v>
      </c>
      <c r="F607" s="15">
        <v>42156.5</v>
      </c>
      <c r="G607" s="15">
        <v>42156.5</v>
      </c>
    </row>
    <row r="608" spans="1:7" x14ac:dyDescent="0.25">
      <c r="A608" s="13">
        <v>46191</v>
      </c>
      <c r="B608" s="14" t="s">
        <v>979</v>
      </c>
      <c r="C608" s="14" t="s">
        <v>117</v>
      </c>
      <c r="D608" s="14" t="s">
        <v>39</v>
      </c>
      <c r="E608" s="14" t="s">
        <v>10</v>
      </c>
      <c r="F608" s="15">
        <v>40581.480000000003</v>
      </c>
      <c r="G608" s="15">
        <v>40581.480000000003</v>
      </c>
    </row>
    <row r="609" spans="1:7" x14ac:dyDescent="0.25">
      <c r="A609" s="13">
        <v>46191</v>
      </c>
      <c r="B609" s="14" t="s">
        <v>980</v>
      </c>
      <c r="C609" s="14" t="s">
        <v>129</v>
      </c>
      <c r="D609" s="14" t="s">
        <v>42</v>
      </c>
      <c r="E609" s="14" t="s">
        <v>10</v>
      </c>
      <c r="F609" s="15">
        <v>61968</v>
      </c>
      <c r="G609" s="15">
        <v>61968</v>
      </c>
    </row>
    <row r="610" spans="1:7" x14ac:dyDescent="0.25">
      <c r="A610" s="13">
        <v>46191</v>
      </c>
      <c r="B610" s="14" t="s">
        <v>981</v>
      </c>
      <c r="C610" s="14" t="s">
        <v>129</v>
      </c>
      <c r="D610" s="14" t="s">
        <v>42</v>
      </c>
      <c r="E610" s="14" t="s">
        <v>10</v>
      </c>
      <c r="F610" s="15">
        <v>72198</v>
      </c>
      <c r="G610" s="15">
        <v>72198</v>
      </c>
    </row>
    <row r="611" spans="1:7" x14ac:dyDescent="0.25">
      <c r="A611" s="13">
        <v>46191</v>
      </c>
      <c r="B611" s="14" t="s">
        <v>982</v>
      </c>
      <c r="C611" s="14" t="s">
        <v>208</v>
      </c>
      <c r="D611" s="14" t="s">
        <v>39</v>
      </c>
      <c r="E611" s="14" t="s">
        <v>10</v>
      </c>
      <c r="F611" s="15">
        <v>60900</v>
      </c>
      <c r="G611" s="15">
        <v>60900</v>
      </c>
    </row>
    <row r="612" spans="1:7" x14ac:dyDescent="0.25">
      <c r="A612" s="13">
        <v>46191</v>
      </c>
      <c r="B612" s="14" t="s">
        <v>983</v>
      </c>
      <c r="C612" s="14" t="s">
        <v>194</v>
      </c>
      <c r="D612" s="14" t="s">
        <v>66</v>
      </c>
      <c r="E612" s="14" t="s">
        <v>10</v>
      </c>
      <c r="F612" s="15">
        <v>200721</v>
      </c>
      <c r="G612" s="15">
        <v>200721</v>
      </c>
    </row>
    <row r="613" spans="1:7" x14ac:dyDescent="0.25">
      <c r="A613" s="13">
        <v>46191</v>
      </c>
      <c r="B613" s="14" t="s">
        <v>984</v>
      </c>
      <c r="C613" s="14" t="s">
        <v>194</v>
      </c>
      <c r="D613" s="14" t="s">
        <v>66</v>
      </c>
      <c r="E613" s="14" t="s">
        <v>10</v>
      </c>
      <c r="F613" s="15">
        <v>199000</v>
      </c>
      <c r="G613" s="15">
        <v>199000</v>
      </c>
    </row>
    <row r="614" spans="1:7" x14ac:dyDescent="0.25">
      <c r="A614" s="13">
        <v>46191</v>
      </c>
      <c r="B614" s="14" t="s">
        <v>985</v>
      </c>
      <c r="C614" s="14" t="s">
        <v>194</v>
      </c>
      <c r="D614" s="14" t="s">
        <v>66</v>
      </c>
      <c r="E614" s="14" t="s">
        <v>10</v>
      </c>
      <c r="F614" s="15">
        <v>197853</v>
      </c>
      <c r="G614" s="15">
        <v>197853</v>
      </c>
    </row>
    <row r="615" spans="1:7" x14ac:dyDescent="0.25">
      <c r="A615" s="13">
        <v>46192</v>
      </c>
      <c r="B615" s="14" t="s">
        <v>986</v>
      </c>
      <c r="C615" s="14" t="s">
        <v>53</v>
      </c>
      <c r="D615" s="14" t="s">
        <v>42</v>
      </c>
      <c r="E615" s="14" t="s">
        <v>10</v>
      </c>
      <c r="F615" s="15">
        <v>1090273.3799999999</v>
      </c>
      <c r="G615" s="15">
        <v>1090273.3799999999</v>
      </c>
    </row>
    <row r="616" spans="1:7" x14ac:dyDescent="0.25">
      <c r="A616" s="13">
        <v>46192</v>
      </c>
      <c r="B616" s="14" t="s">
        <v>987</v>
      </c>
      <c r="C616" s="14" t="s">
        <v>53</v>
      </c>
      <c r="D616" s="14" t="s">
        <v>451</v>
      </c>
      <c r="E616" s="14" t="s">
        <v>10</v>
      </c>
      <c r="F616" s="15">
        <v>23880.92</v>
      </c>
      <c r="G616" s="15">
        <v>23880.92</v>
      </c>
    </row>
    <row r="617" spans="1:7" x14ac:dyDescent="0.25">
      <c r="A617" s="13">
        <v>46192</v>
      </c>
      <c r="B617" s="14" t="s">
        <v>988</v>
      </c>
      <c r="C617" s="14" t="s">
        <v>76</v>
      </c>
      <c r="D617" s="14" t="s">
        <v>66</v>
      </c>
      <c r="E617" s="14" t="s">
        <v>10</v>
      </c>
      <c r="F617" s="15">
        <v>87378</v>
      </c>
      <c r="G617" s="15">
        <v>87378</v>
      </c>
    </row>
    <row r="618" spans="1:7" x14ac:dyDescent="0.25">
      <c r="A618" s="13">
        <v>46192</v>
      </c>
      <c r="B618" s="14" t="s">
        <v>989</v>
      </c>
      <c r="C618" s="14" t="s">
        <v>283</v>
      </c>
      <c r="D618" s="14" t="s">
        <v>79</v>
      </c>
      <c r="E618" s="14" t="s">
        <v>10</v>
      </c>
      <c r="F618" s="15">
        <v>2374700</v>
      </c>
      <c r="G618" s="15">
        <v>-2374700</v>
      </c>
    </row>
    <row r="619" spans="1:7" x14ac:dyDescent="0.25">
      <c r="A619" s="13">
        <v>46192</v>
      </c>
      <c r="B619" s="14" t="s">
        <v>990</v>
      </c>
      <c r="C619" s="14" t="s">
        <v>162</v>
      </c>
      <c r="D619" s="14" t="s">
        <v>463</v>
      </c>
      <c r="E619" s="14" t="s">
        <v>10</v>
      </c>
      <c r="F619" s="15">
        <v>221237</v>
      </c>
      <c r="G619" s="15">
        <v>221237</v>
      </c>
    </row>
    <row r="620" spans="1:7" x14ac:dyDescent="0.25">
      <c r="A620" s="13">
        <v>46192</v>
      </c>
      <c r="B620" s="14" t="s">
        <v>991</v>
      </c>
      <c r="C620" s="14" t="s">
        <v>194</v>
      </c>
      <c r="D620" s="14" t="s">
        <v>66</v>
      </c>
      <c r="E620" s="14" t="s">
        <v>10</v>
      </c>
      <c r="F620" s="15">
        <v>28674</v>
      </c>
      <c r="G620" s="15">
        <v>28674</v>
      </c>
    </row>
    <row r="621" spans="1:7" x14ac:dyDescent="0.25">
      <c r="A621" s="13">
        <v>46192</v>
      </c>
      <c r="B621" s="14" t="s">
        <v>992</v>
      </c>
      <c r="C621" s="14" t="s">
        <v>194</v>
      </c>
      <c r="D621" s="14" t="s">
        <v>66</v>
      </c>
      <c r="E621" s="14" t="s">
        <v>10</v>
      </c>
      <c r="F621" s="15">
        <v>28674</v>
      </c>
      <c r="G621" s="15">
        <v>28674</v>
      </c>
    </row>
    <row r="622" spans="1:7" x14ac:dyDescent="0.25">
      <c r="A622" s="13">
        <v>46192</v>
      </c>
      <c r="B622" s="14" t="s">
        <v>993</v>
      </c>
      <c r="C622" s="14" t="s">
        <v>194</v>
      </c>
      <c r="D622" s="14" t="s">
        <v>66</v>
      </c>
      <c r="E622" s="14" t="s">
        <v>10</v>
      </c>
      <c r="F622" s="15">
        <v>169752</v>
      </c>
      <c r="G622" s="15">
        <v>169752</v>
      </c>
    </row>
    <row r="623" spans="1:7" x14ac:dyDescent="0.25">
      <c r="A623" s="13">
        <v>46193</v>
      </c>
      <c r="B623" s="14" t="s">
        <v>994</v>
      </c>
      <c r="C623" s="14" t="s">
        <v>59</v>
      </c>
      <c r="D623" s="14" t="s">
        <v>39</v>
      </c>
      <c r="E623" s="14" t="s">
        <v>10</v>
      </c>
      <c r="F623" s="15">
        <v>58870</v>
      </c>
      <c r="G623" s="15">
        <v>58870</v>
      </c>
    </row>
    <row r="624" spans="1:7" x14ac:dyDescent="0.25">
      <c r="A624" s="13">
        <v>46193</v>
      </c>
      <c r="B624" s="14" t="s">
        <v>995</v>
      </c>
      <c r="C624" s="14" t="s">
        <v>62</v>
      </c>
      <c r="D624" s="14" t="s">
        <v>731</v>
      </c>
      <c r="E624" s="14" t="s">
        <v>10</v>
      </c>
      <c r="F624" s="15">
        <v>62822</v>
      </c>
      <c r="G624" s="15">
        <v>62822</v>
      </c>
    </row>
    <row r="625" spans="1:7" x14ac:dyDescent="0.25">
      <c r="A625" s="13">
        <v>46193</v>
      </c>
      <c r="B625" s="14" t="s">
        <v>996</v>
      </c>
      <c r="C625" s="14" t="s">
        <v>268</v>
      </c>
      <c r="D625" s="14" t="s">
        <v>33</v>
      </c>
      <c r="E625" s="14" t="s">
        <v>10</v>
      </c>
      <c r="F625" s="15">
        <v>200000</v>
      </c>
      <c r="G625" s="15">
        <v>-200000</v>
      </c>
    </row>
    <row r="626" spans="1:7" x14ac:dyDescent="0.25">
      <c r="A626" s="13">
        <v>46193</v>
      </c>
      <c r="B626" s="14" t="s">
        <v>997</v>
      </c>
      <c r="C626" s="14" t="s">
        <v>214</v>
      </c>
      <c r="D626" s="14" t="s">
        <v>463</v>
      </c>
      <c r="E626" s="14" t="s">
        <v>10</v>
      </c>
      <c r="F626" s="15">
        <v>12804.52</v>
      </c>
      <c r="G626" s="15">
        <v>12804.52</v>
      </c>
    </row>
    <row r="627" spans="1:7" x14ac:dyDescent="0.25">
      <c r="A627" s="13">
        <v>46194</v>
      </c>
      <c r="B627" s="14" t="s">
        <v>998</v>
      </c>
      <c r="C627" s="14" t="s">
        <v>27</v>
      </c>
      <c r="D627" s="14" t="s">
        <v>42</v>
      </c>
      <c r="E627" s="14" t="s">
        <v>10</v>
      </c>
      <c r="F627" s="15">
        <v>61360</v>
      </c>
      <c r="G627" s="15">
        <v>61360</v>
      </c>
    </row>
    <row r="628" spans="1:7" x14ac:dyDescent="0.25">
      <c r="A628" s="13">
        <v>46194</v>
      </c>
      <c r="B628" s="14" t="s">
        <v>999</v>
      </c>
      <c r="C628" s="14" t="s">
        <v>160</v>
      </c>
      <c r="D628" s="14" t="s">
        <v>154</v>
      </c>
      <c r="E628" s="14" t="s">
        <v>10</v>
      </c>
      <c r="F628" s="15">
        <v>37751</v>
      </c>
      <c r="G628" s="15">
        <v>37751</v>
      </c>
    </row>
    <row r="629" spans="1:7" x14ac:dyDescent="0.25">
      <c r="A629" s="13">
        <v>46194</v>
      </c>
      <c r="B629" s="14" t="s">
        <v>1000</v>
      </c>
      <c r="C629" s="14" t="s">
        <v>194</v>
      </c>
      <c r="D629" s="14" t="s">
        <v>66</v>
      </c>
      <c r="E629" s="14" t="s">
        <v>10</v>
      </c>
      <c r="F629" s="15">
        <v>143372</v>
      </c>
      <c r="G629" s="15">
        <v>143372</v>
      </c>
    </row>
    <row r="630" spans="1:7" x14ac:dyDescent="0.25">
      <c r="A630" s="13">
        <v>46195</v>
      </c>
      <c r="B630" s="14" t="s">
        <v>1001</v>
      </c>
      <c r="C630" s="14" t="s">
        <v>37</v>
      </c>
      <c r="D630" s="14" t="s">
        <v>33</v>
      </c>
      <c r="E630" s="14" t="s">
        <v>10</v>
      </c>
      <c r="F630" s="15">
        <v>116442.93</v>
      </c>
      <c r="G630" s="15">
        <v>116442.93</v>
      </c>
    </row>
    <row r="631" spans="1:7" x14ac:dyDescent="0.25">
      <c r="A631" s="13">
        <v>46195</v>
      </c>
      <c r="B631" s="14" t="s">
        <v>1002</v>
      </c>
      <c r="C631" s="14" t="s">
        <v>53</v>
      </c>
      <c r="D631" s="14" t="s">
        <v>33</v>
      </c>
      <c r="E631" s="14" t="s">
        <v>10</v>
      </c>
      <c r="F631" s="15">
        <v>86254.26</v>
      </c>
      <c r="G631" s="15">
        <v>86254.26</v>
      </c>
    </row>
    <row r="632" spans="1:7" x14ac:dyDescent="0.25">
      <c r="A632" s="13">
        <v>46195</v>
      </c>
      <c r="B632" s="14" t="s">
        <v>1003</v>
      </c>
      <c r="C632" s="14" t="s">
        <v>53</v>
      </c>
      <c r="D632" s="14" t="s">
        <v>33</v>
      </c>
      <c r="E632" s="14" t="s">
        <v>10</v>
      </c>
      <c r="F632" s="15">
        <v>83214.36</v>
      </c>
      <c r="G632" s="15">
        <v>83214.36</v>
      </c>
    </row>
    <row r="633" spans="1:7" x14ac:dyDescent="0.25">
      <c r="A633" s="13">
        <v>46195</v>
      </c>
      <c r="B633" s="14" t="s">
        <v>1004</v>
      </c>
      <c r="C633" s="14" t="s">
        <v>53</v>
      </c>
      <c r="D633" s="14" t="s">
        <v>33</v>
      </c>
      <c r="E633" s="14" t="s">
        <v>10</v>
      </c>
      <c r="F633" s="15">
        <v>88039.360000000001</v>
      </c>
      <c r="G633" s="15">
        <v>88039.360000000001</v>
      </c>
    </row>
    <row r="634" spans="1:7" x14ac:dyDescent="0.25">
      <c r="A634" s="13">
        <v>46195</v>
      </c>
      <c r="B634" s="14" t="s">
        <v>1005</v>
      </c>
      <c r="C634" s="14" t="s">
        <v>76</v>
      </c>
      <c r="D634" s="14" t="s">
        <v>66</v>
      </c>
      <c r="E634" s="14" t="s">
        <v>10</v>
      </c>
      <c r="F634" s="15">
        <v>78447</v>
      </c>
      <c r="G634" s="15">
        <v>78447</v>
      </c>
    </row>
    <row r="635" spans="1:7" x14ac:dyDescent="0.25">
      <c r="A635" s="13">
        <v>46195</v>
      </c>
      <c r="B635" s="14" t="s">
        <v>1006</v>
      </c>
      <c r="C635" s="14" t="s">
        <v>91</v>
      </c>
      <c r="D635" s="14" t="s">
        <v>79</v>
      </c>
      <c r="E635" s="14" t="s">
        <v>10</v>
      </c>
      <c r="F635" s="15">
        <v>219646.5</v>
      </c>
      <c r="G635" s="15">
        <v>-219646.5</v>
      </c>
    </row>
    <row r="636" spans="1:7" x14ac:dyDescent="0.25">
      <c r="A636" s="13">
        <v>46195</v>
      </c>
      <c r="B636" s="14" t="s">
        <v>1007</v>
      </c>
      <c r="C636" s="14" t="s">
        <v>91</v>
      </c>
      <c r="D636" s="14" t="s">
        <v>79</v>
      </c>
      <c r="E636" s="14" t="s">
        <v>10</v>
      </c>
      <c r="F636" s="15">
        <v>520000</v>
      </c>
      <c r="G636" s="15">
        <v>-520000</v>
      </c>
    </row>
    <row r="637" spans="1:7" x14ac:dyDescent="0.25">
      <c r="A637" s="13">
        <v>46195</v>
      </c>
      <c r="B637" s="14" t="s">
        <v>1008</v>
      </c>
      <c r="C637" s="14" t="s">
        <v>162</v>
      </c>
      <c r="D637" s="14" t="s">
        <v>463</v>
      </c>
      <c r="E637" s="14" t="s">
        <v>10</v>
      </c>
      <c r="F637" s="15">
        <v>106051</v>
      </c>
      <c r="G637" s="15">
        <v>106051</v>
      </c>
    </row>
    <row r="638" spans="1:7" x14ac:dyDescent="0.25">
      <c r="A638" s="13">
        <v>46195</v>
      </c>
      <c r="B638" s="14" t="s">
        <v>1009</v>
      </c>
      <c r="C638" s="14" t="s">
        <v>201</v>
      </c>
      <c r="D638" s="14" t="s">
        <v>33</v>
      </c>
      <c r="E638" s="14" t="s">
        <v>10</v>
      </c>
      <c r="F638" s="15">
        <v>173256.68</v>
      </c>
      <c r="G638" s="15">
        <v>173256.68</v>
      </c>
    </row>
    <row r="639" spans="1:7" x14ac:dyDescent="0.25">
      <c r="A639" s="13">
        <v>46195</v>
      </c>
      <c r="B639" s="14" t="s">
        <v>1010</v>
      </c>
      <c r="C639" s="14" t="s">
        <v>194</v>
      </c>
      <c r="D639" s="14" t="s">
        <v>66</v>
      </c>
      <c r="E639" s="14" t="s">
        <v>10</v>
      </c>
      <c r="F639" s="15">
        <v>57349</v>
      </c>
      <c r="G639" s="15">
        <v>57349</v>
      </c>
    </row>
    <row r="640" spans="1:7" x14ac:dyDescent="0.25">
      <c r="A640" s="13">
        <v>46196</v>
      </c>
      <c r="B640" s="14" t="s">
        <v>1011</v>
      </c>
      <c r="C640" s="14" t="s">
        <v>76</v>
      </c>
      <c r="D640" s="14" t="s">
        <v>66</v>
      </c>
      <c r="E640" s="14" t="s">
        <v>10</v>
      </c>
      <c r="F640" s="15">
        <v>91765</v>
      </c>
      <c r="G640" s="15">
        <v>91765</v>
      </c>
    </row>
    <row r="641" spans="1:7" x14ac:dyDescent="0.25">
      <c r="A641" s="13">
        <v>46196</v>
      </c>
      <c r="B641" s="14" t="s">
        <v>1012</v>
      </c>
      <c r="C641" s="14" t="s">
        <v>76</v>
      </c>
      <c r="D641" s="14" t="s">
        <v>66</v>
      </c>
      <c r="E641" s="14" t="s">
        <v>10</v>
      </c>
      <c r="F641" s="15">
        <v>75731</v>
      </c>
      <c r="G641" s="15">
        <v>75731</v>
      </c>
    </row>
    <row r="642" spans="1:7" x14ac:dyDescent="0.25">
      <c r="A642" s="13">
        <v>46196</v>
      </c>
      <c r="B642" s="14" t="s">
        <v>1013</v>
      </c>
      <c r="C642" s="14" t="s">
        <v>76</v>
      </c>
      <c r="D642" s="14" t="s">
        <v>66</v>
      </c>
      <c r="E642" s="14" t="s">
        <v>10</v>
      </c>
      <c r="F642" s="15">
        <v>85001</v>
      </c>
      <c r="G642" s="15">
        <v>85001</v>
      </c>
    </row>
    <row r="643" spans="1:7" x14ac:dyDescent="0.25">
      <c r="A643" s="13">
        <v>46196</v>
      </c>
      <c r="B643" s="14" t="s">
        <v>1014</v>
      </c>
      <c r="C643" s="14" t="s">
        <v>273</v>
      </c>
      <c r="D643" s="14"/>
      <c r="E643" s="14" t="s">
        <v>10</v>
      </c>
      <c r="F643" s="15">
        <v>158400</v>
      </c>
      <c r="G643" s="15">
        <v>-158400</v>
      </c>
    </row>
    <row r="644" spans="1:7" x14ac:dyDescent="0.25">
      <c r="A644" s="13">
        <v>46196</v>
      </c>
      <c r="B644" s="14" t="s">
        <v>1015</v>
      </c>
      <c r="C644" s="14" t="s">
        <v>273</v>
      </c>
      <c r="D644" s="14"/>
      <c r="E644" s="14" t="s">
        <v>10</v>
      </c>
      <c r="F644" s="15">
        <v>324675</v>
      </c>
      <c r="G644" s="15">
        <v>-324675</v>
      </c>
    </row>
    <row r="645" spans="1:7" x14ac:dyDescent="0.25">
      <c r="A645" s="13">
        <v>46196</v>
      </c>
      <c r="B645" s="14" t="s">
        <v>1016</v>
      </c>
      <c r="C645" s="14" t="s">
        <v>273</v>
      </c>
      <c r="D645" s="14" t="s">
        <v>42</v>
      </c>
      <c r="E645" s="14" t="s">
        <v>10</v>
      </c>
      <c r="F645" s="15">
        <v>185000</v>
      </c>
      <c r="G645" s="15">
        <v>-185000</v>
      </c>
    </row>
    <row r="646" spans="1:7" x14ac:dyDescent="0.25">
      <c r="A646" s="13">
        <v>46196</v>
      </c>
      <c r="B646" s="14" t="s">
        <v>1017</v>
      </c>
      <c r="C646" s="14" t="s">
        <v>162</v>
      </c>
      <c r="D646" s="14" t="s">
        <v>463</v>
      </c>
      <c r="E646" s="14" t="s">
        <v>10</v>
      </c>
      <c r="F646" s="15">
        <v>182615</v>
      </c>
      <c r="G646" s="15">
        <v>182615</v>
      </c>
    </row>
    <row r="647" spans="1:7" x14ac:dyDescent="0.25">
      <c r="A647" s="13">
        <v>46196</v>
      </c>
      <c r="B647" s="14" t="s">
        <v>1018</v>
      </c>
      <c r="C647" s="14" t="s">
        <v>194</v>
      </c>
      <c r="D647" s="14" t="s">
        <v>66</v>
      </c>
      <c r="E647" s="14" t="s">
        <v>10</v>
      </c>
      <c r="F647" s="15">
        <v>169752</v>
      </c>
      <c r="G647" s="15">
        <v>169752</v>
      </c>
    </row>
    <row r="648" spans="1:7" x14ac:dyDescent="0.25">
      <c r="A648" s="13">
        <v>46197</v>
      </c>
      <c r="B648" s="14" t="s">
        <v>1019</v>
      </c>
      <c r="C648" s="14" t="s">
        <v>32</v>
      </c>
      <c r="D648" s="14" t="s">
        <v>33</v>
      </c>
      <c r="E648" s="14" t="s">
        <v>10</v>
      </c>
      <c r="F648" s="15">
        <v>57092.78</v>
      </c>
      <c r="G648" s="15">
        <v>57092.78</v>
      </c>
    </row>
    <row r="649" spans="1:7" x14ac:dyDescent="0.25">
      <c r="A649" s="13">
        <v>46197</v>
      </c>
      <c r="B649" s="14" t="s">
        <v>1020</v>
      </c>
      <c r="C649" s="14" t="s">
        <v>32</v>
      </c>
      <c r="D649" s="14" t="s">
        <v>33</v>
      </c>
      <c r="E649" s="14" t="s">
        <v>10</v>
      </c>
      <c r="F649" s="15">
        <v>59265.95</v>
      </c>
      <c r="G649" s="15">
        <v>59265.95</v>
      </c>
    </row>
    <row r="650" spans="1:7" x14ac:dyDescent="0.25">
      <c r="A650" s="13">
        <v>46197</v>
      </c>
      <c r="B650" s="14" t="s">
        <v>1021</v>
      </c>
      <c r="C650" s="14" t="s">
        <v>32</v>
      </c>
      <c r="D650" s="14" t="s">
        <v>33</v>
      </c>
      <c r="E650" s="14" t="s">
        <v>10</v>
      </c>
      <c r="F650" s="15">
        <v>59231.57</v>
      </c>
      <c r="G650" s="15">
        <v>59231.57</v>
      </c>
    </row>
    <row r="651" spans="1:7" x14ac:dyDescent="0.25">
      <c r="A651" s="13">
        <v>46197</v>
      </c>
      <c r="B651" s="14" t="s">
        <v>1022</v>
      </c>
      <c r="C651" s="14" t="s">
        <v>32</v>
      </c>
      <c r="D651" s="14" t="s">
        <v>33</v>
      </c>
      <c r="E651" s="14" t="s">
        <v>10</v>
      </c>
      <c r="F651" s="15">
        <v>56615.07</v>
      </c>
      <c r="G651" s="15">
        <v>56615.07</v>
      </c>
    </row>
    <row r="652" spans="1:7" x14ac:dyDescent="0.25">
      <c r="A652" s="13">
        <v>46197</v>
      </c>
      <c r="B652" s="14" t="s">
        <v>1023</v>
      </c>
      <c r="C652" s="14" t="s">
        <v>32</v>
      </c>
      <c r="D652" s="14" t="s">
        <v>33</v>
      </c>
      <c r="E652" s="14" t="s">
        <v>10</v>
      </c>
      <c r="F652" s="15">
        <v>73500.78</v>
      </c>
      <c r="G652" s="15">
        <v>73500.78</v>
      </c>
    </row>
    <row r="653" spans="1:7" x14ac:dyDescent="0.25">
      <c r="A653" s="13">
        <v>46197</v>
      </c>
      <c r="B653" s="14" t="s">
        <v>1024</v>
      </c>
      <c r="C653" s="14" t="s">
        <v>32</v>
      </c>
      <c r="D653" s="14" t="s">
        <v>33</v>
      </c>
      <c r="E653" s="14" t="s">
        <v>10</v>
      </c>
      <c r="F653" s="15">
        <v>76372.460000000006</v>
      </c>
      <c r="G653" s="15">
        <v>76372.460000000006</v>
      </c>
    </row>
    <row r="654" spans="1:7" x14ac:dyDescent="0.25">
      <c r="A654" s="13">
        <v>46197</v>
      </c>
      <c r="B654" s="14" t="s">
        <v>1025</v>
      </c>
      <c r="C654" s="14" t="s">
        <v>32</v>
      </c>
      <c r="D654" s="14" t="s">
        <v>33</v>
      </c>
      <c r="E654" s="14" t="s">
        <v>10</v>
      </c>
      <c r="F654" s="15">
        <v>56597.38</v>
      </c>
      <c r="G654" s="15">
        <v>56597.38</v>
      </c>
    </row>
    <row r="655" spans="1:7" x14ac:dyDescent="0.25">
      <c r="A655" s="13">
        <v>46197</v>
      </c>
      <c r="B655" s="14" t="s">
        <v>1026</v>
      </c>
      <c r="C655" s="14" t="s">
        <v>32</v>
      </c>
      <c r="D655" s="14" t="s">
        <v>33</v>
      </c>
      <c r="E655" s="14" t="s">
        <v>10</v>
      </c>
      <c r="F655" s="15">
        <v>73048.27</v>
      </c>
      <c r="G655" s="15">
        <v>73048.27</v>
      </c>
    </row>
    <row r="656" spans="1:7" x14ac:dyDescent="0.25">
      <c r="A656" s="13">
        <v>46197</v>
      </c>
      <c r="B656" s="14" t="s">
        <v>1027</v>
      </c>
      <c r="C656" s="14" t="s">
        <v>32</v>
      </c>
      <c r="D656" s="14" t="s">
        <v>33</v>
      </c>
      <c r="E656" s="14" t="s">
        <v>10</v>
      </c>
      <c r="F656" s="15">
        <v>58082.559999999998</v>
      </c>
      <c r="G656" s="15">
        <v>58082.559999999998</v>
      </c>
    </row>
    <row r="657" spans="1:7" x14ac:dyDescent="0.25">
      <c r="A657" s="13">
        <v>46197</v>
      </c>
      <c r="B657" s="14" t="s">
        <v>1028</v>
      </c>
      <c r="C657" s="14" t="s">
        <v>32</v>
      </c>
      <c r="D657" s="14" t="s">
        <v>33</v>
      </c>
      <c r="E657" s="14" t="s">
        <v>10</v>
      </c>
      <c r="F657" s="15">
        <v>53610.35</v>
      </c>
      <c r="G657" s="15">
        <v>53610.35</v>
      </c>
    </row>
    <row r="658" spans="1:7" x14ac:dyDescent="0.25">
      <c r="A658" s="13">
        <v>46197</v>
      </c>
      <c r="B658" s="14" t="s">
        <v>1029</v>
      </c>
      <c r="C658" s="14" t="s">
        <v>32</v>
      </c>
      <c r="D658" s="14" t="s">
        <v>33</v>
      </c>
      <c r="E658" s="14" t="s">
        <v>10</v>
      </c>
      <c r="F658" s="15">
        <v>59107.72</v>
      </c>
      <c r="G658" s="15">
        <v>59107.72</v>
      </c>
    </row>
    <row r="659" spans="1:7" x14ac:dyDescent="0.25">
      <c r="A659" s="13">
        <v>46197</v>
      </c>
      <c r="B659" s="14" t="s">
        <v>1030</v>
      </c>
      <c r="C659" s="14" t="s">
        <v>32</v>
      </c>
      <c r="D659" s="14" t="s">
        <v>33</v>
      </c>
      <c r="E659" s="14" t="s">
        <v>10</v>
      </c>
      <c r="F659" s="15">
        <v>59054.65</v>
      </c>
      <c r="G659" s="15">
        <v>59054.65</v>
      </c>
    </row>
    <row r="660" spans="1:7" x14ac:dyDescent="0.25">
      <c r="A660" s="13">
        <v>46197</v>
      </c>
      <c r="B660" s="14" t="s">
        <v>1031</v>
      </c>
      <c r="C660" s="14" t="s">
        <v>32</v>
      </c>
      <c r="D660" s="14" t="s">
        <v>33</v>
      </c>
      <c r="E660" s="14" t="s">
        <v>10</v>
      </c>
      <c r="F660" s="15">
        <v>58188.72</v>
      </c>
      <c r="G660" s="15">
        <v>58188.72</v>
      </c>
    </row>
    <row r="661" spans="1:7" x14ac:dyDescent="0.25">
      <c r="A661" s="13">
        <v>46197</v>
      </c>
      <c r="B661" s="14" t="s">
        <v>1032</v>
      </c>
      <c r="C661" s="14" t="s">
        <v>32</v>
      </c>
      <c r="D661" s="14" t="s">
        <v>33</v>
      </c>
      <c r="E661" s="14" t="s">
        <v>10</v>
      </c>
      <c r="F661" s="15">
        <v>50747.17</v>
      </c>
      <c r="G661" s="15">
        <v>50747.17</v>
      </c>
    </row>
    <row r="662" spans="1:7" x14ac:dyDescent="0.25">
      <c r="A662" s="13">
        <v>46197</v>
      </c>
      <c r="B662" s="14" t="s">
        <v>1033</v>
      </c>
      <c r="C662" s="14" t="s">
        <v>32</v>
      </c>
      <c r="D662" s="14" t="s">
        <v>33</v>
      </c>
      <c r="E662" s="14" t="s">
        <v>10</v>
      </c>
      <c r="F662" s="15">
        <v>56208.160000000003</v>
      </c>
      <c r="G662" s="15">
        <v>56208.160000000003</v>
      </c>
    </row>
    <row r="663" spans="1:7" x14ac:dyDescent="0.25">
      <c r="A663" s="13">
        <v>46197</v>
      </c>
      <c r="B663" s="14" t="s">
        <v>1034</v>
      </c>
      <c r="C663" s="14" t="s">
        <v>32</v>
      </c>
      <c r="D663" s="14" t="s">
        <v>33</v>
      </c>
      <c r="E663" s="14" t="s">
        <v>10</v>
      </c>
      <c r="F663" s="15">
        <v>53256.51</v>
      </c>
      <c r="G663" s="15">
        <v>53256.51</v>
      </c>
    </row>
    <row r="664" spans="1:7" x14ac:dyDescent="0.25">
      <c r="A664" s="13">
        <v>46197</v>
      </c>
      <c r="B664" s="14" t="s">
        <v>1035</v>
      </c>
      <c r="C664" s="14" t="s">
        <v>32</v>
      </c>
      <c r="D664" s="14" t="s">
        <v>33</v>
      </c>
      <c r="E664" s="14" t="s">
        <v>10</v>
      </c>
      <c r="F664" s="15">
        <v>53557.279999999999</v>
      </c>
      <c r="G664" s="15">
        <v>53557.279999999999</v>
      </c>
    </row>
    <row r="665" spans="1:7" x14ac:dyDescent="0.25">
      <c r="A665" s="13">
        <v>46197</v>
      </c>
      <c r="B665" s="14" t="s">
        <v>1036</v>
      </c>
      <c r="C665" s="14" t="s">
        <v>32</v>
      </c>
      <c r="D665" s="14" t="s">
        <v>33</v>
      </c>
      <c r="E665" s="14" t="s">
        <v>10</v>
      </c>
      <c r="F665" s="15">
        <v>61228.82</v>
      </c>
      <c r="G665" s="15">
        <v>61228.82</v>
      </c>
    </row>
    <row r="666" spans="1:7" x14ac:dyDescent="0.25">
      <c r="A666" s="13">
        <v>46197</v>
      </c>
      <c r="B666" s="14" t="s">
        <v>1037</v>
      </c>
      <c r="C666" s="14" t="s">
        <v>32</v>
      </c>
      <c r="D666" s="14" t="s">
        <v>33</v>
      </c>
      <c r="E666" s="14" t="s">
        <v>10</v>
      </c>
      <c r="F666" s="15">
        <v>73846.789999999994</v>
      </c>
      <c r="G666" s="15">
        <v>73846.789999999994</v>
      </c>
    </row>
    <row r="667" spans="1:7" x14ac:dyDescent="0.25">
      <c r="A667" s="13">
        <v>46197</v>
      </c>
      <c r="B667" s="14" t="s">
        <v>1038</v>
      </c>
      <c r="C667" s="14" t="s">
        <v>32</v>
      </c>
      <c r="D667" s="14" t="s">
        <v>33</v>
      </c>
      <c r="E667" s="14" t="s">
        <v>10</v>
      </c>
      <c r="F667" s="15">
        <v>56402.77</v>
      </c>
      <c r="G667" s="15">
        <v>56402.77</v>
      </c>
    </row>
    <row r="668" spans="1:7" x14ac:dyDescent="0.25">
      <c r="A668" s="13">
        <v>46197</v>
      </c>
      <c r="B668" s="14" t="s">
        <v>1039</v>
      </c>
      <c r="C668" s="14" t="s">
        <v>32</v>
      </c>
      <c r="D668" s="14" t="s">
        <v>33</v>
      </c>
      <c r="E668" s="14" t="s">
        <v>10</v>
      </c>
      <c r="F668" s="15">
        <v>49580.47</v>
      </c>
      <c r="G668" s="15">
        <v>49580.47</v>
      </c>
    </row>
    <row r="669" spans="1:7" x14ac:dyDescent="0.25">
      <c r="A669" s="13">
        <v>46197</v>
      </c>
      <c r="B669" s="14" t="s">
        <v>1040</v>
      </c>
      <c r="C669" s="14" t="s">
        <v>37</v>
      </c>
      <c r="D669" s="14" t="s">
        <v>33</v>
      </c>
      <c r="E669" s="14" t="s">
        <v>10</v>
      </c>
      <c r="F669" s="15">
        <v>55697.279999999999</v>
      </c>
      <c r="G669" s="15">
        <v>55697.279999999999</v>
      </c>
    </row>
    <row r="670" spans="1:7" x14ac:dyDescent="0.25">
      <c r="A670" s="13">
        <v>46197</v>
      </c>
      <c r="B670" s="14" t="s">
        <v>1041</v>
      </c>
      <c r="C670" s="14" t="s">
        <v>37</v>
      </c>
      <c r="D670" s="14" t="s">
        <v>33</v>
      </c>
      <c r="E670" s="14" t="s">
        <v>10</v>
      </c>
      <c r="F670" s="15">
        <v>58302.48</v>
      </c>
      <c r="G670" s="15">
        <v>58302.48</v>
      </c>
    </row>
    <row r="671" spans="1:7" x14ac:dyDescent="0.25">
      <c r="A671" s="13">
        <v>46197</v>
      </c>
      <c r="B671" s="14" t="s">
        <v>1042</v>
      </c>
      <c r="C671" s="14" t="s">
        <v>76</v>
      </c>
      <c r="D671" s="14" t="s">
        <v>66</v>
      </c>
      <c r="E671" s="14" t="s">
        <v>10</v>
      </c>
      <c r="F671" s="15">
        <v>89362</v>
      </c>
      <c r="G671" s="15">
        <v>89362</v>
      </c>
    </row>
    <row r="672" spans="1:7" x14ac:dyDescent="0.25">
      <c r="A672" s="13">
        <v>46197</v>
      </c>
      <c r="B672" s="14" t="s">
        <v>1043</v>
      </c>
      <c r="C672" s="14" t="s">
        <v>76</v>
      </c>
      <c r="D672" s="14" t="s">
        <v>66</v>
      </c>
      <c r="E672" s="14" t="s">
        <v>10</v>
      </c>
      <c r="F672" s="15">
        <v>78212</v>
      </c>
      <c r="G672" s="15">
        <v>78212</v>
      </c>
    </row>
    <row r="673" spans="1:7" x14ac:dyDescent="0.25">
      <c r="A673" s="13">
        <v>46197</v>
      </c>
      <c r="B673" s="14" t="s">
        <v>1044</v>
      </c>
      <c r="C673" s="14" t="s">
        <v>129</v>
      </c>
      <c r="D673" s="14" t="s">
        <v>42</v>
      </c>
      <c r="E673" s="14" t="s">
        <v>10</v>
      </c>
      <c r="F673" s="15">
        <v>65583</v>
      </c>
      <c r="G673" s="15">
        <v>65583</v>
      </c>
    </row>
    <row r="674" spans="1:7" x14ac:dyDescent="0.25">
      <c r="A674" s="13">
        <v>46197</v>
      </c>
      <c r="B674" s="14" t="s">
        <v>1045</v>
      </c>
      <c r="C674" s="14" t="s">
        <v>212</v>
      </c>
      <c r="D674" s="14" t="s">
        <v>42</v>
      </c>
      <c r="E674" s="14" t="s">
        <v>10</v>
      </c>
      <c r="F674" s="15">
        <v>156302</v>
      </c>
      <c r="G674" s="15">
        <v>156302</v>
      </c>
    </row>
    <row r="675" spans="1:7" x14ac:dyDescent="0.25">
      <c r="A675" s="13">
        <v>46197</v>
      </c>
      <c r="B675" s="14" t="s">
        <v>1046</v>
      </c>
      <c r="C675" s="14" t="s">
        <v>194</v>
      </c>
      <c r="D675" s="14" t="s">
        <v>66</v>
      </c>
      <c r="E675" s="14" t="s">
        <v>10</v>
      </c>
      <c r="F675" s="15">
        <v>199000</v>
      </c>
      <c r="G675" s="15">
        <v>199000</v>
      </c>
    </row>
    <row r="676" spans="1:7" x14ac:dyDescent="0.25">
      <c r="A676" s="13">
        <v>46197</v>
      </c>
      <c r="B676" s="14" t="s">
        <v>1047</v>
      </c>
      <c r="C676" s="14" t="s">
        <v>194</v>
      </c>
      <c r="D676" s="14" t="s">
        <v>66</v>
      </c>
      <c r="E676" s="14" t="s">
        <v>10</v>
      </c>
      <c r="F676" s="15">
        <v>199574</v>
      </c>
      <c r="G676" s="15">
        <v>199574</v>
      </c>
    </row>
    <row r="677" spans="1:7" x14ac:dyDescent="0.25">
      <c r="A677" s="13">
        <v>46197</v>
      </c>
      <c r="B677" s="14" t="s">
        <v>1048</v>
      </c>
      <c r="C677" s="14" t="s">
        <v>194</v>
      </c>
      <c r="D677" s="14" t="s">
        <v>66</v>
      </c>
      <c r="E677" s="14" t="s">
        <v>10</v>
      </c>
      <c r="F677" s="15">
        <v>114697</v>
      </c>
      <c r="G677" s="15">
        <v>114697</v>
      </c>
    </row>
    <row r="678" spans="1:7" x14ac:dyDescent="0.25">
      <c r="A678" s="13">
        <v>46198</v>
      </c>
      <c r="B678" s="14" t="s">
        <v>1049</v>
      </c>
      <c r="C678" s="14" t="s">
        <v>76</v>
      </c>
      <c r="D678" s="14" t="s">
        <v>66</v>
      </c>
      <c r="E678" s="14" t="s">
        <v>10</v>
      </c>
      <c r="F678" s="15">
        <v>77663</v>
      </c>
      <c r="G678" s="15">
        <v>77663</v>
      </c>
    </row>
    <row r="679" spans="1:7" x14ac:dyDescent="0.25">
      <c r="A679" s="13">
        <v>46198</v>
      </c>
      <c r="B679" s="14" t="s">
        <v>1050</v>
      </c>
      <c r="C679" s="14" t="s">
        <v>76</v>
      </c>
      <c r="D679" s="14" t="s">
        <v>66</v>
      </c>
      <c r="E679" s="14" t="s">
        <v>10</v>
      </c>
      <c r="F679" s="15">
        <v>91921</v>
      </c>
      <c r="G679" s="15">
        <v>91921</v>
      </c>
    </row>
    <row r="680" spans="1:7" x14ac:dyDescent="0.25">
      <c r="A680" s="13">
        <v>46198</v>
      </c>
      <c r="B680" s="14" t="s">
        <v>1051</v>
      </c>
      <c r="C680" s="14" t="s">
        <v>194</v>
      </c>
      <c r="D680" s="14" t="s">
        <v>66</v>
      </c>
      <c r="E680" s="14" t="s">
        <v>10</v>
      </c>
      <c r="F680" s="15">
        <v>169752</v>
      </c>
      <c r="G680" s="15">
        <v>169752</v>
      </c>
    </row>
    <row r="681" spans="1:7" x14ac:dyDescent="0.25">
      <c r="A681" s="13">
        <v>46198</v>
      </c>
      <c r="B681" s="14" t="s">
        <v>1052</v>
      </c>
      <c r="C681" s="14" t="s">
        <v>194</v>
      </c>
      <c r="D681" s="14" t="s">
        <v>66</v>
      </c>
      <c r="E681" s="14" t="s">
        <v>10</v>
      </c>
      <c r="F681" s="15">
        <v>169752</v>
      </c>
      <c r="G681" s="15">
        <v>169752</v>
      </c>
    </row>
    <row r="682" spans="1:7" x14ac:dyDescent="0.25">
      <c r="A682" s="13">
        <v>46199</v>
      </c>
      <c r="B682" s="14" t="s">
        <v>1053</v>
      </c>
      <c r="C682" s="14" t="s">
        <v>59</v>
      </c>
      <c r="D682" s="14" t="s">
        <v>39</v>
      </c>
      <c r="E682" s="14" t="s">
        <v>10</v>
      </c>
      <c r="F682" s="15">
        <v>58870</v>
      </c>
      <c r="G682" s="15">
        <v>58870</v>
      </c>
    </row>
    <row r="683" spans="1:7" x14ac:dyDescent="0.25">
      <c r="A683" s="13">
        <v>46199</v>
      </c>
      <c r="B683" s="14" t="s">
        <v>1054</v>
      </c>
      <c r="C683" s="14" t="s">
        <v>71</v>
      </c>
      <c r="D683" s="14"/>
      <c r="E683" s="14" t="s">
        <v>10</v>
      </c>
      <c r="F683" s="15">
        <v>37850</v>
      </c>
      <c r="G683" s="15">
        <v>-37850</v>
      </c>
    </row>
    <row r="684" spans="1:7" x14ac:dyDescent="0.25">
      <c r="A684" s="13">
        <v>46199</v>
      </c>
      <c r="B684" s="14" t="s">
        <v>1055</v>
      </c>
      <c r="C684" s="14" t="s">
        <v>76</v>
      </c>
      <c r="D684" s="14" t="s">
        <v>66</v>
      </c>
      <c r="E684" s="14" t="s">
        <v>10</v>
      </c>
      <c r="F684" s="15">
        <v>77115</v>
      </c>
      <c r="G684" s="15">
        <v>77115</v>
      </c>
    </row>
    <row r="685" spans="1:7" x14ac:dyDescent="0.25">
      <c r="A685" s="13">
        <v>46199</v>
      </c>
      <c r="B685" s="14" t="s">
        <v>1056</v>
      </c>
      <c r="C685" s="14" t="s">
        <v>76</v>
      </c>
      <c r="D685" s="14" t="s">
        <v>66</v>
      </c>
      <c r="E685" s="14" t="s">
        <v>10</v>
      </c>
      <c r="F685" s="15">
        <v>76514</v>
      </c>
      <c r="G685" s="15">
        <v>76514</v>
      </c>
    </row>
    <row r="686" spans="1:7" x14ac:dyDescent="0.25">
      <c r="A686" s="13">
        <v>46201</v>
      </c>
      <c r="B686" s="14" t="s">
        <v>1057</v>
      </c>
      <c r="C686" s="14" t="s">
        <v>76</v>
      </c>
      <c r="D686" s="14" t="s">
        <v>66</v>
      </c>
      <c r="E686" s="14" t="s">
        <v>10</v>
      </c>
      <c r="F686" s="15">
        <v>76749</v>
      </c>
      <c r="G686" s="15">
        <v>76749</v>
      </c>
    </row>
    <row r="687" spans="1:7" x14ac:dyDescent="0.25">
      <c r="A687" s="13">
        <v>46201</v>
      </c>
      <c r="B687" s="14" t="s">
        <v>1058</v>
      </c>
      <c r="C687" s="14" t="s">
        <v>76</v>
      </c>
      <c r="D687" s="14" t="s">
        <v>66</v>
      </c>
      <c r="E687" s="14" t="s">
        <v>10</v>
      </c>
      <c r="F687" s="15">
        <v>77637</v>
      </c>
      <c r="G687" s="15">
        <v>77637</v>
      </c>
    </row>
    <row r="688" spans="1:7" x14ac:dyDescent="0.25">
      <c r="A688" s="13">
        <v>46201</v>
      </c>
      <c r="B688" s="14" t="s">
        <v>1059</v>
      </c>
      <c r="C688" s="14" t="s">
        <v>194</v>
      </c>
      <c r="D688" s="14" t="s">
        <v>66</v>
      </c>
      <c r="E688" s="14" t="s">
        <v>10</v>
      </c>
      <c r="F688" s="15">
        <v>169752</v>
      </c>
      <c r="G688" s="15">
        <v>169752</v>
      </c>
    </row>
    <row r="689" spans="1:7" x14ac:dyDescent="0.25">
      <c r="A689" s="13">
        <v>46201</v>
      </c>
      <c r="B689" s="14" t="s">
        <v>1060</v>
      </c>
      <c r="C689" s="14" t="s">
        <v>194</v>
      </c>
      <c r="D689" s="14" t="s">
        <v>66</v>
      </c>
      <c r="E689" s="14" t="s">
        <v>10</v>
      </c>
      <c r="F689" s="15">
        <v>143372</v>
      </c>
      <c r="G689" s="15">
        <v>143372</v>
      </c>
    </row>
    <row r="690" spans="1:7" x14ac:dyDescent="0.25">
      <c r="A690" s="13">
        <v>46202</v>
      </c>
      <c r="B690" s="14" t="s">
        <v>1061</v>
      </c>
      <c r="C690" s="14" t="s">
        <v>27</v>
      </c>
      <c r="D690" s="14" t="s">
        <v>42</v>
      </c>
      <c r="E690" s="14" t="s">
        <v>10</v>
      </c>
      <c r="F690" s="15">
        <v>41605</v>
      </c>
      <c r="G690" s="15">
        <v>41605</v>
      </c>
    </row>
    <row r="691" spans="1:7" x14ac:dyDescent="0.25">
      <c r="A691" s="13">
        <v>46202</v>
      </c>
      <c r="B691" s="14" t="s">
        <v>1062</v>
      </c>
      <c r="C691" s="14" t="s">
        <v>59</v>
      </c>
      <c r="D691" s="14" t="s">
        <v>39</v>
      </c>
      <c r="E691" s="14" t="s">
        <v>10</v>
      </c>
      <c r="F691" s="15">
        <v>58870</v>
      </c>
      <c r="G691" s="15">
        <v>58870</v>
      </c>
    </row>
    <row r="692" spans="1:7" x14ac:dyDescent="0.25">
      <c r="A692" s="13">
        <v>46202</v>
      </c>
      <c r="B692" s="14" t="s">
        <v>1063</v>
      </c>
      <c r="C692" s="14" t="s">
        <v>75</v>
      </c>
      <c r="D692" s="14" t="s">
        <v>49</v>
      </c>
      <c r="E692" s="14" t="s">
        <v>10</v>
      </c>
      <c r="F692" s="15">
        <v>146160</v>
      </c>
      <c r="G692" s="15">
        <v>146160</v>
      </c>
    </row>
    <row r="693" spans="1:7" x14ac:dyDescent="0.25">
      <c r="A693" s="13">
        <v>46202</v>
      </c>
      <c r="B693" s="14" t="s">
        <v>1064</v>
      </c>
      <c r="C693" s="14" t="s">
        <v>91</v>
      </c>
      <c r="D693" s="14" t="s">
        <v>79</v>
      </c>
      <c r="E693" s="14" t="s">
        <v>10</v>
      </c>
      <c r="F693" s="15">
        <v>500000</v>
      </c>
      <c r="G693" s="15">
        <v>-500000</v>
      </c>
    </row>
    <row r="694" spans="1:7" x14ac:dyDescent="0.25">
      <c r="A694" s="13">
        <v>46202</v>
      </c>
      <c r="B694" s="14" t="s">
        <v>1065</v>
      </c>
      <c r="C694" s="14" t="s">
        <v>91</v>
      </c>
      <c r="D694" s="14" t="s">
        <v>79</v>
      </c>
      <c r="E694" s="14" t="s">
        <v>10</v>
      </c>
      <c r="F694" s="15">
        <v>500000</v>
      </c>
      <c r="G694" s="15">
        <v>-500000</v>
      </c>
    </row>
    <row r="695" spans="1:7" x14ac:dyDescent="0.25">
      <c r="A695" s="13">
        <v>46202</v>
      </c>
      <c r="B695" s="14" t="s">
        <v>1066</v>
      </c>
      <c r="C695" s="14" t="s">
        <v>272</v>
      </c>
      <c r="D695" s="14" t="s">
        <v>79</v>
      </c>
      <c r="E695" s="14" t="s">
        <v>10</v>
      </c>
      <c r="F695" s="15">
        <v>1500000</v>
      </c>
      <c r="G695" s="15">
        <v>-1500000</v>
      </c>
    </row>
    <row r="696" spans="1:7" x14ac:dyDescent="0.25">
      <c r="A696" s="13">
        <v>46202</v>
      </c>
      <c r="B696" s="14" t="s">
        <v>1067</v>
      </c>
      <c r="C696" s="14" t="s">
        <v>272</v>
      </c>
      <c r="D696" s="14"/>
      <c r="E696" s="14" t="s">
        <v>10</v>
      </c>
      <c r="F696" s="15">
        <v>887615</v>
      </c>
      <c r="G696" s="15">
        <v>-887615</v>
      </c>
    </row>
    <row r="697" spans="1:7" x14ac:dyDescent="0.25">
      <c r="A697" s="13">
        <v>46202</v>
      </c>
      <c r="B697" s="14" t="s">
        <v>1068</v>
      </c>
      <c r="C697" s="14" t="s">
        <v>329</v>
      </c>
      <c r="D697" s="14" t="s">
        <v>239</v>
      </c>
      <c r="E697" s="14" t="s">
        <v>10</v>
      </c>
      <c r="F697" s="15">
        <v>246987.5</v>
      </c>
      <c r="G697" s="15">
        <v>246987.5</v>
      </c>
    </row>
    <row r="698" spans="1:7" x14ac:dyDescent="0.25">
      <c r="A698" s="13">
        <v>46202</v>
      </c>
      <c r="B698" s="14" t="s">
        <v>1069</v>
      </c>
      <c r="C698" s="14" t="s">
        <v>194</v>
      </c>
      <c r="D698" s="14" t="s">
        <v>66</v>
      </c>
      <c r="E698" s="14" t="s">
        <v>10</v>
      </c>
      <c r="F698" s="15">
        <v>28674</v>
      </c>
      <c r="G698" s="15">
        <v>28674</v>
      </c>
    </row>
    <row r="699" spans="1:7" x14ac:dyDescent="0.25">
      <c r="A699" s="13">
        <v>46202</v>
      </c>
      <c r="B699" s="14" t="s">
        <v>1070</v>
      </c>
      <c r="C699" s="14" t="s">
        <v>194</v>
      </c>
      <c r="D699" s="14" t="s">
        <v>66</v>
      </c>
      <c r="E699" s="14" t="s">
        <v>10</v>
      </c>
      <c r="F699" s="15">
        <v>169752</v>
      </c>
      <c r="G699" s="15">
        <v>169752</v>
      </c>
    </row>
    <row r="700" spans="1:7" x14ac:dyDescent="0.25">
      <c r="A700" s="13">
        <v>46202</v>
      </c>
      <c r="B700" s="14" t="s">
        <v>1071</v>
      </c>
      <c r="C700" s="14" t="s">
        <v>194</v>
      </c>
      <c r="D700" s="14" t="s">
        <v>66</v>
      </c>
      <c r="E700" s="14" t="s">
        <v>10</v>
      </c>
      <c r="F700" s="15">
        <v>57349</v>
      </c>
      <c r="G700" s="15">
        <v>57349</v>
      </c>
    </row>
    <row r="701" spans="1:7" x14ac:dyDescent="0.25">
      <c r="A701" s="13">
        <v>46203</v>
      </c>
      <c r="B701" s="14" t="s">
        <v>1072</v>
      </c>
      <c r="C701" s="14" t="s">
        <v>27</v>
      </c>
      <c r="D701" s="14" t="s">
        <v>451</v>
      </c>
      <c r="E701" s="14" t="s">
        <v>10</v>
      </c>
      <c r="F701" s="15">
        <v>158113.93</v>
      </c>
      <c r="G701" s="15">
        <v>158113.93</v>
      </c>
    </row>
    <row r="702" spans="1:7" x14ac:dyDescent="0.25">
      <c r="A702" s="13">
        <v>46203</v>
      </c>
      <c r="B702" s="14" t="s">
        <v>1073</v>
      </c>
      <c r="C702" s="14" t="s">
        <v>32</v>
      </c>
      <c r="D702" s="14" t="s">
        <v>33</v>
      </c>
      <c r="E702" s="14" t="s">
        <v>10</v>
      </c>
      <c r="F702" s="15">
        <v>42226.18</v>
      </c>
      <c r="G702" s="15">
        <v>42226.18</v>
      </c>
    </row>
    <row r="703" spans="1:7" x14ac:dyDescent="0.25">
      <c r="A703" s="13">
        <v>46203</v>
      </c>
      <c r="B703" s="14" t="s">
        <v>1074</v>
      </c>
      <c r="C703" s="14" t="s">
        <v>32</v>
      </c>
      <c r="D703" s="14" t="s">
        <v>33</v>
      </c>
      <c r="E703" s="14" t="s">
        <v>10</v>
      </c>
      <c r="F703" s="15">
        <v>59265.95</v>
      </c>
      <c r="G703" s="15">
        <v>59265.95</v>
      </c>
    </row>
    <row r="704" spans="1:7" x14ac:dyDescent="0.25">
      <c r="A704" s="13">
        <v>46203</v>
      </c>
      <c r="B704" s="14" t="s">
        <v>1075</v>
      </c>
      <c r="C704" s="14" t="s">
        <v>32</v>
      </c>
      <c r="D704" s="14" t="s">
        <v>33</v>
      </c>
      <c r="E704" s="14" t="s">
        <v>10</v>
      </c>
      <c r="F704" s="15">
        <v>58683.1</v>
      </c>
      <c r="G704" s="15">
        <v>58683.1</v>
      </c>
    </row>
    <row r="705" spans="1:7" x14ac:dyDescent="0.25">
      <c r="A705" s="13">
        <v>46203</v>
      </c>
      <c r="B705" s="14" t="s">
        <v>1076</v>
      </c>
      <c r="C705" s="14" t="s">
        <v>32</v>
      </c>
      <c r="D705" s="14" t="s">
        <v>33</v>
      </c>
      <c r="E705" s="14" t="s">
        <v>10</v>
      </c>
      <c r="F705" s="15">
        <v>53964.21</v>
      </c>
      <c r="G705" s="15">
        <v>53964.21</v>
      </c>
    </row>
    <row r="706" spans="1:7" x14ac:dyDescent="0.25">
      <c r="A706" s="13">
        <v>46203</v>
      </c>
      <c r="B706" s="14" t="s">
        <v>1077</v>
      </c>
      <c r="C706" s="14" t="s">
        <v>32</v>
      </c>
      <c r="D706" s="14" t="s">
        <v>33</v>
      </c>
      <c r="E706" s="14" t="s">
        <v>10</v>
      </c>
      <c r="F706" s="15">
        <v>39890.879999999997</v>
      </c>
      <c r="G706" s="15">
        <v>39890.879999999997</v>
      </c>
    </row>
    <row r="707" spans="1:7" x14ac:dyDescent="0.25">
      <c r="A707" s="13">
        <v>46203</v>
      </c>
      <c r="B707" s="14" t="s">
        <v>1078</v>
      </c>
      <c r="C707" s="14" t="s">
        <v>32</v>
      </c>
      <c r="D707" s="14" t="s">
        <v>33</v>
      </c>
      <c r="E707" s="14" t="s">
        <v>10</v>
      </c>
      <c r="F707" s="15">
        <v>73154.75</v>
      </c>
      <c r="G707" s="15">
        <v>73154.75</v>
      </c>
    </row>
    <row r="708" spans="1:7" x14ac:dyDescent="0.25">
      <c r="A708" s="13">
        <v>46203</v>
      </c>
      <c r="B708" s="14" t="s">
        <v>1079</v>
      </c>
      <c r="C708" s="14" t="s">
        <v>32</v>
      </c>
      <c r="D708" s="14" t="s">
        <v>33</v>
      </c>
      <c r="E708" s="14" t="s">
        <v>10</v>
      </c>
      <c r="F708" s="15">
        <v>57711.01</v>
      </c>
      <c r="G708" s="15">
        <v>57711.01</v>
      </c>
    </row>
    <row r="709" spans="1:7" x14ac:dyDescent="0.25">
      <c r="A709" s="13">
        <v>46203</v>
      </c>
      <c r="B709" s="14" t="s">
        <v>1080</v>
      </c>
      <c r="C709" s="14" t="s">
        <v>32</v>
      </c>
      <c r="D709" s="14" t="s">
        <v>33</v>
      </c>
      <c r="E709" s="14" t="s">
        <v>10</v>
      </c>
      <c r="F709" s="15">
        <v>56278.92</v>
      </c>
      <c r="G709" s="15">
        <v>56278.92</v>
      </c>
    </row>
    <row r="710" spans="1:7" x14ac:dyDescent="0.25">
      <c r="A710" s="13">
        <v>46203</v>
      </c>
      <c r="B710" s="14" t="s">
        <v>1081</v>
      </c>
      <c r="C710" s="14" t="s">
        <v>32</v>
      </c>
      <c r="D710" s="14" t="s">
        <v>33</v>
      </c>
      <c r="E710" s="14" t="s">
        <v>10</v>
      </c>
      <c r="F710" s="15">
        <v>57781.79</v>
      </c>
      <c r="G710" s="15">
        <v>57781.79</v>
      </c>
    </row>
    <row r="711" spans="1:7" x14ac:dyDescent="0.25">
      <c r="A711" s="13">
        <v>46203</v>
      </c>
      <c r="B711" s="14" t="s">
        <v>1082</v>
      </c>
      <c r="C711" s="14" t="s">
        <v>32</v>
      </c>
      <c r="D711" s="14" t="s">
        <v>33</v>
      </c>
      <c r="E711" s="14" t="s">
        <v>10</v>
      </c>
      <c r="F711" s="15">
        <v>58948.49</v>
      </c>
      <c r="G711" s="15">
        <v>58948.49</v>
      </c>
    </row>
    <row r="712" spans="1:7" x14ac:dyDescent="0.25">
      <c r="A712" s="13">
        <v>46203</v>
      </c>
      <c r="B712" s="14" t="s">
        <v>1083</v>
      </c>
      <c r="C712" s="14" t="s">
        <v>32</v>
      </c>
      <c r="D712" s="14" t="s">
        <v>33</v>
      </c>
      <c r="E712" s="14" t="s">
        <v>10</v>
      </c>
      <c r="F712" s="15">
        <v>59107.72</v>
      </c>
      <c r="G712" s="15">
        <v>59107.72</v>
      </c>
    </row>
    <row r="713" spans="1:7" x14ac:dyDescent="0.25">
      <c r="A713" s="13">
        <v>46203</v>
      </c>
      <c r="B713" s="14" t="s">
        <v>1084</v>
      </c>
      <c r="C713" s="14" t="s">
        <v>32</v>
      </c>
      <c r="D713" s="14" t="s">
        <v>33</v>
      </c>
      <c r="E713" s="14" t="s">
        <v>10</v>
      </c>
      <c r="F713" s="15">
        <v>56738.92</v>
      </c>
      <c r="G713" s="15">
        <v>56738.92</v>
      </c>
    </row>
    <row r="714" spans="1:7" x14ac:dyDescent="0.25">
      <c r="A714" s="13">
        <v>46203</v>
      </c>
      <c r="B714" s="14" t="s">
        <v>1085</v>
      </c>
      <c r="C714" s="14" t="s">
        <v>32</v>
      </c>
      <c r="D714" s="14" t="s">
        <v>33</v>
      </c>
      <c r="E714" s="14" t="s">
        <v>10</v>
      </c>
      <c r="F714" s="15">
        <v>86102</v>
      </c>
      <c r="G714" s="15">
        <v>86102</v>
      </c>
    </row>
    <row r="715" spans="1:7" x14ac:dyDescent="0.25">
      <c r="A715" s="13">
        <v>46203</v>
      </c>
      <c r="B715" s="14" t="s">
        <v>1086</v>
      </c>
      <c r="C715" s="14" t="s">
        <v>32</v>
      </c>
      <c r="D715" s="14" t="s">
        <v>33</v>
      </c>
      <c r="E715" s="14" t="s">
        <v>10</v>
      </c>
      <c r="F715" s="15">
        <v>60857.27</v>
      </c>
      <c r="G715" s="15">
        <v>60857.27</v>
      </c>
    </row>
    <row r="716" spans="1:7" x14ac:dyDescent="0.25">
      <c r="A716" s="13">
        <v>46203</v>
      </c>
      <c r="B716" s="14" t="s">
        <v>1087</v>
      </c>
      <c r="C716" s="14" t="s">
        <v>32</v>
      </c>
      <c r="D716" s="14" t="s">
        <v>33</v>
      </c>
      <c r="E716" s="14" t="s">
        <v>10</v>
      </c>
      <c r="F716" s="15">
        <v>41753.160000000003</v>
      </c>
      <c r="G716" s="15">
        <v>41753.160000000003</v>
      </c>
    </row>
    <row r="717" spans="1:7" x14ac:dyDescent="0.25">
      <c r="A717" s="13">
        <v>46203</v>
      </c>
      <c r="B717" s="14" t="s">
        <v>1088</v>
      </c>
      <c r="C717" s="14" t="s">
        <v>32</v>
      </c>
      <c r="D717" s="14"/>
      <c r="E717" s="14" t="s">
        <v>10</v>
      </c>
      <c r="F717" s="15">
        <v>98789.51</v>
      </c>
      <c r="G717" s="15">
        <v>98789.51</v>
      </c>
    </row>
    <row r="718" spans="1:7" x14ac:dyDescent="0.25">
      <c r="A718" s="13">
        <v>46203</v>
      </c>
      <c r="B718" s="14" t="s">
        <v>1089</v>
      </c>
      <c r="C718" s="14" t="s">
        <v>32</v>
      </c>
      <c r="D718" s="14" t="s">
        <v>33</v>
      </c>
      <c r="E718" s="14" t="s">
        <v>10</v>
      </c>
      <c r="F718" s="15">
        <v>72650.02</v>
      </c>
      <c r="G718" s="15">
        <v>72650.02</v>
      </c>
    </row>
    <row r="719" spans="1:7" x14ac:dyDescent="0.25">
      <c r="A719" s="13">
        <v>46203</v>
      </c>
      <c r="B719" s="14" t="s">
        <v>1090</v>
      </c>
      <c r="C719" s="14" t="s">
        <v>32</v>
      </c>
      <c r="D719" s="14" t="s">
        <v>33</v>
      </c>
      <c r="E719" s="14" t="s">
        <v>10</v>
      </c>
      <c r="F719" s="15">
        <v>78180.460000000006</v>
      </c>
      <c r="G719" s="15">
        <v>78180.460000000006</v>
      </c>
    </row>
    <row r="720" spans="1:7" x14ac:dyDescent="0.25">
      <c r="A720" s="13">
        <v>46203</v>
      </c>
      <c r="B720" s="14" t="s">
        <v>1091</v>
      </c>
      <c r="C720" s="14" t="s">
        <v>32</v>
      </c>
      <c r="D720" s="14" t="s">
        <v>33</v>
      </c>
      <c r="E720" s="14" t="s">
        <v>10</v>
      </c>
      <c r="F720" s="15">
        <v>56650.47</v>
      </c>
      <c r="G720" s="15">
        <v>56650.47</v>
      </c>
    </row>
    <row r="721" spans="1:7" x14ac:dyDescent="0.25">
      <c r="A721" s="13">
        <v>46203</v>
      </c>
      <c r="B721" s="14" t="s">
        <v>1092</v>
      </c>
      <c r="C721" s="14" t="s">
        <v>32</v>
      </c>
      <c r="D721" s="14" t="s">
        <v>33</v>
      </c>
      <c r="E721" s="14" t="s">
        <v>10</v>
      </c>
      <c r="F721" s="15">
        <v>58223.1</v>
      </c>
      <c r="G721" s="15">
        <v>58223.1</v>
      </c>
    </row>
    <row r="722" spans="1:7" x14ac:dyDescent="0.25">
      <c r="A722" s="13">
        <v>46203</v>
      </c>
      <c r="B722" s="14" t="s">
        <v>1093</v>
      </c>
      <c r="C722" s="14" t="s">
        <v>32</v>
      </c>
      <c r="D722" s="14" t="s">
        <v>33</v>
      </c>
      <c r="E722" s="14" t="s">
        <v>10</v>
      </c>
      <c r="F722" s="15">
        <v>56809.7</v>
      </c>
      <c r="G722" s="15">
        <v>56809.7</v>
      </c>
    </row>
    <row r="723" spans="1:7" x14ac:dyDescent="0.25">
      <c r="A723" s="13">
        <v>46203</v>
      </c>
      <c r="B723" s="14" t="s">
        <v>1094</v>
      </c>
      <c r="C723" s="14" t="s">
        <v>32</v>
      </c>
      <c r="D723" s="14" t="s">
        <v>451</v>
      </c>
      <c r="E723" s="14" t="s">
        <v>10</v>
      </c>
      <c r="F723" s="15">
        <v>57251.01</v>
      </c>
      <c r="G723" s="15">
        <v>57251.01</v>
      </c>
    </row>
    <row r="724" spans="1:7" x14ac:dyDescent="0.25">
      <c r="A724" s="13">
        <v>46203</v>
      </c>
      <c r="B724" s="14" t="s">
        <v>1095</v>
      </c>
      <c r="C724" s="14" t="s">
        <v>32</v>
      </c>
      <c r="D724" s="14" t="s">
        <v>33</v>
      </c>
      <c r="E724" s="14" t="s">
        <v>10</v>
      </c>
      <c r="F724" s="15">
        <v>60468.05</v>
      </c>
      <c r="G724" s="15">
        <v>60468.05</v>
      </c>
    </row>
    <row r="725" spans="1:7" x14ac:dyDescent="0.25">
      <c r="A725" s="13">
        <v>46203</v>
      </c>
      <c r="B725" s="14" t="s">
        <v>1096</v>
      </c>
      <c r="C725" s="14" t="s">
        <v>32</v>
      </c>
      <c r="D725" s="14" t="s">
        <v>33</v>
      </c>
      <c r="E725" s="14" t="s">
        <v>10</v>
      </c>
      <c r="F725" s="15">
        <v>58541.56</v>
      </c>
      <c r="G725" s="15">
        <v>58541.56</v>
      </c>
    </row>
    <row r="726" spans="1:7" x14ac:dyDescent="0.25">
      <c r="A726" s="13">
        <v>46203</v>
      </c>
      <c r="B726" s="14" t="s">
        <v>1097</v>
      </c>
      <c r="C726" s="14" t="s">
        <v>32</v>
      </c>
      <c r="D726" s="14" t="s">
        <v>33</v>
      </c>
      <c r="E726" s="14" t="s">
        <v>10</v>
      </c>
      <c r="F726" s="15">
        <v>59249.26</v>
      </c>
      <c r="G726" s="15">
        <v>59249.26</v>
      </c>
    </row>
    <row r="727" spans="1:7" x14ac:dyDescent="0.25">
      <c r="A727" s="13">
        <v>46203</v>
      </c>
      <c r="B727" s="14" t="s">
        <v>1098</v>
      </c>
      <c r="C727" s="14" t="s">
        <v>32</v>
      </c>
      <c r="D727" s="14" t="s">
        <v>33</v>
      </c>
      <c r="E727" s="14" t="s">
        <v>10</v>
      </c>
      <c r="F727" s="15">
        <v>54405.52</v>
      </c>
      <c r="G727" s="15">
        <v>54405.52</v>
      </c>
    </row>
    <row r="728" spans="1:7" x14ac:dyDescent="0.25">
      <c r="A728" s="13">
        <v>46203</v>
      </c>
      <c r="B728" s="14" t="s">
        <v>1099</v>
      </c>
      <c r="C728" s="14" t="s">
        <v>32</v>
      </c>
      <c r="D728" s="14" t="s">
        <v>33</v>
      </c>
      <c r="E728" s="14" t="s">
        <v>10</v>
      </c>
      <c r="F728" s="15">
        <v>56420.46</v>
      </c>
      <c r="G728" s="15">
        <v>56420.46</v>
      </c>
    </row>
    <row r="729" spans="1:7" x14ac:dyDescent="0.25">
      <c r="A729" s="13">
        <v>46203</v>
      </c>
      <c r="B729" s="14" t="s">
        <v>1100</v>
      </c>
      <c r="C729" s="14" t="s">
        <v>32</v>
      </c>
      <c r="D729" s="14" t="s">
        <v>33</v>
      </c>
      <c r="E729" s="14" t="s">
        <v>10</v>
      </c>
      <c r="F729" s="15">
        <v>77116.759999999995</v>
      </c>
      <c r="G729" s="15">
        <v>77116.759999999995</v>
      </c>
    </row>
    <row r="730" spans="1:7" x14ac:dyDescent="0.25">
      <c r="A730" s="13">
        <v>46203</v>
      </c>
      <c r="B730" s="14" t="s">
        <v>1101</v>
      </c>
      <c r="C730" s="14" t="s">
        <v>32</v>
      </c>
      <c r="D730" s="14" t="s">
        <v>33</v>
      </c>
      <c r="E730" s="14" t="s">
        <v>10</v>
      </c>
      <c r="F730" s="15">
        <v>42753.86</v>
      </c>
      <c r="G730" s="15">
        <v>42753.86</v>
      </c>
    </row>
    <row r="731" spans="1:7" x14ac:dyDescent="0.25">
      <c r="A731" s="13">
        <v>46203</v>
      </c>
      <c r="B731" s="14" t="s">
        <v>1102</v>
      </c>
      <c r="C731" s="14" t="s">
        <v>32</v>
      </c>
      <c r="D731" s="14" t="s">
        <v>33</v>
      </c>
      <c r="E731" s="14" t="s">
        <v>10</v>
      </c>
      <c r="F731" s="15">
        <v>74032.12</v>
      </c>
      <c r="G731" s="15">
        <v>74032.12</v>
      </c>
    </row>
    <row r="732" spans="1:7" x14ac:dyDescent="0.25">
      <c r="A732" s="13">
        <v>46203</v>
      </c>
      <c r="B732" s="14" t="s">
        <v>1103</v>
      </c>
      <c r="C732" s="14" t="s">
        <v>32</v>
      </c>
      <c r="D732" s="14" t="s">
        <v>33</v>
      </c>
      <c r="E732" s="14" t="s">
        <v>10</v>
      </c>
      <c r="F732" s="15">
        <v>58541.56</v>
      </c>
      <c r="G732" s="15">
        <v>58541.56</v>
      </c>
    </row>
    <row r="733" spans="1:7" x14ac:dyDescent="0.25">
      <c r="A733" s="13">
        <v>46203</v>
      </c>
      <c r="B733" s="14" t="s">
        <v>1104</v>
      </c>
      <c r="C733" s="14" t="s">
        <v>32</v>
      </c>
      <c r="D733" s="14" t="s">
        <v>33</v>
      </c>
      <c r="E733" s="14" t="s">
        <v>10</v>
      </c>
      <c r="F733" s="15">
        <v>56880.46</v>
      </c>
      <c r="G733" s="15">
        <v>56880.46</v>
      </c>
    </row>
    <row r="734" spans="1:7" x14ac:dyDescent="0.25">
      <c r="A734" s="13">
        <v>46203</v>
      </c>
      <c r="B734" s="14" t="s">
        <v>1105</v>
      </c>
      <c r="C734" s="14" t="s">
        <v>32</v>
      </c>
      <c r="D734" s="14" t="s">
        <v>33</v>
      </c>
      <c r="E734" s="14" t="s">
        <v>10</v>
      </c>
      <c r="F734" s="15">
        <v>51276.95</v>
      </c>
      <c r="G734" s="15">
        <v>51276.95</v>
      </c>
    </row>
    <row r="735" spans="1:7" x14ac:dyDescent="0.25">
      <c r="A735" s="13">
        <v>46203</v>
      </c>
      <c r="B735" s="14" t="s">
        <v>1106</v>
      </c>
      <c r="C735" s="14" t="s">
        <v>32</v>
      </c>
      <c r="D735" s="14" t="s">
        <v>33</v>
      </c>
      <c r="E735" s="14" t="s">
        <v>10</v>
      </c>
      <c r="F735" s="15">
        <v>58117.94</v>
      </c>
      <c r="G735" s="15">
        <v>58117.94</v>
      </c>
    </row>
    <row r="736" spans="1:7" x14ac:dyDescent="0.25">
      <c r="A736" s="13">
        <v>46203</v>
      </c>
      <c r="B736" s="14" t="s">
        <v>1107</v>
      </c>
      <c r="C736" s="14" t="s">
        <v>32</v>
      </c>
      <c r="D736" s="14" t="s">
        <v>33</v>
      </c>
      <c r="E736" s="14" t="s">
        <v>10</v>
      </c>
      <c r="F736" s="15">
        <v>58240.79</v>
      </c>
      <c r="G736" s="15">
        <v>58240.79</v>
      </c>
    </row>
    <row r="737" spans="1:7" x14ac:dyDescent="0.25">
      <c r="A737" s="13">
        <v>46203</v>
      </c>
      <c r="B737" s="14" t="s">
        <v>1108</v>
      </c>
      <c r="C737" s="14" t="s">
        <v>32</v>
      </c>
      <c r="D737" s="14" t="s">
        <v>33</v>
      </c>
      <c r="E737" s="14" t="s">
        <v>10</v>
      </c>
      <c r="F737" s="15">
        <v>59425.18</v>
      </c>
      <c r="G737" s="15">
        <v>59425.18</v>
      </c>
    </row>
    <row r="738" spans="1:7" x14ac:dyDescent="0.25">
      <c r="A738" s="13">
        <v>46203</v>
      </c>
      <c r="B738" s="14" t="s">
        <v>1109</v>
      </c>
      <c r="C738" s="14" t="s">
        <v>32</v>
      </c>
      <c r="D738" s="14" t="s">
        <v>33</v>
      </c>
      <c r="E738" s="14" t="s">
        <v>10</v>
      </c>
      <c r="F738" s="15">
        <v>57463.31</v>
      </c>
      <c r="G738" s="15">
        <v>57463.31</v>
      </c>
    </row>
    <row r="739" spans="1:7" x14ac:dyDescent="0.25">
      <c r="A739" s="13">
        <v>46203</v>
      </c>
      <c r="B739" s="14" t="s">
        <v>1110</v>
      </c>
      <c r="C739" s="14" t="s">
        <v>32</v>
      </c>
      <c r="D739" s="14" t="s">
        <v>33</v>
      </c>
      <c r="E739" s="14" t="s">
        <v>10</v>
      </c>
      <c r="F739" s="15">
        <v>58523.87</v>
      </c>
      <c r="G739" s="15">
        <v>58523.87</v>
      </c>
    </row>
    <row r="740" spans="1:7" x14ac:dyDescent="0.25">
      <c r="A740" s="13">
        <v>46203</v>
      </c>
      <c r="B740" s="14" t="s">
        <v>1111</v>
      </c>
      <c r="C740" s="14" t="s">
        <v>32</v>
      </c>
      <c r="D740" s="14" t="s">
        <v>33</v>
      </c>
      <c r="E740" s="14" t="s">
        <v>10</v>
      </c>
      <c r="F740" s="15">
        <v>55926.080000000002</v>
      </c>
      <c r="G740" s="15">
        <v>55926.080000000002</v>
      </c>
    </row>
    <row r="741" spans="1:7" x14ac:dyDescent="0.25">
      <c r="A741" s="13">
        <v>46203</v>
      </c>
      <c r="B741" s="14" t="s">
        <v>1112</v>
      </c>
      <c r="C741" s="14" t="s">
        <v>32</v>
      </c>
      <c r="D741" s="14" t="s">
        <v>33</v>
      </c>
      <c r="E741" s="14" t="s">
        <v>10</v>
      </c>
      <c r="F741" s="15">
        <v>56738.92</v>
      </c>
      <c r="G741" s="15">
        <v>56738.92</v>
      </c>
    </row>
    <row r="742" spans="1:7" x14ac:dyDescent="0.25">
      <c r="A742" s="13">
        <v>46203</v>
      </c>
      <c r="B742" s="14" t="s">
        <v>1113</v>
      </c>
      <c r="C742" s="14" t="s">
        <v>32</v>
      </c>
      <c r="D742" s="14" t="s">
        <v>33</v>
      </c>
      <c r="E742" s="14" t="s">
        <v>10</v>
      </c>
      <c r="F742" s="15">
        <v>58435.4</v>
      </c>
      <c r="G742" s="15">
        <v>58435.4</v>
      </c>
    </row>
    <row r="743" spans="1:7" x14ac:dyDescent="0.25">
      <c r="A743" s="13">
        <v>46203</v>
      </c>
      <c r="B743" s="14" t="s">
        <v>1114</v>
      </c>
      <c r="C743" s="14" t="s">
        <v>32</v>
      </c>
      <c r="D743" s="14" t="s">
        <v>33</v>
      </c>
      <c r="E743" s="14" t="s">
        <v>10</v>
      </c>
      <c r="F743" s="15">
        <v>58647.72</v>
      </c>
      <c r="G743" s="15">
        <v>58647.72</v>
      </c>
    </row>
    <row r="744" spans="1:7" x14ac:dyDescent="0.25">
      <c r="A744" s="13">
        <v>46203</v>
      </c>
      <c r="B744" s="14" t="s">
        <v>1115</v>
      </c>
      <c r="C744" s="14" t="s">
        <v>32</v>
      </c>
      <c r="D744" s="14" t="s">
        <v>33</v>
      </c>
      <c r="E744" s="14" t="s">
        <v>10</v>
      </c>
      <c r="F744" s="15">
        <v>59178.5</v>
      </c>
      <c r="G744" s="15">
        <v>59178.5</v>
      </c>
    </row>
    <row r="745" spans="1:7" x14ac:dyDescent="0.25">
      <c r="A745" s="13">
        <v>46203</v>
      </c>
      <c r="B745" s="14" t="s">
        <v>1116</v>
      </c>
      <c r="C745" s="14" t="s">
        <v>32</v>
      </c>
      <c r="D745" s="14" t="s">
        <v>33</v>
      </c>
      <c r="E745" s="14" t="s">
        <v>10</v>
      </c>
      <c r="F745" s="15">
        <v>49173.54</v>
      </c>
      <c r="G745" s="15">
        <v>49173.54</v>
      </c>
    </row>
    <row r="746" spans="1:7" x14ac:dyDescent="0.25">
      <c r="A746" s="13">
        <v>46203</v>
      </c>
      <c r="B746" s="14" t="s">
        <v>1117</v>
      </c>
      <c r="C746" s="14" t="s">
        <v>36</v>
      </c>
      <c r="D746" s="14" t="s">
        <v>33</v>
      </c>
      <c r="E746" s="14" t="s">
        <v>10</v>
      </c>
      <c r="F746" s="15">
        <v>116170.96</v>
      </c>
      <c r="G746" s="15">
        <v>116170.96</v>
      </c>
    </row>
    <row r="747" spans="1:7" x14ac:dyDescent="0.25">
      <c r="A747" s="13">
        <v>46203</v>
      </c>
      <c r="B747" s="14" t="s">
        <v>1118</v>
      </c>
      <c r="C747" s="14" t="s">
        <v>36</v>
      </c>
      <c r="D747" s="14" t="s">
        <v>33</v>
      </c>
      <c r="E747" s="14" t="s">
        <v>10</v>
      </c>
      <c r="F747" s="15">
        <v>119150.86</v>
      </c>
      <c r="G747" s="15">
        <v>119150.86</v>
      </c>
    </row>
    <row r="748" spans="1:7" x14ac:dyDescent="0.25">
      <c r="A748" s="13">
        <v>46203</v>
      </c>
      <c r="B748" s="14" t="s">
        <v>1119</v>
      </c>
      <c r="C748" s="14" t="s">
        <v>36</v>
      </c>
      <c r="D748" s="14" t="s">
        <v>33</v>
      </c>
      <c r="E748" s="14" t="s">
        <v>10</v>
      </c>
      <c r="F748" s="15">
        <v>122808</v>
      </c>
      <c r="G748" s="15">
        <v>122808</v>
      </c>
    </row>
    <row r="749" spans="1:7" x14ac:dyDescent="0.25">
      <c r="A749" s="13">
        <v>46203</v>
      </c>
      <c r="B749" s="14" t="s">
        <v>1120</v>
      </c>
      <c r="C749" s="14" t="s">
        <v>37</v>
      </c>
      <c r="D749" s="14" t="s">
        <v>33</v>
      </c>
      <c r="E749" s="14" t="s">
        <v>10</v>
      </c>
      <c r="F749" s="15">
        <v>62012.53</v>
      </c>
      <c r="G749" s="15">
        <v>62012.53</v>
      </c>
    </row>
    <row r="750" spans="1:7" x14ac:dyDescent="0.25">
      <c r="A750" s="13">
        <v>46203</v>
      </c>
      <c r="B750" s="14" t="s">
        <v>1121</v>
      </c>
      <c r="C750" s="14" t="s">
        <v>37</v>
      </c>
      <c r="D750" s="14" t="s">
        <v>33</v>
      </c>
      <c r="E750" s="14" t="s">
        <v>10</v>
      </c>
      <c r="F750" s="15">
        <v>164413.18</v>
      </c>
      <c r="G750" s="15">
        <v>164413.18</v>
      </c>
    </row>
    <row r="751" spans="1:7" x14ac:dyDescent="0.25">
      <c r="A751" s="13">
        <v>46203</v>
      </c>
      <c r="B751" s="14" t="s">
        <v>1122</v>
      </c>
      <c r="C751" s="14" t="s">
        <v>53</v>
      </c>
      <c r="D751" s="14" t="s">
        <v>33</v>
      </c>
      <c r="E751" s="14" t="s">
        <v>10</v>
      </c>
      <c r="F751" s="15">
        <v>109488.7</v>
      </c>
      <c r="G751" s="15">
        <v>109488.7</v>
      </c>
    </row>
    <row r="752" spans="1:7" x14ac:dyDescent="0.25">
      <c r="A752" s="13">
        <v>46203</v>
      </c>
      <c r="B752" s="14" t="s">
        <v>1123</v>
      </c>
      <c r="C752" s="14" t="s">
        <v>53</v>
      </c>
      <c r="D752" s="14" t="s">
        <v>42</v>
      </c>
      <c r="E752" s="14" t="s">
        <v>10</v>
      </c>
      <c r="F752" s="15">
        <v>1052051.97</v>
      </c>
      <c r="G752" s="15">
        <v>1052051.97</v>
      </c>
    </row>
    <row r="753" spans="1:7" x14ac:dyDescent="0.25">
      <c r="A753" s="13">
        <v>46203</v>
      </c>
      <c r="B753" s="14" t="s">
        <v>1124</v>
      </c>
      <c r="C753" s="14" t="s">
        <v>53</v>
      </c>
      <c r="D753" s="14" t="s">
        <v>33</v>
      </c>
      <c r="E753" s="14" t="s">
        <v>10</v>
      </c>
      <c r="F753" s="15">
        <v>84540.6</v>
      </c>
      <c r="G753" s="15">
        <v>84540.6</v>
      </c>
    </row>
    <row r="754" spans="1:7" x14ac:dyDescent="0.25">
      <c r="A754" s="13">
        <v>46203</v>
      </c>
      <c r="B754" s="14" t="s">
        <v>1125</v>
      </c>
      <c r="C754" s="14" t="s">
        <v>53</v>
      </c>
      <c r="D754" s="14" t="s">
        <v>33</v>
      </c>
      <c r="E754" s="14" t="s">
        <v>10</v>
      </c>
      <c r="F754" s="15">
        <v>85168.5</v>
      </c>
      <c r="G754" s="15">
        <v>85168.5</v>
      </c>
    </row>
    <row r="755" spans="1:7" x14ac:dyDescent="0.25">
      <c r="A755" s="13">
        <v>46203</v>
      </c>
      <c r="B755" s="14" t="s">
        <v>1126</v>
      </c>
      <c r="C755" s="14" t="s">
        <v>59</v>
      </c>
      <c r="D755" s="14" t="s">
        <v>39</v>
      </c>
      <c r="E755" s="14" t="s">
        <v>10</v>
      </c>
      <c r="F755" s="15">
        <v>58870</v>
      </c>
      <c r="G755" s="15">
        <v>58870</v>
      </c>
    </row>
    <row r="756" spans="1:7" x14ac:dyDescent="0.25">
      <c r="A756" s="13">
        <v>46203</v>
      </c>
      <c r="B756" s="14" t="s">
        <v>1127</v>
      </c>
      <c r="C756" s="14" t="s">
        <v>59</v>
      </c>
      <c r="D756" s="14" t="s">
        <v>39</v>
      </c>
      <c r="E756" s="14" t="s">
        <v>10</v>
      </c>
      <c r="F756" s="15">
        <v>58870</v>
      </c>
      <c r="G756" s="15">
        <v>58870</v>
      </c>
    </row>
    <row r="757" spans="1:7" x14ac:dyDescent="0.25">
      <c r="A757" s="13">
        <v>46203</v>
      </c>
      <c r="B757" s="14" t="s">
        <v>1128</v>
      </c>
      <c r="C757" s="14" t="s">
        <v>59</v>
      </c>
      <c r="D757" s="14" t="s">
        <v>39</v>
      </c>
      <c r="E757" s="14" t="s">
        <v>10</v>
      </c>
      <c r="F757" s="15">
        <v>58870</v>
      </c>
      <c r="G757" s="15">
        <v>58870</v>
      </c>
    </row>
    <row r="758" spans="1:7" x14ac:dyDescent="0.25">
      <c r="A758" s="13">
        <v>46203</v>
      </c>
      <c r="B758" s="14" t="s">
        <v>1129</v>
      </c>
      <c r="C758" s="14" t="s">
        <v>62</v>
      </c>
      <c r="D758" s="14" t="s">
        <v>731</v>
      </c>
      <c r="E758" s="14" t="s">
        <v>10</v>
      </c>
      <c r="F758" s="15">
        <v>105518</v>
      </c>
      <c r="G758" s="15">
        <v>105518</v>
      </c>
    </row>
    <row r="759" spans="1:7" x14ac:dyDescent="0.25">
      <c r="A759" s="13">
        <v>46203</v>
      </c>
      <c r="B759" s="14" t="s">
        <v>1130</v>
      </c>
      <c r="C759" s="14" t="s">
        <v>62</v>
      </c>
      <c r="D759" s="14" t="s">
        <v>731</v>
      </c>
      <c r="E759" s="14" t="s">
        <v>10</v>
      </c>
      <c r="F759" s="15">
        <v>225161</v>
      </c>
      <c r="G759" s="15">
        <v>225161</v>
      </c>
    </row>
    <row r="760" spans="1:7" x14ac:dyDescent="0.25">
      <c r="A760" s="13">
        <v>46203</v>
      </c>
      <c r="B760" s="14" t="s">
        <v>1131</v>
      </c>
      <c r="C760" s="14" t="s">
        <v>62</v>
      </c>
      <c r="D760" s="14" t="s">
        <v>49</v>
      </c>
      <c r="E760" s="14" t="s">
        <v>10</v>
      </c>
      <c r="F760" s="15">
        <v>422678</v>
      </c>
      <c r="G760" s="15">
        <v>422678</v>
      </c>
    </row>
    <row r="761" spans="1:7" x14ac:dyDescent="0.25">
      <c r="A761" s="13">
        <v>46203</v>
      </c>
      <c r="B761" s="14" t="s">
        <v>1132</v>
      </c>
      <c r="C761" s="14" t="s">
        <v>62</v>
      </c>
      <c r="D761" s="14" t="s">
        <v>731</v>
      </c>
      <c r="E761" s="14" t="s">
        <v>10</v>
      </c>
      <c r="F761" s="15">
        <v>74168</v>
      </c>
      <c r="G761" s="15">
        <v>74168</v>
      </c>
    </row>
    <row r="762" spans="1:7" x14ac:dyDescent="0.25">
      <c r="A762" s="13">
        <v>46203</v>
      </c>
      <c r="B762" s="14" t="s">
        <v>1133</v>
      </c>
      <c r="C762" s="14" t="s">
        <v>63</v>
      </c>
      <c r="D762" s="14" t="s">
        <v>731</v>
      </c>
      <c r="E762" s="14" t="s">
        <v>10</v>
      </c>
      <c r="F762" s="15">
        <v>36262.879999999997</v>
      </c>
      <c r="G762" s="15">
        <v>36262.879999999997</v>
      </c>
    </row>
    <row r="763" spans="1:7" x14ac:dyDescent="0.25">
      <c r="A763" s="13">
        <v>46203</v>
      </c>
      <c r="B763" s="14" t="s">
        <v>1134</v>
      </c>
      <c r="C763" s="14" t="s">
        <v>64</v>
      </c>
      <c r="D763" s="14" t="s">
        <v>42</v>
      </c>
      <c r="E763" s="14" t="s">
        <v>10</v>
      </c>
      <c r="F763" s="15">
        <v>106361.74</v>
      </c>
      <c r="G763" s="15">
        <v>106361.74</v>
      </c>
    </row>
    <row r="764" spans="1:7" x14ac:dyDescent="0.25">
      <c r="A764" s="13">
        <v>46203</v>
      </c>
      <c r="B764" s="14" t="s">
        <v>1135</v>
      </c>
      <c r="C764" s="14" t="s">
        <v>76</v>
      </c>
      <c r="D764" s="14" t="s">
        <v>66</v>
      </c>
      <c r="E764" s="14" t="s">
        <v>10</v>
      </c>
      <c r="F764" s="15">
        <v>77846</v>
      </c>
      <c r="G764" s="15">
        <v>77846</v>
      </c>
    </row>
    <row r="765" spans="1:7" x14ac:dyDescent="0.25">
      <c r="A765" s="13">
        <v>46203</v>
      </c>
      <c r="B765" s="14" t="s">
        <v>1136</v>
      </c>
      <c r="C765" s="14" t="s">
        <v>76</v>
      </c>
      <c r="D765" s="14" t="s">
        <v>66</v>
      </c>
      <c r="E765" s="14" t="s">
        <v>10</v>
      </c>
      <c r="F765" s="15">
        <v>76880</v>
      </c>
      <c r="G765" s="15">
        <v>76880</v>
      </c>
    </row>
    <row r="766" spans="1:7" x14ac:dyDescent="0.25">
      <c r="A766" s="13">
        <v>46203</v>
      </c>
      <c r="B766" s="14" t="s">
        <v>1137</v>
      </c>
      <c r="C766" s="14" t="s">
        <v>78</v>
      </c>
      <c r="D766" s="14"/>
      <c r="E766" s="14" t="s">
        <v>10</v>
      </c>
      <c r="F766" s="15">
        <v>32191.759999999998</v>
      </c>
      <c r="G766" s="15">
        <v>32191.759999999998</v>
      </c>
    </row>
    <row r="767" spans="1:7" x14ac:dyDescent="0.25">
      <c r="A767" s="13">
        <v>46203</v>
      </c>
      <c r="B767" s="14" t="s">
        <v>1138</v>
      </c>
      <c r="C767" s="14" t="s">
        <v>75</v>
      </c>
      <c r="D767" s="14" t="s">
        <v>66</v>
      </c>
      <c r="E767" s="14" t="s">
        <v>10</v>
      </c>
      <c r="F767" s="15">
        <v>83230</v>
      </c>
      <c r="G767" s="15">
        <v>83230</v>
      </c>
    </row>
    <row r="768" spans="1:7" x14ac:dyDescent="0.25">
      <c r="A768" s="13">
        <v>46203</v>
      </c>
      <c r="B768" s="14" t="s">
        <v>1139</v>
      </c>
      <c r="C768" s="14" t="s">
        <v>75</v>
      </c>
      <c r="D768" s="14" t="s">
        <v>66</v>
      </c>
      <c r="E768" s="14" t="s">
        <v>10</v>
      </c>
      <c r="F768" s="15">
        <v>59450</v>
      </c>
      <c r="G768" s="15">
        <v>59450</v>
      </c>
    </row>
    <row r="769" spans="1:7" x14ac:dyDescent="0.25">
      <c r="A769" s="13">
        <v>46203</v>
      </c>
      <c r="B769" s="14" t="s">
        <v>1140</v>
      </c>
      <c r="C769" s="14" t="s">
        <v>75</v>
      </c>
      <c r="D769" s="14" t="s">
        <v>66</v>
      </c>
      <c r="E769" s="14" t="s">
        <v>10</v>
      </c>
      <c r="F769" s="15">
        <v>87000</v>
      </c>
      <c r="G769" s="15">
        <v>87000</v>
      </c>
    </row>
    <row r="770" spans="1:7" x14ac:dyDescent="0.25">
      <c r="A770" s="13">
        <v>46203</v>
      </c>
      <c r="B770" s="14" t="s">
        <v>1141</v>
      </c>
      <c r="C770" s="14" t="s">
        <v>75</v>
      </c>
      <c r="D770" s="14" t="s">
        <v>49</v>
      </c>
      <c r="E770" s="14" t="s">
        <v>10</v>
      </c>
      <c r="F770" s="15">
        <v>125697.60000000001</v>
      </c>
      <c r="G770" s="15">
        <v>125697.60000000001</v>
      </c>
    </row>
    <row r="771" spans="1:7" x14ac:dyDescent="0.25">
      <c r="A771" s="13">
        <v>46203</v>
      </c>
      <c r="B771" s="14" t="s">
        <v>1142</v>
      </c>
      <c r="C771" s="14" t="s">
        <v>75</v>
      </c>
      <c r="D771" s="14" t="s">
        <v>731</v>
      </c>
      <c r="E771" s="14" t="s">
        <v>10</v>
      </c>
      <c r="F771" s="15">
        <v>116348</v>
      </c>
      <c r="G771" s="15">
        <v>116348</v>
      </c>
    </row>
    <row r="772" spans="1:7" x14ac:dyDescent="0.25">
      <c r="A772" s="13">
        <v>46203</v>
      </c>
      <c r="B772" s="14" t="s">
        <v>1143</v>
      </c>
      <c r="C772" s="14" t="s">
        <v>81</v>
      </c>
      <c r="D772" s="14" t="s">
        <v>42</v>
      </c>
      <c r="E772" s="14" t="s">
        <v>10</v>
      </c>
      <c r="F772" s="15">
        <v>1.24</v>
      </c>
      <c r="G772" s="15">
        <v>1.24</v>
      </c>
    </row>
    <row r="773" spans="1:7" x14ac:dyDescent="0.25">
      <c r="A773" s="13">
        <v>46203</v>
      </c>
      <c r="B773" s="14" t="s">
        <v>1144</v>
      </c>
      <c r="C773" s="14" t="s">
        <v>86</v>
      </c>
      <c r="D773" s="14" t="s">
        <v>82</v>
      </c>
      <c r="E773" s="14" t="s">
        <v>10</v>
      </c>
      <c r="F773" s="15">
        <v>700</v>
      </c>
      <c r="G773" s="15">
        <v>700</v>
      </c>
    </row>
    <row r="774" spans="1:7" x14ac:dyDescent="0.25">
      <c r="A774" s="13">
        <v>46203</v>
      </c>
      <c r="B774" s="14" t="s">
        <v>1145</v>
      </c>
      <c r="C774" s="14" t="s">
        <v>88</v>
      </c>
      <c r="D774" s="14" t="s">
        <v>49</v>
      </c>
      <c r="E774" s="14" t="s">
        <v>10</v>
      </c>
      <c r="F774" s="15">
        <v>3000</v>
      </c>
      <c r="G774" s="15">
        <v>3000</v>
      </c>
    </row>
    <row r="775" spans="1:7" x14ac:dyDescent="0.25">
      <c r="A775" s="13">
        <v>46203</v>
      </c>
      <c r="B775" s="14" t="s">
        <v>1146</v>
      </c>
      <c r="C775" s="14" t="s">
        <v>100</v>
      </c>
      <c r="D775" s="14" t="s">
        <v>731</v>
      </c>
      <c r="E775" s="14" t="s">
        <v>10</v>
      </c>
      <c r="F775" s="15">
        <v>4484.2</v>
      </c>
      <c r="G775" s="15">
        <v>4484.2</v>
      </c>
    </row>
    <row r="776" spans="1:7" x14ac:dyDescent="0.25">
      <c r="A776" s="13">
        <v>46203</v>
      </c>
      <c r="B776" s="14" t="s">
        <v>1147</v>
      </c>
      <c r="C776" s="14" t="s">
        <v>100</v>
      </c>
      <c r="D776" s="14" t="s">
        <v>463</v>
      </c>
      <c r="E776" s="14" t="s">
        <v>10</v>
      </c>
      <c r="F776" s="15">
        <v>17464.2</v>
      </c>
      <c r="G776" s="15">
        <v>17464.2</v>
      </c>
    </row>
    <row r="777" spans="1:7" x14ac:dyDescent="0.25">
      <c r="A777" s="13">
        <v>46203</v>
      </c>
      <c r="B777" s="14" t="s">
        <v>1148</v>
      </c>
      <c r="C777" s="14" t="s">
        <v>100</v>
      </c>
      <c r="D777" s="14" t="s">
        <v>731</v>
      </c>
      <c r="E777" s="14" t="s">
        <v>10</v>
      </c>
      <c r="F777" s="15">
        <v>14101</v>
      </c>
      <c r="G777" s="15">
        <v>14101</v>
      </c>
    </row>
    <row r="778" spans="1:7" x14ac:dyDescent="0.25">
      <c r="A778" s="13">
        <v>46203</v>
      </c>
      <c r="B778" s="14" t="s">
        <v>1149</v>
      </c>
      <c r="C778" s="14" t="s">
        <v>103</v>
      </c>
      <c r="D778" s="14" t="s">
        <v>463</v>
      </c>
      <c r="E778" s="14" t="s">
        <v>10</v>
      </c>
      <c r="F778" s="15">
        <v>48720</v>
      </c>
      <c r="G778" s="15">
        <v>48720</v>
      </c>
    </row>
    <row r="779" spans="1:7" x14ac:dyDescent="0.25">
      <c r="A779" s="13">
        <v>46203</v>
      </c>
      <c r="B779" s="14" t="s">
        <v>1150</v>
      </c>
      <c r="C779" s="14" t="s">
        <v>103</v>
      </c>
      <c r="D779" s="14" t="s">
        <v>731</v>
      </c>
      <c r="E779" s="14" t="s">
        <v>10</v>
      </c>
      <c r="F779" s="15">
        <v>38641.919999999998</v>
      </c>
      <c r="G779" s="15">
        <v>38641.919999999998</v>
      </c>
    </row>
    <row r="780" spans="1:7" x14ac:dyDescent="0.25">
      <c r="A780" s="13">
        <v>46203</v>
      </c>
      <c r="B780" s="14" t="s">
        <v>1151</v>
      </c>
      <c r="C780" s="14" t="s">
        <v>108</v>
      </c>
      <c r="D780" s="14" t="s">
        <v>451</v>
      </c>
      <c r="E780" s="14" t="s">
        <v>10</v>
      </c>
      <c r="F780" s="15">
        <v>9801.08</v>
      </c>
      <c r="G780" s="15">
        <v>9801.08</v>
      </c>
    </row>
    <row r="781" spans="1:7" x14ac:dyDescent="0.25">
      <c r="A781" s="13">
        <v>46203</v>
      </c>
      <c r="B781" s="14" t="s">
        <v>1152</v>
      </c>
      <c r="C781" s="14" t="s">
        <v>332</v>
      </c>
      <c r="D781" s="14" t="s">
        <v>451</v>
      </c>
      <c r="E781" s="14" t="s">
        <v>10</v>
      </c>
      <c r="F781" s="15">
        <v>420623.92</v>
      </c>
      <c r="G781" s="15">
        <v>420623.92</v>
      </c>
    </row>
    <row r="782" spans="1:7" x14ac:dyDescent="0.25">
      <c r="A782" s="13">
        <v>46203</v>
      </c>
      <c r="B782" s="14" t="s">
        <v>1153</v>
      </c>
      <c r="C782" s="14" t="s">
        <v>332</v>
      </c>
      <c r="D782" s="14" t="s">
        <v>82</v>
      </c>
      <c r="E782" s="14" t="s">
        <v>10</v>
      </c>
      <c r="F782" s="15">
        <v>3337.32</v>
      </c>
      <c r="G782" s="15">
        <v>3337.32</v>
      </c>
    </row>
    <row r="783" spans="1:7" x14ac:dyDescent="0.25">
      <c r="A783" s="13">
        <v>46203</v>
      </c>
      <c r="B783" s="14" t="s">
        <v>1154</v>
      </c>
      <c r="C783" s="14" t="s">
        <v>276</v>
      </c>
      <c r="D783" s="14"/>
      <c r="E783" s="14" t="s">
        <v>10</v>
      </c>
      <c r="F783" s="15">
        <v>327580.03999999998</v>
      </c>
      <c r="G783" s="15">
        <v>-327580.03999999998</v>
      </c>
    </row>
    <row r="784" spans="1:7" x14ac:dyDescent="0.25">
      <c r="A784" s="13">
        <v>46203</v>
      </c>
      <c r="B784" s="14" t="s">
        <v>1155</v>
      </c>
      <c r="C784" s="14" t="s">
        <v>116</v>
      </c>
      <c r="D784" s="14" t="s">
        <v>451</v>
      </c>
      <c r="E784" s="14" t="s">
        <v>10</v>
      </c>
      <c r="F784" s="15">
        <v>473678.34</v>
      </c>
      <c r="G784" s="15">
        <v>473678.34</v>
      </c>
    </row>
    <row r="785" spans="1:7" x14ac:dyDescent="0.25">
      <c r="A785" s="13">
        <v>46203</v>
      </c>
      <c r="B785" s="14" t="s">
        <v>1156</v>
      </c>
      <c r="C785" s="14" t="s">
        <v>117</v>
      </c>
      <c r="D785" s="14" t="s">
        <v>39</v>
      </c>
      <c r="E785" s="14" t="s">
        <v>10</v>
      </c>
      <c r="F785" s="15">
        <v>49297.54</v>
      </c>
      <c r="G785" s="15">
        <v>49297.54</v>
      </c>
    </row>
    <row r="786" spans="1:7" x14ac:dyDescent="0.25">
      <c r="A786" s="13">
        <v>46203</v>
      </c>
      <c r="B786" s="14" t="s">
        <v>1157</v>
      </c>
      <c r="C786" s="14" t="s">
        <v>117</v>
      </c>
      <c r="D786" s="14" t="s">
        <v>39</v>
      </c>
      <c r="E786" s="14" t="s">
        <v>10</v>
      </c>
      <c r="F786" s="15">
        <v>24709.439999999999</v>
      </c>
      <c r="G786" s="15">
        <v>24709.439999999999</v>
      </c>
    </row>
    <row r="787" spans="1:7" x14ac:dyDescent="0.25">
      <c r="A787" s="13">
        <v>46203</v>
      </c>
      <c r="B787" s="14" t="s">
        <v>1158</v>
      </c>
      <c r="C787" s="14" t="s">
        <v>123</v>
      </c>
      <c r="D787" s="14" t="s">
        <v>33</v>
      </c>
      <c r="E787" s="14" t="s">
        <v>10</v>
      </c>
      <c r="F787" s="15">
        <v>104204.86</v>
      </c>
      <c r="G787" s="15">
        <v>104204.86</v>
      </c>
    </row>
    <row r="788" spans="1:7" x14ac:dyDescent="0.25">
      <c r="A788" s="13">
        <v>46203</v>
      </c>
      <c r="B788" s="14" t="s">
        <v>850</v>
      </c>
      <c r="C788" s="14" t="s">
        <v>144</v>
      </c>
      <c r="D788" s="14" t="s">
        <v>57</v>
      </c>
      <c r="E788" s="14" t="s">
        <v>10</v>
      </c>
      <c r="F788" s="15">
        <v>52803.65</v>
      </c>
      <c r="G788" s="15">
        <v>52803.65</v>
      </c>
    </row>
    <row r="789" spans="1:7" x14ac:dyDescent="0.25">
      <c r="A789" s="13">
        <v>46203</v>
      </c>
      <c r="B789" s="14" t="s">
        <v>1159</v>
      </c>
      <c r="C789" s="14" t="s">
        <v>144</v>
      </c>
      <c r="D789" s="14" t="s">
        <v>57</v>
      </c>
      <c r="E789" s="14" t="s">
        <v>10</v>
      </c>
      <c r="F789" s="15">
        <v>72500</v>
      </c>
      <c r="G789" s="15">
        <v>72500</v>
      </c>
    </row>
    <row r="790" spans="1:7" x14ac:dyDescent="0.25">
      <c r="A790" s="13">
        <v>46203</v>
      </c>
      <c r="B790" s="14" t="s">
        <v>1160</v>
      </c>
      <c r="C790" s="14" t="s">
        <v>146</v>
      </c>
      <c r="D790" s="14" t="s">
        <v>49</v>
      </c>
      <c r="E790" s="14" t="s">
        <v>10</v>
      </c>
      <c r="F790" s="15">
        <v>97350</v>
      </c>
      <c r="G790" s="15">
        <v>97350</v>
      </c>
    </row>
    <row r="791" spans="1:7" x14ac:dyDescent="0.25">
      <c r="A791" s="13">
        <v>46203</v>
      </c>
      <c r="B791" s="14" t="s">
        <v>1161</v>
      </c>
      <c r="C791" s="14" t="s">
        <v>146</v>
      </c>
      <c r="D791" s="14" t="s">
        <v>49</v>
      </c>
      <c r="E791" s="14" t="s">
        <v>10</v>
      </c>
      <c r="F791" s="15">
        <v>177000</v>
      </c>
      <c r="G791" s="15">
        <v>177000</v>
      </c>
    </row>
    <row r="792" spans="1:7" x14ac:dyDescent="0.25">
      <c r="A792" s="13">
        <v>46203</v>
      </c>
      <c r="B792" s="14" t="s">
        <v>1162</v>
      </c>
      <c r="C792" s="14" t="s">
        <v>138</v>
      </c>
      <c r="D792" s="14" t="s">
        <v>463</v>
      </c>
      <c r="E792" s="14" t="s">
        <v>10</v>
      </c>
      <c r="F792" s="15">
        <v>1800161.34</v>
      </c>
      <c r="G792" s="15">
        <v>1800161.34</v>
      </c>
    </row>
    <row r="793" spans="1:7" x14ac:dyDescent="0.25">
      <c r="A793" s="13">
        <v>46203</v>
      </c>
      <c r="B793" s="14" t="s">
        <v>1163</v>
      </c>
      <c r="C793" s="14" t="s">
        <v>143</v>
      </c>
      <c r="D793" s="14" t="s">
        <v>49</v>
      </c>
      <c r="E793" s="14" t="s">
        <v>10</v>
      </c>
      <c r="F793" s="15">
        <v>87075.24</v>
      </c>
      <c r="G793" s="15">
        <v>87075.24</v>
      </c>
    </row>
    <row r="794" spans="1:7" x14ac:dyDescent="0.25">
      <c r="A794" s="13">
        <v>46203</v>
      </c>
      <c r="B794" s="14" t="s">
        <v>1164</v>
      </c>
      <c r="C794" s="14" t="s">
        <v>143</v>
      </c>
      <c r="D794" s="14" t="s">
        <v>49</v>
      </c>
      <c r="E794" s="14" t="s">
        <v>10</v>
      </c>
      <c r="F794" s="15">
        <v>91547.82</v>
      </c>
      <c r="G794" s="15">
        <v>91547.82</v>
      </c>
    </row>
    <row r="795" spans="1:7" x14ac:dyDescent="0.25">
      <c r="A795" s="13">
        <v>46203</v>
      </c>
      <c r="B795" s="14" t="s">
        <v>1165</v>
      </c>
      <c r="C795" s="14" t="s">
        <v>143</v>
      </c>
      <c r="D795" s="14" t="s">
        <v>49</v>
      </c>
      <c r="E795" s="14" t="s">
        <v>10</v>
      </c>
      <c r="F795" s="15">
        <v>86659.86</v>
      </c>
      <c r="G795" s="15">
        <v>86659.86</v>
      </c>
    </row>
    <row r="796" spans="1:7" x14ac:dyDescent="0.25">
      <c r="A796" s="13">
        <v>46203</v>
      </c>
      <c r="B796" s="14" t="s">
        <v>1166</v>
      </c>
      <c r="C796" s="14" t="s">
        <v>143</v>
      </c>
      <c r="D796" s="14" t="s">
        <v>42</v>
      </c>
      <c r="E796" s="14" t="s">
        <v>10</v>
      </c>
      <c r="F796" s="15">
        <v>29615.21</v>
      </c>
      <c r="G796" s="15">
        <v>29615.21</v>
      </c>
    </row>
    <row r="797" spans="1:7" x14ac:dyDescent="0.25">
      <c r="A797" s="13">
        <v>46203</v>
      </c>
      <c r="B797" s="14" t="s">
        <v>1167</v>
      </c>
      <c r="C797" s="14" t="s">
        <v>143</v>
      </c>
      <c r="D797" s="14" t="s">
        <v>49</v>
      </c>
      <c r="E797" s="14" t="s">
        <v>10</v>
      </c>
      <c r="F797" s="15">
        <v>7725</v>
      </c>
      <c r="G797" s="15">
        <v>7725</v>
      </c>
    </row>
    <row r="798" spans="1:7" x14ac:dyDescent="0.25">
      <c r="A798" s="13">
        <v>46203</v>
      </c>
      <c r="B798" s="14" t="s">
        <v>1168</v>
      </c>
      <c r="C798" s="14" t="s">
        <v>143</v>
      </c>
      <c r="D798" s="14" t="s">
        <v>49</v>
      </c>
      <c r="E798" s="14" t="s">
        <v>10</v>
      </c>
      <c r="F798" s="15">
        <v>7107</v>
      </c>
      <c r="G798" s="15">
        <v>7107</v>
      </c>
    </row>
    <row r="799" spans="1:7" x14ac:dyDescent="0.25">
      <c r="A799" s="13">
        <v>46203</v>
      </c>
      <c r="B799" s="14" t="s">
        <v>1169</v>
      </c>
      <c r="C799" s="14" t="s">
        <v>143</v>
      </c>
      <c r="D799" s="14" t="s">
        <v>49</v>
      </c>
      <c r="E799" s="14" t="s">
        <v>10</v>
      </c>
      <c r="F799" s="15">
        <v>54487</v>
      </c>
      <c r="G799" s="15">
        <v>54487</v>
      </c>
    </row>
    <row r="800" spans="1:7" x14ac:dyDescent="0.25">
      <c r="A800" s="13">
        <v>46203</v>
      </c>
      <c r="B800" s="14" t="s">
        <v>1170</v>
      </c>
      <c r="C800" s="14" t="s">
        <v>153</v>
      </c>
      <c r="D800" s="14" t="s">
        <v>57</v>
      </c>
      <c r="E800" s="14" t="s">
        <v>10</v>
      </c>
      <c r="F800" s="15">
        <v>138060</v>
      </c>
      <c r="G800" s="15">
        <v>138060</v>
      </c>
    </row>
    <row r="801" spans="1:7" x14ac:dyDescent="0.25">
      <c r="A801" s="13">
        <v>46203</v>
      </c>
      <c r="B801" s="14" t="s">
        <v>1171</v>
      </c>
      <c r="C801" s="14" t="s">
        <v>152</v>
      </c>
      <c r="D801" s="14" t="s">
        <v>463</v>
      </c>
      <c r="E801" s="14" t="s">
        <v>10</v>
      </c>
      <c r="F801" s="15">
        <v>10958</v>
      </c>
      <c r="G801" s="15">
        <v>10958</v>
      </c>
    </row>
    <row r="802" spans="1:7" x14ac:dyDescent="0.25">
      <c r="A802" s="13">
        <v>46203</v>
      </c>
      <c r="B802" s="14" t="s">
        <v>1172</v>
      </c>
      <c r="C802" s="14" t="s">
        <v>164</v>
      </c>
      <c r="D802" s="14" t="s">
        <v>49</v>
      </c>
      <c r="E802" s="14" t="s">
        <v>10</v>
      </c>
      <c r="F802" s="15">
        <v>61272.68</v>
      </c>
      <c r="G802" s="15">
        <v>61272.68</v>
      </c>
    </row>
    <row r="803" spans="1:7" x14ac:dyDescent="0.25">
      <c r="A803" s="13">
        <v>46203</v>
      </c>
      <c r="B803" s="14" t="s">
        <v>1173</v>
      </c>
      <c r="C803" s="14" t="s">
        <v>164</v>
      </c>
      <c r="D803" s="14" t="s">
        <v>49</v>
      </c>
      <c r="E803" s="14" t="s">
        <v>10</v>
      </c>
      <c r="F803" s="15">
        <v>51296.22</v>
      </c>
      <c r="G803" s="15">
        <v>51296.22</v>
      </c>
    </row>
    <row r="804" spans="1:7" x14ac:dyDescent="0.25">
      <c r="A804" s="13">
        <v>46203</v>
      </c>
      <c r="B804" s="14" t="s">
        <v>1174</v>
      </c>
      <c r="C804" s="14" t="s">
        <v>160</v>
      </c>
      <c r="D804" s="14" t="s">
        <v>57</v>
      </c>
      <c r="E804" s="14" t="s">
        <v>10</v>
      </c>
      <c r="F804" s="15">
        <v>1908662</v>
      </c>
      <c r="G804" s="15">
        <v>1908662</v>
      </c>
    </row>
    <row r="805" spans="1:7" x14ac:dyDescent="0.25">
      <c r="A805" s="13">
        <v>46203</v>
      </c>
      <c r="B805" s="14" t="s">
        <v>1175</v>
      </c>
      <c r="C805" s="14" t="s">
        <v>334</v>
      </c>
      <c r="D805" s="14" t="s">
        <v>82</v>
      </c>
      <c r="E805" s="14" t="s">
        <v>10</v>
      </c>
      <c r="F805" s="15">
        <v>304500</v>
      </c>
      <c r="G805" s="15">
        <v>304500</v>
      </c>
    </row>
    <row r="806" spans="1:7" x14ac:dyDescent="0.25">
      <c r="A806" s="13">
        <v>46203</v>
      </c>
      <c r="B806" s="14" t="s">
        <v>1176</v>
      </c>
      <c r="C806" s="14" t="s">
        <v>335</v>
      </c>
      <c r="D806" s="14" t="s">
        <v>463</v>
      </c>
      <c r="E806" s="14" t="s">
        <v>10</v>
      </c>
      <c r="F806" s="15">
        <v>470229.6</v>
      </c>
      <c r="G806" s="15">
        <v>470229.6</v>
      </c>
    </row>
    <row r="807" spans="1:7" x14ac:dyDescent="0.25">
      <c r="A807" s="13">
        <v>46203</v>
      </c>
      <c r="B807" s="14" t="s">
        <v>1177</v>
      </c>
      <c r="C807" s="14" t="s">
        <v>335</v>
      </c>
      <c r="D807" s="14" t="s">
        <v>463</v>
      </c>
      <c r="E807" s="14" t="s">
        <v>10</v>
      </c>
      <c r="F807" s="15">
        <v>22680</v>
      </c>
      <c r="G807" s="15">
        <v>22680</v>
      </c>
    </row>
    <row r="808" spans="1:7" x14ac:dyDescent="0.25">
      <c r="A808" s="13">
        <v>46203</v>
      </c>
      <c r="B808" s="14" t="s">
        <v>1178</v>
      </c>
      <c r="C808" s="14" t="s">
        <v>335</v>
      </c>
      <c r="D808" s="14" t="s">
        <v>463</v>
      </c>
      <c r="E808" s="14" t="s">
        <v>10</v>
      </c>
      <c r="F808" s="15">
        <v>2711836.06</v>
      </c>
      <c r="G808" s="15">
        <v>2711836.06</v>
      </c>
    </row>
    <row r="809" spans="1:7" x14ac:dyDescent="0.25">
      <c r="A809" s="13">
        <v>46203</v>
      </c>
      <c r="B809" s="14" t="s">
        <v>1179</v>
      </c>
      <c r="C809" s="14" t="s">
        <v>329</v>
      </c>
      <c r="D809" s="14" t="s">
        <v>239</v>
      </c>
      <c r="E809" s="14" t="s">
        <v>10</v>
      </c>
      <c r="F809" s="15">
        <v>329333.5</v>
      </c>
      <c r="G809" s="15">
        <v>329333.5</v>
      </c>
    </row>
    <row r="810" spans="1:7" x14ac:dyDescent="0.25">
      <c r="A810" s="13">
        <v>46203</v>
      </c>
      <c r="B810" s="14" t="s">
        <v>1180</v>
      </c>
      <c r="C810" s="14" t="s">
        <v>329</v>
      </c>
      <c r="D810" s="14" t="s">
        <v>66</v>
      </c>
      <c r="E810" s="14" t="s">
        <v>10</v>
      </c>
      <c r="F810" s="15">
        <v>329910</v>
      </c>
      <c r="G810" s="15">
        <v>329910</v>
      </c>
    </row>
    <row r="811" spans="1:7" x14ac:dyDescent="0.25">
      <c r="A811" s="13">
        <v>46203</v>
      </c>
      <c r="B811" s="14" t="s">
        <v>1181</v>
      </c>
      <c r="C811" s="14" t="s">
        <v>173</v>
      </c>
      <c r="D811" s="14" t="s">
        <v>451</v>
      </c>
      <c r="E811" s="14" t="s">
        <v>10</v>
      </c>
      <c r="F811" s="15">
        <v>27840</v>
      </c>
      <c r="G811" s="15">
        <v>27840</v>
      </c>
    </row>
    <row r="812" spans="1:7" x14ac:dyDescent="0.25">
      <c r="A812" s="13">
        <v>46203</v>
      </c>
      <c r="B812" s="14" t="s">
        <v>1182</v>
      </c>
      <c r="C812" s="14" t="s">
        <v>173</v>
      </c>
      <c r="D812" s="14" t="s">
        <v>451</v>
      </c>
      <c r="E812" s="14" t="s">
        <v>10</v>
      </c>
      <c r="F812" s="15">
        <v>199520</v>
      </c>
      <c r="G812" s="15">
        <v>199520</v>
      </c>
    </row>
    <row r="813" spans="1:7" x14ac:dyDescent="0.25">
      <c r="A813" s="13">
        <v>46203</v>
      </c>
      <c r="B813" s="14" t="s">
        <v>1183</v>
      </c>
      <c r="C813" s="14" t="s">
        <v>172</v>
      </c>
      <c r="D813" s="14" t="s">
        <v>20</v>
      </c>
      <c r="E813" s="14" t="s">
        <v>10</v>
      </c>
      <c r="F813" s="15">
        <v>495000</v>
      </c>
      <c r="G813" s="15">
        <v>495000</v>
      </c>
    </row>
    <row r="814" spans="1:7" x14ac:dyDescent="0.25">
      <c r="A814" s="13">
        <v>46203</v>
      </c>
      <c r="B814" s="14" t="s">
        <v>1184</v>
      </c>
      <c r="C814" s="14" t="s">
        <v>333</v>
      </c>
      <c r="D814" s="14" t="s">
        <v>463</v>
      </c>
      <c r="E814" s="14" t="s">
        <v>10</v>
      </c>
      <c r="F814" s="15">
        <v>1537000</v>
      </c>
      <c r="G814" s="15">
        <v>1537000</v>
      </c>
    </row>
    <row r="815" spans="1:7" x14ac:dyDescent="0.25">
      <c r="A815" s="13">
        <v>46203</v>
      </c>
      <c r="B815" s="14" t="s">
        <v>1185</v>
      </c>
      <c r="C815" s="14" t="s">
        <v>333</v>
      </c>
      <c r="D815" s="14" t="s">
        <v>463</v>
      </c>
      <c r="E815" s="14" t="s">
        <v>10</v>
      </c>
      <c r="F815" s="15">
        <v>1537000</v>
      </c>
      <c r="G815" s="15">
        <v>1537000</v>
      </c>
    </row>
    <row r="816" spans="1:7" x14ac:dyDescent="0.25">
      <c r="A816" s="13">
        <v>46203</v>
      </c>
      <c r="B816" s="14" t="s">
        <v>1186</v>
      </c>
      <c r="C816" s="14" t="s">
        <v>333</v>
      </c>
      <c r="D816" s="14" t="s">
        <v>463</v>
      </c>
      <c r="E816" s="14" t="s">
        <v>10</v>
      </c>
      <c r="F816" s="15">
        <v>1537000</v>
      </c>
      <c r="G816" s="15">
        <v>1537000</v>
      </c>
    </row>
    <row r="817" spans="1:7" x14ac:dyDescent="0.25">
      <c r="A817" s="13">
        <v>46203</v>
      </c>
      <c r="B817" s="14" t="s">
        <v>1187</v>
      </c>
      <c r="C817" s="14" t="s">
        <v>333</v>
      </c>
      <c r="D817" s="14" t="s">
        <v>463</v>
      </c>
      <c r="E817" s="14" t="s">
        <v>10</v>
      </c>
      <c r="F817" s="15">
        <v>9900918.9600000009</v>
      </c>
      <c r="G817" s="15">
        <v>9900918.9600000009</v>
      </c>
    </row>
    <row r="818" spans="1:7" x14ac:dyDescent="0.25">
      <c r="A818" s="13">
        <v>46203</v>
      </c>
      <c r="B818" s="14" t="s">
        <v>1188</v>
      </c>
      <c r="C818" s="14" t="s">
        <v>201</v>
      </c>
      <c r="D818" s="14" t="s">
        <v>33</v>
      </c>
      <c r="E818" s="14" t="s">
        <v>10</v>
      </c>
      <c r="F818" s="15">
        <v>85497.8</v>
      </c>
      <c r="G818" s="15">
        <v>85497.8</v>
      </c>
    </row>
    <row r="819" spans="1:7" x14ac:dyDescent="0.25">
      <c r="A819" s="13">
        <v>46203</v>
      </c>
      <c r="B819" s="14" t="s">
        <v>1189</v>
      </c>
      <c r="C819" s="14" t="s">
        <v>201</v>
      </c>
      <c r="D819" s="14" t="s">
        <v>33</v>
      </c>
      <c r="E819" s="14" t="s">
        <v>10</v>
      </c>
      <c r="F819" s="15">
        <v>106601.8</v>
      </c>
      <c r="G819" s="15">
        <v>106601.8</v>
      </c>
    </row>
    <row r="820" spans="1:7" x14ac:dyDescent="0.25">
      <c r="A820" s="13">
        <v>46203</v>
      </c>
      <c r="B820" s="14" t="s">
        <v>1190</v>
      </c>
      <c r="C820" s="14" t="s">
        <v>201</v>
      </c>
      <c r="D820" s="14" t="s">
        <v>33</v>
      </c>
      <c r="E820" s="14" t="s">
        <v>10</v>
      </c>
      <c r="F820" s="15">
        <v>114493.75</v>
      </c>
      <c r="G820" s="15">
        <v>114493.75</v>
      </c>
    </row>
    <row r="821" spans="1:7" x14ac:dyDescent="0.25">
      <c r="A821" s="13">
        <v>46203</v>
      </c>
      <c r="B821" s="14" t="s">
        <v>1191</v>
      </c>
      <c r="C821" s="14" t="s">
        <v>201</v>
      </c>
      <c r="D821" s="14" t="s">
        <v>33</v>
      </c>
      <c r="E821" s="14" t="s">
        <v>10</v>
      </c>
      <c r="F821" s="15">
        <v>52205.4</v>
      </c>
      <c r="G821" s="15">
        <v>52205.4</v>
      </c>
    </row>
    <row r="822" spans="1:7" x14ac:dyDescent="0.25">
      <c r="A822" s="13">
        <v>46203</v>
      </c>
      <c r="B822" s="14" t="s">
        <v>1192</v>
      </c>
      <c r="C822" s="14" t="s">
        <v>203</v>
      </c>
      <c r="D822" s="14" t="s">
        <v>66</v>
      </c>
      <c r="E822" s="14" t="s">
        <v>10</v>
      </c>
      <c r="F822" s="15">
        <v>96040</v>
      </c>
      <c r="G822" s="15">
        <v>96040</v>
      </c>
    </row>
    <row r="823" spans="1:7" x14ac:dyDescent="0.25">
      <c r="A823" s="13">
        <v>46203</v>
      </c>
      <c r="B823" s="14" t="s">
        <v>1193</v>
      </c>
      <c r="C823" s="14" t="s">
        <v>203</v>
      </c>
      <c r="D823" s="14" t="s">
        <v>66</v>
      </c>
      <c r="E823" s="14" t="s">
        <v>10</v>
      </c>
      <c r="F823" s="15">
        <v>455700</v>
      </c>
      <c r="G823" s="15">
        <v>455700</v>
      </c>
    </row>
    <row r="824" spans="1:7" x14ac:dyDescent="0.25">
      <c r="A824" s="13">
        <v>46203</v>
      </c>
      <c r="B824" s="14" t="s">
        <v>1194</v>
      </c>
      <c r="C824" s="14" t="s">
        <v>203</v>
      </c>
      <c r="D824" s="14" t="s">
        <v>49</v>
      </c>
      <c r="E824" s="14" t="s">
        <v>10</v>
      </c>
      <c r="F824" s="15">
        <v>223440</v>
      </c>
      <c r="G824" s="15">
        <v>223440</v>
      </c>
    </row>
    <row r="825" spans="1:7" x14ac:dyDescent="0.25">
      <c r="A825" s="13">
        <v>46203</v>
      </c>
      <c r="B825" s="14" t="s">
        <v>1195</v>
      </c>
      <c r="C825" s="14" t="s">
        <v>203</v>
      </c>
      <c r="D825" s="14" t="s">
        <v>49</v>
      </c>
      <c r="E825" s="14" t="s">
        <v>10</v>
      </c>
      <c r="F825" s="15">
        <v>28420</v>
      </c>
      <c r="G825" s="15">
        <v>28420</v>
      </c>
    </row>
    <row r="826" spans="1:7" x14ac:dyDescent="0.25">
      <c r="A826" s="13">
        <v>46203</v>
      </c>
      <c r="B826" s="14" t="s">
        <v>1196</v>
      </c>
      <c r="C826" s="14" t="s">
        <v>203</v>
      </c>
      <c r="D826" s="14" t="s">
        <v>49</v>
      </c>
      <c r="E826" s="14" t="s">
        <v>10</v>
      </c>
      <c r="F826" s="15">
        <v>135240</v>
      </c>
      <c r="G826" s="15">
        <v>135240</v>
      </c>
    </row>
    <row r="827" spans="1:7" x14ac:dyDescent="0.25">
      <c r="A827" s="13">
        <v>46203</v>
      </c>
      <c r="B827" s="14" t="s">
        <v>1197</v>
      </c>
      <c r="C827" s="14" t="s">
        <v>203</v>
      </c>
      <c r="D827" s="14" t="s">
        <v>49</v>
      </c>
      <c r="E827" s="14" t="s">
        <v>10</v>
      </c>
      <c r="F827" s="15">
        <v>48020</v>
      </c>
      <c r="G827" s="15">
        <v>48020</v>
      </c>
    </row>
    <row r="828" spans="1:7" x14ac:dyDescent="0.25">
      <c r="A828" s="13">
        <v>46203</v>
      </c>
      <c r="B828" s="14" t="s">
        <v>1198</v>
      </c>
      <c r="C828" s="14" t="s">
        <v>203</v>
      </c>
      <c r="D828" s="14" t="s">
        <v>49</v>
      </c>
      <c r="E828" s="14" t="s">
        <v>10</v>
      </c>
      <c r="F828" s="15">
        <v>26460</v>
      </c>
      <c r="G828" s="15">
        <v>26460</v>
      </c>
    </row>
    <row r="829" spans="1:7" x14ac:dyDescent="0.25">
      <c r="A829" s="13">
        <v>46203</v>
      </c>
      <c r="B829" s="14" t="s">
        <v>1199</v>
      </c>
      <c r="C829" s="14" t="s">
        <v>203</v>
      </c>
      <c r="D829" s="14" t="s">
        <v>49</v>
      </c>
      <c r="E829" s="14" t="s">
        <v>10</v>
      </c>
      <c r="F829" s="15">
        <v>78400</v>
      </c>
      <c r="G829" s="15">
        <v>78400</v>
      </c>
    </row>
    <row r="830" spans="1:7" x14ac:dyDescent="0.25">
      <c r="A830" s="13">
        <v>46203</v>
      </c>
      <c r="B830" s="14" t="s">
        <v>1200</v>
      </c>
      <c r="C830" s="14" t="s">
        <v>187</v>
      </c>
      <c r="D830" s="14" t="s">
        <v>33</v>
      </c>
      <c r="E830" s="14" t="s">
        <v>10</v>
      </c>
      <c r="F830" s="15">
        <v>121205.2</v>
      </c>
      <c r="G830" s="15">
        <v>121205.2</v>
      </c>
    </row>
    <row r="831" spans="1:7" x14ac:dyDescent="0.25">
      <c r="A831" s="13">
        <v>46203</v>
      </c>
      <c r="B831" s="14" t="s">
        <v>1201</v>
      </c>
      <c r="C831" s="14" t="s">
        <v>187</v>
      </c>
      <c r="D831" s="14" t="s">
        <v>33</v>
      </c>
      <c r="E831" s="14" t="s">
        <v>10</v>
      </c>
      <c r="F831" s="15">
        <v>124229.3</v>
      </c>
      <c r="G831" s="15">
        <v>124229.3</v>
      </c>
    </row>
    <row r="832" spans="1:7" x14ac:dyDescent="0.25">
      <c r="A832" s="13">
        <v>46203</v>
      </c>
      <c r="B832" s="14" t="s">
        <v>1202</v>
      </c>
      <c r="C832" s="14" t="s">
        <v>187</v>
      </c>
      <c r="D832" s="14" t="s">
        <v>33</v>
      </c>
      <c r="E832" s="14" t="s">
        <v>10</v>
      </c>
      <c r="F832" s="15">
        <v>130229.3</v>
      </c>
      <c r="G832" s="15">
        <v>130229.3</v>
      </c>
    </row>
    <row r="833" spans="1:7" x14ac:dyDescent="0.25">
      <c r="A833" s="13">
        <v>46203</v>
      </c>
      <c r="B833" s="14" t="s">
        <v>1203</v>
      </c>
      <c r="C833" s="14" t="s">
        <v>187</v>
      </c>
      <c r="D833" s="14" t="s">
        <v>33</v>
      </c>
      <c r="E833" s="14" t="s">
        <v>10</v>
      </c>
      <c r="F833" s="15">
        <v>45843.53</v>
      </c>
      <c r="G833" s="15">
        <v>45843.53</v>
      </c>
    </row>
    <row r="834" spans="1:7" x14ac:dyDescent="0.25">
      <c r="A834" s="13">
        <v>46203</v>
      </c>
      <c r="B834" s="14" t="s">
        <v>1204</v>
      </c>
      <c r="C834" s="14" t="s">
        <v>213</v>
      </c>
      <c r="D834" s="14" t="s">
        <v>82</v>
      </c>
      <c r="E834" s="14" t="s">
        <v>10</v>
      </c>
      <c r="F834" s="15">
        <v>10080</v>
      </c>
      <c r="G834" s="15">
        <v>10080</v>
      </c>
    </row>
    <row r="835" spans="1:7" x14ac:dyDescent="0.25">
      <c r="A835" s="13">
        <v>46203</v>
      </c>
      <c r="B835" s="14" t="s">
        <v>1205</v>
      </c>
      <c r="C835" s="14" t="s">
        <v>192</v>
      </c>
      <c r="D835" s="14" t="s">
        <v>49</v>
      </c>
      <c r="E835" s="14" t="s">
        <v>10</v>
      </c>
      <c r="F835" s="15">
        <v>177912.68</v>
      </c>
      <c r="G835" s="15">
        <v>177912.68</v>
      </c>
    </row>
    <row r="836" spans="1:7" x14ac:dyDescent="0.25">
      <c r="A836" s="13">
        <v>46203</v>
      </c>
      <c r="B836" s="14" t="s">
        <v>1206</v>
      </c>
      <c r="C836" s="14" t="s">
        <v>182</v>
      </c>
      <c r="D836" s="14"/>
      <c r="E836" s="14" t="s">
        <v>10</v>
      </c>
      <c r="F836" s="15">
        <v>144342.98000000001</v>
      </c>
      <c r="G836" s="15">
        <v>144342.98000000001</v>
      </c>
    </row>
    <row r="837" spans="1:7" x14ac:dyDescent="0.25">
      <c r="A837" s="13">
        <v>46203</v>
      </c>
      <c r="B837" s="14" t="s">
        <v>1207</v>
      </c>
      <c r="C837" s="14" t="s">
        <v>330</v>
      </c>
      <c r="D837" s="14" t="s">
        <v>42</v>
      </c>
      <c r="E837" s="14" t="s">
        <v>10</v>
      </c>
      <c r="F837" s="15">
        <v>412960</v>
      </c>
      <c r="G837" s="15">
        <v>412960</v>
      </c>
    </row>
    <row r="838" spans="1:7" x14ac:dyDescent="0.25">
      <c r="A838" s="13">
        <v>46203</v>
      </c>
      <c r="B838" s="14" t="s">
        <v>1208</v>
      </c>
      <c r="C838" s="14" t="s">
        <v>194</v>
      </c>
      <c r="D838" s="14" t="s">
        <v>66</v>
      </c>
      <c r="E838" s="14" t="s">
        <v>10</v>
      </c>
      <c r="F838" s="15">
        <v>169752</v>
      </c>
      <c r="G838" s="15">
        <v>169752</v>
      </c>
    </row>
    <row r="839" spans="1:7" x14ac:dyDescent="0.25">
      <c r="A839" s="13">
        <v>46203</v>
      </c>
      <c r="B839" s="14" t="s">
        <v>1209</v>
      </c>
      <c r="C839" s="14" t="s">
        <v>196</v>
      </c>
      <c r="D839" s="14" t="s">
        <v>451</v>
      </c>
      <c r="E839" s="14" t="s">
        <v>10</v>
      </c>
      <c r="F839" s="15">
        <v>199602.48</v>
      </c>
      <c r="G839" s="15">
        <v>199602.48</v>
      </c>
    </row>
    <row r="840" spans="1:7" x14ac:dyDescent="0.25">
      <c r="A840" s="13">
        <v>46203</v>
      </c>
      <c r="B840" s="14" t="s">
        <v>1210</v>
      </c>
      <c r="C840" s="14" t="s">
        <v>196</v>
      </c>
      <c r="D840" s="14" t="s">
        <v>451</v>
      </c>
      <c r="E840" s="14" t="s">
        <v>10</v>
      </c>
      <c r="F840" s="15">
        <v>131688.48000000001</v>
      </c>
      <c r="G840" s="15">
        <v>131688.48000000001</v>
      </c>
    </row>
    <row r="841" spans="1:7" x14ac:dyDescent="0.25">
      <c r="A841" s="13">
        <v>46203</v>
      </c>
      <c r="B841" s="14" t="s">
        <v>1211</v>
      </c>
      <c r="C841" s="14" t="s">
        <v>227</v>
      </c>
      <c r="D841" s="14" t="s">
        <v>82</v>
      </c>
      <c r="E841" s="14" t="s">
        <v>10</v>
      </c>
      <c r="F841" s="15">
        <v>372451.64</v>
      </c>
      <c r="G841" s="15">
        <v>372451.64</v>
      </c>
    </row>
    <row r="842" spans="1:7" x14ac:dyDescent="0.25">
      <c r="A842" s="13">
        <v>46203</v>
      </c>
      <c r="B842" s="14" t="s">
        <v>1212</v>
      </c>
      <c r="C842" s="14" t="s">
        <v>228</v>
      </c>
      <c r="D842" s="14" t="s">
        <v>731</v>
      </c>
      <c r="E842" s="14" t="s">
        <v>10</v>
      </c>
      <c r="F842" s="15">
        <v>57820</v>
      </c>
      <c r="G842" s="15">
        <v>57820</v>
      </c>
    </row>
    <row r="843" spans="1:7" x14ac:dyDescent="0.25">
      <c r="A843" s="13">
        <v>46203</v>
      </c>
      <c r="B843" s="14" t="s">
        <v>1213</v>
      </c>
      <c r="C843" s="14" t="s">
        <v>236</v>
      </c>
      <c r="D843" s="14" t="s">
        <v>33</v>
      </c>
      <c r="E843" s="14" t="s">
        <v>10</v>
      </c>
      <c r="F843" s="15">
        <v>72772.600000000006</v>
      </c>
      <c r="G843" s="15">
        <v>72772.600000000006</v>
      </c>
    </row>
    <row r="844" spans="1:7" x14ac:dyDescent="0.25">
      <c r="A844" s="13">
        <v>46203</v>
      </c>
      <c r="B844" s="14" t="s">
        <v>1214</v>
      </c>
      <c r="C844" s="14" t="s">
        <v>236</v>
      </c>
      <c r="D844" s="14" t="s">
        <v>33</v>
      </c>
      <c r="E844" s="14" t="s">
        <v>10</v>
      </c>
      <c r="F844" s="15">
        <v>267096.96000000002</v>
      </c>
      <c r="G844" s="15">
        <v>267096.96000000002</v>
      </c>
    </row>
    <row r="845" spans="1:7" x14ac:dyDescent="0.25">
      <c r="A845" s="13">
        <v>46203</v>
      </c>
      <c r="B845" s="14" t="s">
        <v>618</v>
      </c>
      <c r="C845" s="14" t="s">
        <v>242</v>
      </c>
      <c r="D845" s="14" t="s">
        <v>49</v>
      </c>
      <c r="E845" s="14" t="s">
        <v>10</v>
      </c>
      <c r="F845" s="15">
        <v>210446.04</v>
      </c>
      <c r="G845" s="15">
        <v>210446.04</v>
      </c>
    </row>
    <row r="846" spans="1:7" x14ac:dyDescent="0.25">
      <c r="A846" s="13">
        <v>46203</v>
      </c>
      <c r="B846" s="14" t="s">
        <v>1215</v>
      </c>
      <c r="C846" s="14" t="s">
        <v>242</v>
      </c>
      <c r="D846" s="14" t="s">
        <v>451</v>
      </c>
      <c r="E846" s="14" t="s">
        <v>10</v>
      </c>
      <c r="F846" s="15">
        <v>133980</v>
      </c>
      <c r="G846" s="15">
        <v>133980</v>
      </c>
    </row>
    <row r="847" spans="1:7" x14ac:dyDescent="0.25">
      <c r="A847" s="13">
        <v>46203</v>
      </c>
      <c r="B847" s="14" t="s">
        <v>1216</v>
      </c>
      <c r="C847" s="14" t="s">
        <v>250</v>
      </c>
      <c r="D847" s="14" t="s">
        <v>42</v>
      </c>
      <c r="E847" s="14" t="s">
        <v>10</v>
      </c>
      <c r="F847" s="15">
        <v>95550</v>
      </c>
      <c r="G847" s="15">
        <v>95550</v>
      </c>
    </row>
    <row r="848" spans="1:7" x14ac:dyDescent="0.25">
      <c r="A848" s="13">
        <v>46203</v>
      </c>
      <c r="B848" s="14" t="s">
        <v>1217</v>
      </c>
      <c r="C848" s="14" t="s">
        <v>250</v>
      </c>
      <c r="D848" s="14" t="s">
        <v>42</v>
      </c>
      <c r="E848" s="14" t="s">
        <v>10</v>
      </c>
      <c r="F848" s="15">
        <v>111475</v>
      </c>
      <c r="G848" s="15">
        <v>111475</v>
      </c>
    </row>
    <row r="849" spans="1:7" x14ac:dyDescent="0.25">
      <c r="A849" s="13">
        <v>46203</v>
      </c>
      <c r="B849" s="14" t="s">
        <v>1218</v>
      </c>
      <c r="C849" s="14" t="s">
        <v>250</v>
      </c>
      <c r="D849" s="14" t="s">
        <v>42</v>
      </c>
      <c r="E849" s="14" t="s">
        <v>10</v>
      </c>
      <c r="F849" s="15">
        <v>126175</v>
      </c>
      <c r="G849" s="15">
        <v>126175</v>
      </c>
    </row>
    <row r="850" spans="1:7" x14ac:dyDescent="0.25">
      <c r="A850" s="13">
        <v>46203</v>
      </c>
      <c r="B850" s="14" t="s">
        <v>1219</v>
      </c>
      <c r="C850" s="14" t="s">
        <v>250</v>
      </c>
      <c r="D850" s="14" t="s">
        <v>42</v>
      </c>
      <c r="E850" s="14" t="s">
        <v>10</v>
      </c>
      <c r="F850" s="15">
        <v>95550</v>
      </c>
      <c r="G850" s="15">
        <v>95550</v>
      </c>
    </row>
    <row r="851" spans="1:7" x14ac:dyDescent="0.25">
      <c r="A851" s="13">
        <v>46203</v>
      </c>
      <c r="B851" s="14" t="s">
        <v>1220</v>
      </c>
      <c r="C851" s="14" t="s">
        <v>250</v>
      </c>
      <c r="D851" s="14" t="s">
        <v>42</v>
      </c>
      <c r="E851" s="14" t="s">
        <v>10</v>
      </c>
      <c r="F851" s="15">
        <v>95550</v>
      </c>
      <c r="G851" s="15">
        <v>95550</v>
      </c>
    </row>
    <row r="852" spans="1:7" x14ac:dyDescent="0.25">
      <c r="A852" s="13">
        <v>46203</v>
      </c>
      <c r="B852" s="14" t="s">
        <v>1221</v>
      </c>
      <c r="C852" s="14" t="s">
        <v>250</v>
      </c>
      <c r="D852" s="14" t="s">
        <v>42</v>
      </c>
      <c r="E852" s="14" t="s">
        <v>10</v>
      </c>
      <c r="F852" s="15">
        <v>98490</v>
      </c>
      <c r="G852" s="15">
        <v>98490</v>
      </c>
    </row>
    <row r="853" spans="1:7" x14ac:dyDescent="0.25">
      <c r="A853" s="13">
        <v>46203</v>
      </c>
      <c r="B853" s="14" t="s">
        <v>1222</v>
      </c>
      <c r="C853" s="14" t="s">
        <v>250</v>
      </c>
      <c r="D853" s="14" t="s">
        <v>451</v>
      </c>
      <c r="E853" s="14" t="s">
        <v>10</v>
      </c>
      <c r="F853" s="15">
        <v>85750</v>
      </c>
      <c r="G853" s="15">
        <v>85750</v>
      </c>
    </row>
    <row r="854" spans="1:7" x14ac:dyDescent="0.25">
      <c r="A854" s="13">
        <v>46203</v>
      </c>
      <c r="B854" s="14" t="s">
        <v>1223</v>
      </c>
      <c r="C854" s="14" t="s">
        <v>250</v>
      </c>
      <c r="D854" s="14" t="s">
        <v>451</v>
      </c>
      <c r="E854" s="14" t="s">
        <v>10</v>
      </c>
      <c r="F854" s="15">
        <v>88200</v>
      </c>
      <c r="G854" s="15">
        <v>88200</v>
      </c>
    </row>
    <row r="855" spans="1:7" x14ac:dyDescent="0.25">
      <c r="A855" s="13">
        <v>46204</v>
      </c>
      <c r="B855" s="14" t="s">
        <v>1224</v>
      </c>
      <c r="C855" s="14" t="s">
        <v>59</v>
      </c>
      <c r="D855" s="14" t="s">
        <v>39</v>
      </c>
      <c r="E855" s="14" t="s">
        <v>9</v>
      </c>
      <c r="F855" s="15">
        <v>73080</v>
      </c>
      <c r="G855" s="15">
        <v>73080</v>
      </c>
    </row>
    <row r="856" spans="1:7" x14ac:dyDescent="0.25">
      <c r="A856" s="13">
        <v>46204</v>
      </c>
      <c r="B856" s="14" t="s">
        <v>1225</v>
      </c>
      <c r="C856" s="14" t="s">
        <v>59</v>
      </c>
      <c r="D856" s="14" t="s">
        <v>39</v>
      </c>
      <c r="E856" s="14" t="s">
        <v>9</v>
      </c>
      <c r="F856" s="15">
        <v>58870</v>
      </c>
      <c r="G856" s="15">
        <v>58870</v>
      </c>
    </row>
    <row r="857" spans="1:7" x14ac:dyDescent="0.25">
      <c r="A857" s="13">
        <v>46204</v>
      </c>
      <c r="B857" s="14" t="s">
        <v>1226</v>
      </c>
      <c r="C857" s="14" t="s">
        <v>54</v>
      </c>
      <c r="D857" s="14" t="s">
        <v>463</v>
      </c>
      <c r="E857" s="14" t="s">
        <v>9</v>
      </c>
      <c r="F857" s="15">
        <v>11058</v>
      </c>
      <c r="G857" s="15">
        <v>11058</v>
      </c>
    </row>
    <row r="858" spans="1:7" x14ac:dyDescent="0.25">
      <c r="A858" s="13">
        <v>46204</v>
      </c>
      <c r="B858" s="14" t="s">
        <v>1227</v>
      </c>
      <c r="C858" s="14" t="s">
        <v>54</v>
      </c>
      <c r="D858" s="14" t="s">
        <v>463</v>
      </c>
      <c r="E858" s="14" t="s">
        <v>9</v>
      </c>
      <c r="F858" s="15">
        <v>2378</v>
      </c>
      <c r="G858" s="15">
        <v>2378</v>
      </c>
    </row>
    <row r="859" spans="1:7" x14ac:dyDescent="0.25">
      <c r="A859" s="13">
        <v>46204</v>
      </c>
      <c r="B859" s="14" t="s">
        <v>1228</v>
      </c>
      <c r="C859" s="14" t="s">
        <v>54</v>
      </c>
      <c r="D859" s="14" t="s">
        <v>463</v>
      </c>
      <c r="E859" s="14" t="s">
        <v>9</v>
      </c>
      <c r="F859" s="15">
        <v>33632</v>
      </c>
      <c r="G859" s="15">
        <v>33632</v>
      </c>
    </row>
    <row r="860" spans="1:7" x14ac:dyDescent="0.25">
      <c r="A860" s="13">
        <v>46204</v>
      </c>
      <c r="B860" s="14" t="s">
        <v>1229</v>
      </c>
      <c r="C860" s="14" t="s">
        <v>98</v>
      </c>
      <c r="D860" s="14" t="s">
        <v>42</v>
      </c>
      <c r="E860" s="14" t="s">
        <v>9</v>
      </c>
      <c r="F860" s="15">
        <v>0.5</v>
      </c>
      <c r="G860" s="15">
        <v>0.5</v>
      </c>
    </row>
    <row r="861" spans="1:7" x14ac:dyDescent="0.25">
      <c r="A861" s="13">
        <v>46204</v>
      </c>
      <c r="B861" s="14" t="s">
        <v>1230</v>
      </c>
      <c r="C861" s="14" t="s">
        <v>276</v>
      </c>
      <c r="D861" s="14" t="s">
        <v>82</v>
      </c>
      <c r="E861" s="14" t="s">
        <v>9</v>
      </c>
      <c r="F861" s="15">
        <v>300000</v>
      </c>
      <c r="G861" s="15">
        <v>-300000</v>
      </c>
    </row>
    <row r="862" spans="1:7" x14ac:dyDescent="0.25">
      <c r="A862" s="13">
        <v>46204</v>
      </c>
      <c r="B862" s="14" t="s">
        <v>1231</v>
      </c>
      <c r="C862" s="14" t="s">
        <v>114</v>
      </c>
      <c r="D862" s="14" t="s">
        <v>42</v>
      </c>
      <c r="E862" s="14" t="s">
        <v>9</v>
      </c>
      <c r="F862" s="15">
        <v>126.74</v>
      </c>
      <c r="G862" s="15">
        <v>-126.74</v>
      </c>
    </row>
    <row r="863" spans="1:7" x14ac:dyDescent="0.25">
      <c r="A863" s="13">
        <v>46204</v>
      </c>
      <c r="B863" s="14" t="s">
        <v>1232</v>
      </c>
      <c r="C863" s="14" t="s">
        <v>114</v>
      </c>
      <c r="D863" s="14" t="s">
        <v>49</v>
      </c>
      <c r="E863" s="14" t="s">
        <v>9</v>
      </c>
      <c r="F863" s="15">
        <v>1050.9000000000001</v>
      </c>
      <c r="G863" s="15">
        <v>1050.9000000000001</v>
      </c>
    </row>
    <row r="864" spans="1:7" x14ac:dyDescent="0.25">
      <c r="A864" s="13">
        <v>46204</v>
      </c>
      <c r="B864" s="14" t="s">
        <v>1233</v>
      </c>
      <c r="C864" s="14" t="s">
        <v>119</v>
      </c>
      <c r="D864" s="14" t="s">
        <v>463</v>
      </c>
      <c r="E864" s="14" t="s">
        <v>9</v>
      </c>
      <c r="F864" s="15">
        <v>10856</v>
      </c>
      <c r="G864" s="15">
        <v>10856</v>
      </c>
    </row>
    <row r="865" spans="1:7" x14ac:dyDescent="0.25">
      <c r="A865" s="13">
        <v>46204</v>
      </c>
      <c r="B865" s="14" t="s">
        <v>1234</v>
      </c>
      <c r="C865" s="14" t="s">
        <v>352</v>
      </c>
      <c r="D865" s="14" t="s">
        <v>463</v>
      </c>
      <c r="E865" s="14" t="s">
        <v>9</v>
      </c>
      <c r="F865" s="15">
        <v>40726</v>
      </c>
      <c r="G865" s="15">
        <v>40726</v>
      </c>
    </row>
    <row r="866" spans="1:7" x14ac:dyDescent="0.25">
      <c r="A866" s="13">
        <v>46204</v>
      </c>
      <c r="B866" s="14" t="s">
        <v>1235</v>
      </c>
      <c r="C866" s="14" t="s">
        <v>352</v>
      </c>
      <c r="D866" s="14" t="s">
        <v>463</v>
      </c>
      <c r="E866" s="14" t="s">
        <v>9</v>
      </c>
      <c r="F866" s="15">
        <v>67516</v>
      </c>
      <c r="G866" s="15">
        <v>67516</v>
      </c>
    </row>
    <row r="867" spans="1:7" x14ac:dyDescent="0.25">
      <c r="A867" s="13">
        <v>46204</v>
      </c>
      <c r="B867" s="14" t="s">
        <v>1146</v>
      </c>
      <c r="C867" s="14" t="s">
        <v>140</v>
      </c>
      <c r="D867" s="14" t="s">
        <v>731</v>
      </c>
      <c r="E867" s="14" t="s">
        <v>9</v>
      </c>
      <c r="F867" s="15">
        <v>41.28</v>
      </c>
      <c r="G867" s="15">
        <v>-41.28</v>
      </c>
    </row>
    <row r="868" spans="1:7" x14ac:dyDescent="0.25">
      <c r="A868" s="13">
        <v>46204</v>
      </c>
      <c r="B868" s="14" t="s">
        <v>1236</v>
      </c>
      <c r="C868" s="14" t="s">
        <v>140</v>
      </c>
      <c r="D868" s="14" t="s">
        <v>463</v>
      </c>
      <c r="E868" s="14" t="s">
        <v>9</v>
      </c>
      <c r="F868" s="15">
        <v>31.09</v>
      </c>
      <c r="G868" s="15">
        <v>-31.09</v>
      </c>
    </row>
    <row r="869" spans="1:7" x14ac:dyDescent="0.25">
      <c r="A869" s="13">
        <v>46204</v>
      </c>
      <c r="B869" s="14" t="s">
        <v>1237</v>
      </c>
      <c r="C869" s="14" t="s">
        <v>140</v>
      </c>
      <c r="D869" s="14" t="s">
        <v>463</v>
      </c>
      <c r="E869" s="14" t="s">
        <v>9</v>
      </c>
      <c r="F869" s="15">
        <v>67.150000000000006</v>
      </c>
      <c r="G869" s="15">
        <v>-67.150000000000006</v>
      </c>
    </row>
    <row r="870" spans="1:7" x14ac:dyDescent="0.25">
      <c r="A870" s="13">
        <v>46204</v>
      </c>
      <c r="B870" s="14" t="s">
        <v>1238</v>
      </c>
      <c r="C870" s="14" t="s">
        <v>140</v>
      </c>
      <c r="D870" s="14" t="s">
        <v>463</v>
      </c>
      <c r="E870" s="14" t="s">
        <v>9</v>
      </c>
      <c r="F870" s="15">
        <v>40.72</v>
      </c>
      <c r="G870" s="15">
        <v>-40.72</v>
      </c>
    </row>
    <row r="871" spans="1:7" x14ac:dyDescent="0.25">
      <c r="A871" s="13">
        <v>46204</v>
      </c>
      <c r="B871" s="14" t="s">
        <v>1239</v>
      </c>
      <c r="C871" s="14" t="s">
        <v>140</v>
      </c>
      <c r="D871" s="14" t="s">
        <v>463</v>
      </c>
      <c r="E871" s="14" t="s">
        <v>9</v>
      </c>
      <c r="F871" s="15">
        <v>67.849999999999994</v>
      </c>
      <c r="G871" s="15">
        <v>-67.849999999999994</v>
      </c>
    </row>
    <row r="872" spans="1:7" x14ac:dyDescent="0.25">
      <c r="A872" s="13">
        <v>46204</v>
      </c>
      <c r="B872" s="14" t="s">
        <v>1240</v>
      </c>
      <c r="C872" s="14" t="s">
        <v>140</v>
      </c>
      <c r="D872" s="14" t="s">
        <v>463</v>
      </c>
      <c r="E872" s="14" t="s">
        <v>9</v>
      </c>
      <c r="F872" s="15">
        <v>68.63</v>
      </c>
      <c r="G872" s="15">
        <v>-68.63</v>
      </c>
    </row>
    <row r="873" spans="1:7" x14ac:dyDescent="0.25">
      <c r="A873" s="13">
        <v>46204</v>
      </c>
      <c r="B873" s="14" t="s">
        <v>1241</v>
      </c>
      <c r="C873" s="14" t="s">
        <v>162</v>
      </c>
      <c r="D873" s="14" t="s">
        <v>463</v>
      </c>
      <c r="E873" s="14" t="s">
        <v>9</v>
      </c>
      <c r="F873" s="15">
        <v>160427.92000000001</v>
      </c>
      <c r="G873" s="15">
        <v>160427.92000000001</v>
      </c>
    </row>
    <row r="874" spans="1:7" x14ac:dyDescent="0.25">
      <c r="A874" s="13">
        <v>46204</v>
      </c>
      <c r="B874" s="14" t="s">
        <v>1242</v>
      </c>
      <c r="C874" s="14" t="s">
        <v>162</v>
      </c>
      <c r="D874" s="14" t="s">
        <v>463</v>
      </c>
      <c r="E874" s="14" t="s">
        <v>9</v>
      </c>
      <c r="F874" s="15">
        <v>195430</v>
      </c>
      <c r="G874" s="15">
        <v>195430</v>
      </c>
    </row>
    <row r="875" spans="1:7" x14ac:dyDescent="0.25">
      <c r="A875" s="13">
        <v>46204</v>
      </c>
      <c r="B875" s="14" t="s">
        <v>1243</v>
      </c>
      <c r="C875" s="14" t="s">
        <v>162</v>
      </c>
      <c r="D875" s="14" t="s">
        <v>463</v>
      </c>
      <c r="E875" s="14" t="s">
        <v>9</v>
      </c>
      <c r="F875" s="15">
        <v>206960</v>
      </c>
      <c r="G875" s="15">
        <v>206960</v>
      </c>
    </row>
    <row r="876" spans="1:7" x14ac:dyDescent="0.25">
      <c r="A876" s="13">
        <v>46204</v>
      </c>
      <c r="B876" s="14" t="s">
        <v>1244</v>
      </c>
      <c r="C876" s="14" t="s">
        <v>180</v>
      </c>
      <c r="D876" s="14" t="s">
        <v>66</v>
      </c>
      <c r="E876" s="14" t="s">
        <v>9</v>
      </c>
      <c r="F876" s="15">
        <v>76478.399999999994</v>
      </c>
      <c r="G876" s="15">
        <v>76478.399999999994</v>
      </c>
    </row>
    <row r="877" spans="1:7" x14ac:dyDescent="0.25">
      <c r="A877" s="13">
        <v>46204</v>
      </c>
      <c r="B877" s="14" t="s">
        <v>1245</v>
      </c>
      <c r="C877" s="14" t="s">
        <v>207</v>
      </c>
      <c r="D877" s="14" t="s">
        <v>731</v>
      </c>
      <c r="E877" s="14" t="s">
        <v>9</v>
      </c>
      <c r="F877" s="15">
        <v>813400</v>
      </c>
      <c r="G877" s="15">
        <v>813400</v>
      </c>
    </row>
    <row r="878" spans="1:7" x14ac:dyDescent="0.25">
      <c r="A878" s="13">
        <v>46204</v>
      </c>
      <c r="B878" s="14" t="s">
        <v>1246</v>
      </c>
      <c r="C878" s="14" t="s">
        <v>208</v>
      </c>
      <c r="D878" s="14" t="s">
        <v>39</v>
      </c>
      <c r="E878" s="14" t="s">
        <v>9</v>
      </c>
      <c r="F878" s="15">
        <v>60900</v>
      </c>
      <c r="G878" s="15">
        <v>60900</v>
      </c>
    </row>
    <row r="879" spans="1:7" x14ac:dyDescent="0.25">
      <c r="A879" s="13">
        <v>46204</v>
      </c>
      <c r="B879" s="14" t="s">
        <v>1247</v>
      </c>
      <c r="C879" s="14" t="s">
        <v>210</v>
      </c>
      <c r="D879" s="14" t="s">
        <v>451</v>
      </c>
      <c r="E879" s="14" t="s">
        <v>9</v>
      </c>
      <c r="F879" s="15">
        <v>119678</v>
      </c>
      <c r="G879" s="15">
        <v>119678</v>
      </c>
    </row>
    <row r="880" spans="1:7" x14ac:dyDescent="0.25">
      <c r="A880" s="13">
        <v>46204</v>
      </c>
      <c r="B880" s="14" t="s">
        <v>1248</v>
      </c>
      <c r="C880" s="14" t="s">
        <v>194</v>
      </c>
      <c r="D880" s="14" t="s">
        <v>66</v>
      </c>
      <c r="E880" s="14" t="s">
        <v>9</v>
      </c>
      <c r="F880" s="15">
        <v>197853</v>
      </c>
      <c r="G880" s="15">
        <v>197853</v>
      </c>
    </row>
    <row r="881" spans="1:7" x14ac:dyDescent="0.25">
      <c r="A881" s="13">
        <v>46204</v>
      </c>
      <c r="B881" s="14" t="s">
        <v>1249</v>
      </c>
      <c r="C881" s="14" t="s">
        <v>194</v>
      </c>
      <c r="D881" s="14" t="s">
        <v>66</v>
      </c>
      <c r="E881" s="14" t="s">
        <v>9</v>
      </c>
      <c r="F881" s="15">
        <v>197853</v>
      </c>
      <c r="G881" s="15">
        <v>197853</v>
      </c>
    </row>
    <row r="882" spans="1:7" x14ac:dyDescent="0.25">
      <c r="A882" s="13">
        <v>46204</v>
      </c>
      <c r="B882" s="14" t="s">
        <v>1250</v>
      </c>
      <c r="C882" s="14" t="s">
        <v>194</v>
      </c>
      <c r="D882" s="14" t="s">
        <v>66</v>
      </c>
      <c r="E882" s="14" t="s">
        <v>9</v>
      </c>
      <c r="F882" s="15">
        <v>229905</v>
      </c>
      <c r="G882" s="15">
        <v>229905</v>
      </c>
    </row>
    <row r="883" spans="1:7" x14ac:dyDescent="0.25">
      <c r="A883" s="13">
        <v>46204</v>
      </c>
      <c r="B883" s="14" t="s">
        <v>1251</v>
      </c>
      <c r="C883" s="14" t="s">
        <v>218</v>
      </c>
      <c r="D883" s="14" t="s">
        <v>42</v>
      </c>
      <c r="E883" s="14" t="s">
        <v>9</v>
      </c>
      <c r="F883" s="15">
        <v>100000</v>
      </c>
      <c r="G883" s="15">
        <v>100000</v>
      </c>
    </row>
    <row r="884" spans="1:7" x14ac:dyDescent="0.25">
      <c r="A884" s="13">
        <v>46204</v>
      </c>
      <c r="B884" s="14" t="s">
        <v>1252</v>
      </c>
      <c r="C884" s="14" t="s">
        <v>230</v>
      </c>
      <c r="D884" s="14" t="s">
        <v>731</v>
      </c>
      <c r="E884" s="14" t="s">
        <v>9</v>
      </c>
      <c r="F884" s="15">
        <v>27051</v>
      </c>
      <c r="G884" s="15">
        <v>27051</v>
      </c>
    </row>
    <row r="885" spans="1:7" x14ac:dyDescent="0.25">
      <c r="A885" s="13">
        <v>46204</v>
      </c>
      <c r="B885" s="14" t="s">
        <v>1253</v>
      </c>
      <c r="C885" s="14" t="s">
        <v>232</v>
      </c>
      <c r="D885" s="14" t="s">
        <v>39</v>
      </c>
      <c r="E885" s="14" t="s">
        <v>9</v>
      </c>
      <c r="F885" s="15">
        <v>418064.6</v>
      </c>
      <c r="G885" s="15">
        <v>418064.6</v>
      </c>
    </row>
    <row r="886" spans="1:7" x14ac:dyDescent="0.25">
      <c r="A886" s="13">
        <v>46205</v>
      </c>
      <c r="B886" s="14" t="s">
        <v>1254</v>
      </c>
      <c r="C886" s="14" t="s">
        <v>76</v>
      </c>
      <c r="D886" s="14" t="s">
        <v>66</v>
      </c>
      <c r="E886" s="14" t="s">
        <v>9</v>
      </c>
      <c r="F886" s="15">
        <v>77089</v>
      </c>
      <c r="G886" s="15">
        <v>77089</v>
      </c>
    </row>
    <row r="887" spans="1:7" x14ac:dyDescent="0.25">
      <c r="A887" s="13">
        <v>46205</v>
      </c>
      <c r="B887" s="14" t="s">
        <v>1255</v>
      </c>
      <c r="C887" s="14" t="s">
        <v>76</v>
      </c>
      <c r="D887" s="14" t="s">
        <v>66</v>
      </c>
      <c r="E887" s="14" t="s">
        <v>9</v>
      </c>
      <c r="F887" s="15">
        <v>77036</v>
      </c>
      <c r="G887" s="15">
        <v>77036</v>
      </c>
    </row>
    <row r="888" spans="1:7" x14ac:dyDescent="0.25">
      <c r="A888" s="13">
        <v>46205</v>
      </c>
      <c r="B888" s="14" t="s">
        <v>1256</v>
      </c>
      <c r="C888" s="14" t="s">
        <v>162</v>
      </c>
      <c r="D888" s="14" t="s">
        <v>463</v>
      </c>
      <c r="E888" s="14" t="s">
        <v>9</v>
      </c>
      <c r="F888" s="15">
        <v>83091</v>
      </c>
      <c r="G888" s="15">
        <v>83091</v>
      </c>
    </row>
    <row r="889" spans="1:7" x14ac:dyDescent="0.25">
      <c r="A889" s="13">
        <v>46205</v>
      </c>
      <c r="B889" s="14" t="s">
        <v>1257</v>
      </c>
      <c r="C889" s="14" t="s">
        <v>194</v>
      </c>
      <c r="D889" s="14" t="s">
        <v>66</v>
      </c>
      <c r="E889" s="14" t="s">
        <v>9</v>
      </c>
      <c r="F889" s="15">
        <v>172046</v>
      </c>
      <c r="G889" s="15">
        <v>172046</v>
      </c>
    </row>
    <row r="890" spans="1:7" x14ac:dyDescent="0.25">
      <c r="A890" s="13">
        <v>46206</v>
      </c>
      <c r="B890" s="14" t="s">
        <v>1258</v>
      </c>
      <c r="C890" s="14" t="s">
        <v>71</v>
      </c>
      <c r="D890" s="14" t="s">
        <v>42</v>
      </c>
      <c r="E890" s="14" t="s">
        <v>9</v>
      </c>
      <c r="F890" s="15">
        <v>274676</v>
      </c>
      <c r="G890" s="15">
        <v>274676</v>
      </c>
    </row>
    <row r="891" spans="1:7" x14ac:dyDescent="0.25">
      <c r="A891" s="13">
        <v>46206</v>
      </c>
      <c r="B891" s="14" t="s">
        <v>1259</v>
      </c>
      <c r="C891" s="14" t="s">
        <v>264</v>
      </c>
      <c r="D891" s="14" t="s">
        <v>731</v>
      </c>
      <c r="E891" s="14" t="s">
        <v>9</v>
      </c>
      <c r="F891" s="15">
        <v>0.25</v>
      </c>
      <c r="G891" s="15">
        <v>-0.25</v>
      </c>
    </row>
    <row r="892" spans="1:7" x14ac:dyDescent="0.25">
      <c r="A892" s="13">
        <v>46206</v>
      </c>
      <c r="B892" s="14" t="s">
        <v>1260</v>
      </c>
      <c r="C892" s="14" t="s">
        <v>276</v>
      </c>
      <c r="D892" s="14" t="s">
        <v>82</v>
      </c>
      <c r="E892" s="14" t="s">
        <v>9</v>
      </c>
      <c r="F892" s="15">
        <v>300000</v>
      </c>
      <c r="G892" s="15">
        <v>-300000</v>
      </c>
    </row>
    <row r="893" spans="1:7" x14ac:dyDescent="0.25">
      <c r="A893" s="13">
        <v>46206</v>
      </c>
      <c r="B893" s="14" t="s">
        <v>1261</v>
      </c>
      <c r="C893" s="14" t="s">
        <v>134</v>
      </c>
      <c r="D893" s="14" t="s">
        <v>42</v>
      </c>
      <c r="E893" s="14" t="s">
        <v>9</v>
      </c>
      <c r="F893" s="15">
        <v>77420</v>
      </c>
      <c r="G893" s="15">
        <v>77420</v>
      </c>
    </row>
    <row r="894" spans="1:7" x14ac:dyDescent="0.25">
      <c r="A894" s="13">
        <v>46206</v>
      </c>
      <c r="B894" s="14" t="s">
        <v>1262</v>
      </c>
      <c r="C894" s="14" t="s">
        <v>134</v>
      </c>
      <c r="D894" s="14" t="s">
        <v>42</v>
      </c>
      <c r="E894" s="14" t="s">
        <v>9</v>
      </c>
      <c r="F894" s="15">
        <v>197225</v>
      </c>
      <c r="G894" s="15">
        <v>197225</v>
      </c>
    </row>
    <row r="895" spans="1:7" x14ac:dyDescent="0.25">
      <c r="A895" s="13">
        <v>46206</v>
      </c>
      <c r="B895" s="14" t="s">
        <v>1263</v>
      </c>
      <c r="C895" s="14" t="s">
        <v>208</v>
      </c>
      <c r="D895" s="14" t="s">
        <v>39</v>
      </c>
      <c r="E895" s="14" t="s">
        <v>9</v>
      </c>
      <c r="F895" s="15">
        <v>60900</v>
      </c>
      <c r="G895" s="15">
        <v>60900</v>
      </c>
    </row>
    <row r="896" spans="1:7" x14ac:dyDescent="0.25">
      <c r="A896" s="13">
        <v>46206</v>
      </c>
      <c r="B896" s="14" t="s">
        <v>1264</v>
      </c>
      <c r="C896" s="14" t="s">
        <v>194</v>
      </c>
      <c r="D896" s="14" t="s">
        <v>66</v>
      </c>
      <c r="E896" s="14" t="s">
        <v>9</v>
      </c>
      <c r="F896" s="15">
        <v>169752</v>
      </c>
      <c r="G896" s="15">
        <v>169752</v>
      </c>
    </row>
    <row r="897" spans="1:7" x14ac:dyDescent="0.25">
      <c r="A897" s="13">
        <v>46207</v>
      </c>
      <c r="B897" s="14" t="s">
        <v>1265</v>
      </c>
      <c r="C897" s="14" t="s">
        <v>19</v>
      </c>
      <c r="D897" s="14" t="s">
        <v>20</v>
      </c>
      <c r="E897" s="14" t="s">
        <v>9</v>
      </c>
      <c r="F897" s="15">
        <v>225000</v>
      </c>
      <c r="G897" s="15">
        <v>225000</v>
      </c>
    </row>
    <row r="898" spans="1:7" x14ac:dyDescent="0.25">
      <c r="A898" s="13">
        <v>46207</v>
      </c>
      <c r="B898" s="14" t="s">
        <v>1266</v>
      </c>
      <c r="C898" s="14" t="s">
        <v>76</v>
      </c>
      <c r="D898" s="14" t="s">
        <v>66</v>
      </c>
      <c r="E898" s="14" t="s">
        <v>9</v>
      </c>
      <c r="F898" s="15">
        <v>79648</v>
      </c>
      <c r="G898" s="15">
        <v>79648</v>
      </c>
    </row>
    <row r="899" spans="1:7" x14ac:dyDescent="0.25">
      <c r="A899" s="13">
        <v>46207</v>
      </c>
      <c r="B899" s="14" t="s">
        <v>1267</v>
      </c>
      <c r="C899" s="14" t="s">
        <v>276</v>
      </c>
      <c r="D899" s="14" t="s">
        <v>82</v>
      </c>
      <c r="E899" s="14" t="s">
        <v>9</v>
      </c>
      <c r="F899" s="15">
        <v>300000</v>
      </c>
      <c r="G899" s="15">
        <v>-300000</v>
      </c>
    </row>
    <row r="900" spans="1:7" x14ac:dyDescent="0.25">
      <c r="A900" s="13">
        <v>46207</v>
      </c>
      <c r="B900" s="14" t="s">
        <v>1268</v>
      </c>
      <c r="C900" s="14" t="s">
        <v>172</v>
      </c>
      <c r="D900" s="14" t="s">
        <v>20</v>
      </c>
      <c r="E900" s="14" t="s">
        <v>9</v>
      </c>
      <c r="F900" s="15">
        <v>67500</v>
      </c>
      <c r="G900" s="15">
        <v>67500</v>
      </c>
    </row>
    <row r="901" spans="1:7" x14ac:dyDescent="0.25">
      <c r="A901" s="13">
        <v>46207</v>
      </c>
      <c r="B901" s="14" t="s">
        <v>1269</v>
      </c>
      <c r="C901" s="14" t="s">
        <v>194</v>
      </c>
      <c r="D901" s="14" t="s">
        <v>66</v>
      </c>
      <c r="E901" s="14" t="s">
        <v>9</v>
      </c>
      <c r="F901" s="15">
        <v>169752</v>
      </c>
      <c r="G901" s="15">
        <v>169752</v>
      </c>
    </row>
    <row r="902" spans="1:7" x14ac:dyDescent="0.25">
      <c r="A902" s="13">
        <v>46207</v>
      </c>
      <c r="B902" s="14" t="s">
        <v>1270</v>
      </c>
      <c r="C902" s="14" t="s">
        <v>194</v>
      </c>
      <c r="D902" s="14" t="s">
        <v>66</v>
      </c>
      <c r="E902" s="14" t="s">
        <v>9</v>
      </c>
      <c r="F902" s="15">
        <v>57349</v>
      </c>
      <c r="G902" s="15">
        <v>57349</v>
      </c>
    </row>
    <row r="903" spans="1:7" x14ac:dyDescent="0.25">
      <c r="A903" s="13">
        <v>46208</v>
      </c>
      <c r="B903" s="14" t="s">
        <v>1271</v>
      </c>
      <c r="C903" s="14" t="s">
        <v>76</v>
      </c>
      <c r="D903" s="14" t="s">
        <v>66</v>
      </c>
      <c r="E903" s="14" t="s">
        <v>9</v>
      </c>
      <c r="F903" s="15">
        <v>78525</v>
      </c>
      <c r="G903" s="15">
        <v>78525</v>
      </c>
    </row>
    <row r="904" spans="1:7" x14ac:dyDescent="0.25">
      <c r="A904" s="13">
        <v>46208</v>
      </c>
      <c r="B904" s="14" t="s">
        <v>1272</v>
      </c>
      <c r="C904" s="14" t="s">
        <v>76</v>
      </c>
      <c r="D904" s="14" t="s">
        <v>66</v>
      </c>
      <c r="E904" s="14" t="s">
        <v>9</v>
      </c>
      <c r="F904" s="15">
        <v>77223.520000000004</v>
      </c>
      <c r="G904" s="15">
        <v>77223.520000000004</v>
      </c>
    </row>
    <row r="905" spans="1:7" x14ac:dyDescent="0.25">
      <c r="A905" s="13">
        <v>46208</v>
      </c>
      <c r="B905" s="14" t="s">
        <v>1273</v>
      </c>
      <c r="C905" s="14" t="s">
        <v>76</v>
      </c>
      <c r="D905" s="14" t="s">
        <v>66</v>
      </c>
      <c r="E905" s="14" t="s">
        <v>9</v>
      </c>
      <c r="F905" s="15">
        <v>75919.820000000007</v>
      </c>
      <c r="G905" s="15">
        <v>75919.820000000007</v>
      </c>
    </row>
    <row r="906" spans="1:7" x14ac:dyDescent="0.25">
      <c r="A906" s="13">
        <v>46208</v>
      </c>
      <c r="B906" s="14" t="s">
        <v>1274</v>
      </c>
      <c r="C906" s="14" t="s">
        <v>140</v>
      </c>
      <c r="D906" s="14" t="s">
        <v>463</v>
      </c>
      <c r="E906" s="14" t="s">
        <v>9</v>
      </c>
      <c r="F906" s="15">
        <v>71207</v>
      </c>
      <c r="G906" s="15">
        <v>71207</v>
      </c>
    </row>
    <row r="907" spans="1:7" x14ac:dyDescent="0.25">
      <c r="A907" s="13">
        <v>46208</v>
      </c>
      <c r="B907" s="14" t="s">
        <v>1275</v>
      </c>
      <c r="C907" s="14" t="s">
        <v>194</v>
      </c>
      <c r="D907" s="14" t="s">
        <v>66</v>
      </c>
      <c r="E907" s="14" t="s">
        <v>9</v>
      </c>
      <c r="F907" s="15">
        <v>198427</v>
      </c>
      <c r="G907" s="15">
        <v>198427</v>
      </c>
    </row>
    <row r="908" spans="1:7" x14ac:dyDescent="0.25">
      <c r="A908" s="13">
        <v>46208</v>
      </c>
      <c r="B908" s="14" t="s">
        <v>1276</v>
      </c>
      <c r="C908" s="14" t="s">
        <v>194</v>
      </c>
      <c r="D908" s="14" t="s">
        <v>66</v>
      </c>
      <c r="E908" s="14" t="s">
        <v>9</v>
      </c>
      <c r="F908" s="15">
        <v>169752</v>
      </c>
      <c r="G908" s="15">
        <v>169752</v>
      </c>
    </row>
    <row r="909" spans="1:7" x14ac:dyDescent="0.25">
      <c r="A909" s="13">
        <v>46209</v>
      </c>
      <c r="B909" s="14" t="s">
        <v>1277</v>
      </c>
      <c r="C909" s="14" t="s">
        <v>27</v>
      </c>
      <c r="D909" s="14" t="s">
        <v>42</v>
      </c>
      <c r="E909" s="14" t="s">
        <v>9</v>
      </c>
      <c r="F909" s="15">
        <v>134804</v>
      </c>
      <c r="G909" s="15">
        <v>134804</v>
      </c>
    </row>
    <row r="910" spans="1:7" x14ac:dyDescent="0.25">
      <c r="A910" s="13">
        <v>46209</v>
      </c>
      <c r="B910" s="14" t="s">
        <v>1278</v>
      </c>
      <c r="C910" s="14" t="s">
        <v>262</v>
      </c>
      <c r="D910" s="14" t="s">
        <v>42</v>
      </c>
      <c r="E910" s="14" t="s">
        <v>9</v>
      </c>
      <c r="F910" s="15">
        <v>10000</v>
      </c>
      <c r="G910" s="15">
        <v>-10000</v>
      </c>
    </row>
    <row r="911" spans="1:7" x14ac:dyDescent="0.25">
      <c r="A911" s="13">
        <v>46209</v>
      </c>
      <c r="B911" s="14" t="s">
        <v>1279</v>
      </c>
      <c r="C911" s="14" t="s">
        <v>76</v>
      </c>
      <c r="D911" s="14" t="s">
        <v>66</v>
      </c>
      <c r="E911" s="14" t="s">
        <v>9</v>
      </c>
      <c r="F911" s="15">
        <v>80798.14</v>
      </c>
      <c r="G911" s="15">
        <v>80798.14</v>
      </c>
    </row>
    <row r="912" spans="1:7" x14ac:dyDescent="0.25">
      <c r="A912" s="13">
        <v>46209</v>
      </c>
      <c r="B912" s="14" t="s">
        <v>1280</v>
      </c>
      <c r="C912" s="14" t="s">
        <v>76</v>
      </c>
      <c r="D912" s="14" t="s">
        <v>66</v>
      </c>
      <c r="E912" s="14" t="s">
        <v>9</v>
      </c>
      <c r="F912" s="15">
        <v>90868.15</v>
      </c>
      <c r="G912" s="15">
        <v>90868.15</v>
      </c>
    </row>
    <row r="913" spans="1:7" x14ac:dyDescent="0.25">
      <c r="A913" s="13">
        <v>46209</v>
      </c>
      <c r="B913" s="14" t="s">
        <v>1281</v>
      </c>
      <c r="C913" s="14" t="s">
        <v>163</v>
      </c>
      <c r="D913" s="14" t="s">
        <v>42</v>
      </c>
      <c r="E913" s="14" t="s">
        <v>9</v>
      </c>
      <c r="F913" s="15">
        <v>18269</v>
      </c>
      <c r="G913" s="15">
        <v>18269</v>
      </c>
    </row>
    <row r="914" spans="1:7" x14ac:dyDescent="0.25">
      <c r="A914" s="13">
        <v>46209</v>
      </c>
      <c r="B914" s="14" t="s">
        <v>1282</v>
      </c>
      <c r="C914" s="14" t="s">
        <v>174</v>
      </c>
      <c r="D914" s="14" t="s">
        <v>42</v>
      </c>
      <c r="E914" s="14" t="s">
        <v>9</v>
      </c>
      <c r="F914" s="15">
        <v>78116</v>
      </c>
      <c r="G914" s="15">
        <v>78116</v>
      </c>
    </row>
    <row r="915" spans="1:7" x14ac:dyDescent="0.25">
      <c r="A915" s="13">
        <v>46209</v>
      </c>
      <c r="B915" s="14" t="s">
        <v>1283</v>
      </c>
      <c r="C915" s="14" t="s">
        <v>194</v>
      </c>
      <c r="D915" s="14" t="s">
        <v>66</v>
      </c>
      <c r="E915" s="14" t="s">
        <v>9</v>
      </c>
      <c r="F915" s="15">
        <v>143372</v>
      </c>
      <c r="G915" s="15">
        <v>143372</v>
      </c>
    </row>
    <row r="916" spans="1:7" x14ac:dyDescent="0.25">
      <c r="A916" s="13">
        <v>46209</v>
      </c>
      <c r="B916" s="14" t="s">
        <v>1284</v>
      </c>
      <c r="C916" s="14" t="s">
        <v>237</v>
      </c>
      <c r="D916" s="14" t="s">
        <v>66</v>
      </c>
      <c r="E916" s="14" t="s">
        <v>9</v>
      </c>
      <c r="F916" s="15">
        <v>61657</v>
      </c>
      <c r="G916" s="15">
        <v>61657</v>
      </c>
    </row>
    <row r="917" spans="1:7" x14ac:dyDescent="0.25">
      <c r="A917" s="13">
        <v>46209</v>
      </c>
      <c r="B917" s="14" t="s">
        <v>1285</v>
      </c>
      <c r="C917" s="14" t="s">
        <v>237</v>
      </c>
      <c r="D917" s="14" t="s">
        <v>66</v>
      </c>
      <c r="E917" s="14" t="s">
        <v>9</v>
      </c>
      <c r="F917" s="15">
        <v>53460</v>
      </c>
      <c r="G917" s="15">
        <v>53460</v>
      </c>
    </row>
    <row r="918" spans="1:7" x14ac:dyDescent="0.25">
      <c r="A918" s="13">
        <v>46210</v>
      </c>
      <c r="B918" s="14" t="s">
        <v>1286</v>
      </c>
      <c r="C918" s="14" t="s">
        <v>276</v>
      </c>
      <c r="D918" s="14" t="s">
        <v>82</v>
      </c>
      <c r="E918" s="14" t="s">
        <v>9</v>
      </c>
      <c r="F918" s="15">
        <v>300000</v>
      </c>
      <c r="G918" s="15">
        <v>-300000</v>
      </c>
    </row>
    <row r="919" spans="1:7" x14ac:dyDescent="0.25">
      <c r="A919" s="13">
        <v>46210</v>
      </c>
      <c r="B919" s="14" t="s">
        <v>1287</v>
      </c>
      <c r="C919" s="14" t="s">
        <v>140</v>
      </c>
      <c r="D919" s="14" t="s">
        <v>463</v>
      </c>
      <c r="E919" s="14" t="s">
        <v>9</v>
      </c>
      <c r="F919" s="15">
        <v>71332</v>
      </c>
      <c r="G919" s="15">
        <v>71332</v>
      </c>
    </row>
    <row r="920" spans="1:7" x14ac:dyDescent="0.25">
      <c r="A920" s="13">
        <v>46210</v>
      </c>
      <c r="B920" s="14" t="s">
        <v>1288</v>
      </c>
      <c r="C920" s="14" t="s">
        <v>208</v>
      </c>
      <c r="D920" s="14" t="s">
        <v>39</v>
      </c>
      <c r="E920" s="14" t="s">
        <v>9</v>
      </c>
      <c r="F920" s="15">
        <v>60900</v>
      </c>
      <c r="G920" s="15">
        <v>60900</v>
      </c>
    </row>
    <row r="921" spans="1:7" x14ac:dyDescent="0.25">
      <c r="A921" s="13">
        <v>46210</v>
      </c>
      <c r="B921" s="14" t="s">
        <v>1289</v>
      </c>
      <c r="C921" s="14" t="s">
        <v>212</v>
      </c>
      <c r="D921" s="14" t="s">
        <v>42</v>
      </c>
      <c r="E921" s="14" t="s">
        <v>9</v>
      </c>
      <c r="F921" s="15">
        <v>149048</v>
      </c>
      <c r="G921" s="15">
        <v>149048</v>
      </c>
    </row>
    <row r="922" spans="1:7" x14ac:dyDescent="0.25">
      <c r="A922" s="13">
        <v>46210</v>
      </c>
      <c r="B922" s="14" t="s">
        <v>1290</v>
      </c>
      <c r="C922" s="14" t="s">
        <v>233</v>
      </c>
      <c r="D922" s="14" t="s">
        <v>731</v>
      </c>
      <c r="E922" s="14" t="s">
        <v>9</v>
      </c>
      <c r="F922" s="15">
        <v>892780</v>
      </c>
      <c r="G922" s="15">
        <v>892780</v>
      </c>
    </row>
    <row r="923" spans="1:7" x14ac:dyDescent="0.25">
      <c r="A923" s="13">
        <v>46211</v>
      </c>
      <c r="B923" s="14" t="s">
        <v>1291</v>
      </c>
      <c r="C923" s="14" t="s">
        <v>91</v>
      </c>
      <c r="D923" s="14" t="s">
        <v>79</v>
      </c>
      <c r="E923" s="14" t="s">
        <v>9</v>
      </c>
      <c r="F923" s="15">
        <v>500000</v>
      </c>
      <c r="G923" s="15">
        <v>-500000</v>
      </c>
    </row>
    <row r="924" spans="1:7" x14ac:dyDescent="0.25">
      <c r="A924" s="13">
        <v>46211</v>
      </c>
      <c r="B924" s="14" t="s">
        <v>1292</v>
      </c>
      <c r="C924" s="14" t="s">
        <v>91</v>
      </c>
      <c r="D924" s="14" t="s">
        <v>79</v>
      </c>
      <c r="E924" s="14" t="s">
        <v>9</v>
      </c>
      <c r="F924" s="15">
        <v>500000</v>
      </c>
      <c r="G924" s="15">
        <v>-500000</v>
      </c>
    </row>
    <row r="925" spans="1:7" x14ac:dyDescent="0.25">
      <c r="A925" s="13">
        <v>46211</v>
      </c>
      <c r="B925" s="14" t="s">
        <v>1293</v>
      </c>
      <c r="C925" s="14" t="s">
        <v>109</v>
      </c>
      <c r="D925" s="14" t="s">
        <v>82</v>
      </c>
      <c r="E925" s="14" t="s">
        <v>9</v>
      </c>
      <c r="F925" s="15">
        <v>2426338</v>
      </c>
      <c r="G925" s="15">
        <v>-2426338</v>
      </c>
    </row>
    <row r="926" spans="1:7" x14ac:dyDescent="0.25">
      <c r="A926" s="13">
        <v>46211</v>
      </c>
      <c r="B926" s="14" t="s">
        <v>1294</v>
      </c>
      <c r="C926" s="14" t="s">
        <v>130</v>
      </c>
      <c r="D926" s="14" t="s">
        <v>42</v>
      </c>
      <c r="E926" s="14" t="s">
        <v>9</v>
      </c>
      <c r="F926" s="15">
        <v>5850</v>
      </c>
      <c r="G926" s="15">
        <v>5850</v>
      </c>
    </row>
    <row r="927" spans="1:7" x14ac:dyDescent="0.25">
      <c r="A927" s="13">
        <v>46211</v>
      </c>
      <c r="B927" s="14" t="s">
        <v>1295</v>
      </c>
      <c r="C927" s="14" t="s">
        <v>212</v>
      </c>
      <c r="D927" s="14" t="s">
        <v>42</v>
      </c>
      <c r="E927" s="14" t="s">
        <v>9</v>
      </c>
      <c r="F927" s="15">
        <v>150660</v>
      </c>
      <c r="G927" s="15">
        <v>150660</v>
      </c>
    </row>
    <row r="928" spans="1:7" x14ac:dyDescent="0.25">
      <c r="A928" s="13">
        <v>46211</v>
      </c>
      <c r="B928" s="14" t="s">
        <v>1296</v>
      </c>
      <c r="C928" s="14" t="s">
        <v>194</v>
      </c>
      <c r="D928" s="14" t="s">
        <v>66</v>
      </c>
      <c r="E928" s="14" t="s">
        <v>9</v>
      </c>
      <c r="F928" s="15">
        <v>200721</v>
      </c>
      <c r="G928" s="15">
        <v>200721</v>
      </c>
    </row>
    <row r="929" spans="1:7" x14ac:dyDescent="0.25">
      <c r="A929" s="13">
        <v>46211</v>
      </c>
      <c r="B929" s="14" t="s">
        <v>1297</v>
      </c>
      <c r="C929" s="14" t="s">
        <v>194</v>
      </c>
      <c r="D929" s="14" t="s">
        <v>66</v>
      </c>
      <c r="E929" s="14" t="s">
        <v>9</v>
      </c>
      <c r="F929" s="15">
        <v>51614</v>
      </c>
      <c r="G929" s="15">
        <v>51614</v>
      </c>
    </row>
    <row r="930" spans="1:7" x14ac:dyDescent="0.25">
      <c r="A930" s="13">
        <v>46211</v>
      </c>
      <c r="B930" s="14" t="s">
        <v>1298</v>
      </c>
      <c r="C930" s="14" t="s">
        <v>194</v>
      </c>
      <c r="D930" s="14" t="s">
        <v>66</v>
      </c>
      <c r="E930" s="14" t="s">
        <v>9</v>
      </c>
      <c r="F930" s="15">
        <v>34409</v>
      </c>
      <c r="G930" s="15">
        <v>34409</v>
      </c>
    </row>
    <row r="931" spans="1:7" x14ac:dyDescent="0.25">
      <c r="A931" s="13">
        <v>46211</v>
      </c>
      <c r="B931" s="14" t="s">
        <v>1299</v>
      </c>
      <c r="C931" s="14" t="s">
        <v>194</v>
      </c>
      <c r="D931" s="14" t="s">
        <v>66</v>
      </c>
      <c r="E931" s="14" t="s">
        <v>9</v>
      </c>
      <c r="F931" s="15">
        <v>86023</v>
      </c>
      <c r="G931" s="15">
        <v>86023</v>
      </c>
    </row>
    <row r="932" spans="1:7" x14ac:dyDescent="0.25">
      <c r="A932" s="13">
        <v>46211</v>
      </c>
      <c r="B932" s="14" t="s">
        <v>1300</v>
      </c>
      <c r="C932" s="14" t="s">
        <v>194</v>
      </c>
      <c r="D932" s="14" t="s">
        <v>66</v>
      </c>
      <c r="E932" s="14" t="s">
        <v>9</v>
      </c>
      <c r="F932" s="15">
        <v>57349</v>
      </c>
      <c r="G932" s="15">
        <v>57349</v>
      </c>
    </row>
    <row r="933" spans="1:7" x14ac:dyDescent="0.25">
      <c r="A933" s="13">
        <v>46211</v>
      </c>
      <c r="B933" s="14" t="s">
        <v>1301</v>
      </c>
      <c r="C933" s="14" t="s">
        <v>237</v>
      </c>
      <c r="D933" s="14" t="s">
        <v>66</v>
      </c>
      <c r="E933" s="14" t="s">
        <v>9</v>
      </c>
      <c r="F933" s="15">
        <v>12375</v>
      </c>
      <c r="G933" s="15">
        <v>12375</v>
      </c>
    </row>
    <row r="934" spans="1:7" x14ac:dyDescent="0.25">
      <c r="A934" s="13">
        <v>46212</v>
      </c>
      <c r="B934" s="14" t="s">
        <v>1302</v>
      </c>
      <c r="C934" s="14" t="s">
        <v>76</v>
      </c>
      <c r="D934" s="14" t="s">
        <v>66</v>
      </c>
      <c r="E934" s="14" t="s">
        <v>9</v>
      </c>
      <c r="F934" s="15">
        <v>77589.11</v>
      </c>
      <c r="G934" s="15">
        <v>77589.11</v>
      </c>
    </row>
    <row r="935" spans="1:7" x14ac:dyDescent="0.25">
      <c r="A935" s="13">
        <v>46212</v>
      </c>
      <c r="B935" s="14" t="s">
        <v>1303</v>
      </c>
      <c r="C935" s="14" t="s">
        <v>76</v>
      </c>
      <c r="D935" s="14" t="s">
        <v>66</v>
      </c>
      <c r="E935" s="14" t="s">
        <v>9</v>
      </c>
      <c r="F935" s="15">
        <v>83041.94</v>
      </c>
      <c r="G935" s="15">
        <v>83041.94</v>
      </c>
    </row>
    <row r="936" spans="1:7" x14ac:dyDescent="0.25">
      <c r="A936" s="13">
        <v>46212</v>
      </c>
      <c r="B936" s="14" t="s">
        <v>1304</v>
      </c>
      <c r="C936" s="14" t="s">
        <v>76</v>
      </c>
      <c r="D936" s="14" t="s">
        <v>66</v>
      </c>
      <c r="E936" s="14" t="s">
        <v>9</v>
      </c>
      <c r="F936" s="15">
        <v>75919.820000000007</v>
      </c>
      <c r="G936" s="15">
        <v>75919.820000000007</v>
      </c>
    </row>
    <row r="937" spans="1:7" x14ac:dyDescent="0.25">
      <c r="A937" s="13">
        <v>46212</v>
      </c>
      <c r="B937" s="14" t="s">
        <v>1305</v>
      </c>
      <c r="C937" s="14" t="s">
        <v>91</v>
      </c>
      <c r="D937" s="14" t="s">
        <v>161</v>
      </c>
      <c r="E937" s="14" t="s">
        <v>9</v>
      </c>
      <c r="F937" s="15">
        <v>324000</v>
      </c>
      <c r="G937" s="15">
        <v>324000</v>
      </c>
    </row>
    <row r="938" spans="1:7" x14ac:dyDescent="0.25">
      <c r="A938" s="13">
        <v>46212</v>
      </c>
      <c r="B938" s="14" t="s">
        <v>1306</v>
      </c>
      <c r="C938" s="14" t="s">
        <v>109</v>
      </c>
      <c r="D938" s="14" t="s">
        <v>82</v>
      </c>
      <c r="E938" s="14" t="s">
        <v>9</v>
      </c>
      <c r="F938" s="15">
        <v>2400000</v>
      </c>
      <c r="G938" s="15">
        <v>2400000</v>
      </c>
    </row>
    <row r="939" spans="1:7" x14ac:dyDescent="0.25">
      <c r="A939" s="13">
        <v>46212</v>
      </c>
      <c r="B939" s="14" t="s">
        <v>1306</v>
      </c>
      <c r="C939" s="14" t="s">
        <v>276</v>
      </c>
      <c r="D939" s="14" t="s">
        <v>82</v>
      </c>
      <c r="E939" s="14" t="s">
        <v>9</v>
      </c>
      <c r="F939" s="15">
        <v>2400000</v>
      </c>
      <c r="G939" s="15">
        <v>-2400000</v>
      </c>
    </row>
    <row r="940" spans="1:7" x14ac:dyDescent="0.25">
      <c r="A940" s="13">
        <v>46212</v>
      </c>
      <c r="B940" s="14" t="s">
        <v>1307</v>
      </c>
      <c r="C940" s="14" t="s">
        <v>140</v>
      </c>
      <c r="D940" s="14" t="s">
        <v>463</v>
      </c>
      <c r="E940" s="14" t="s">
        <v>9</v>
      </c>
      <c r="F940" s="15">
        <v>83191</v>
      </c>
      <c r="G940" s="15">
        <v>83191</v>
      </c>
    </row>
    <row r="941" spans="1:7" x14ac:dyDescent="0.25">
      <c r="A941" s="13">
        <v>46212</v>
      </c>
      <c r="B941" s="14" t="s">
        <v>1308</v>
      </c>
      <c r="C941" s="14" t="s">
        <v>156</v>
      </c>
      <c r="D941" s="14" t="s">
        <v>42</v>
      </c>
      <c r="E941" s="14" t="s">
        <v>9</v>
      </c>
      <c r="F941" s="15">
        <v>189735.4</v>
      </c>
      <c r="G941" s="15">
        <v>189735.4</v>
      </c>
    </row>
    <row r="942" spans="1:7" x14ac:dyDescent="0.25">
      <c r="A942" s="13">
        <v>46212</v>
      </c>
      <c r="B942" s="14" t="s">
        <v>1309</v>
      </c>
      <c r="C942" s="14" t="s">
        <v>156</v>
      </c>
      <c r="D942" s="14" t="s">
        <v>42</v>
      </c>
      <c r="E942" s="14" t="s">
        <v>9</v>
      </c>
      <c r="F942" s="15">
        <v>289909.15000000002</v>
      </c>
      <c r="G942" s="15">
        <v>289909.15000000002</v>
      </c>
    </row>
    <row r="943" spans="1:7" x14ac:dyDescent="0.25">
      <c r="A943" s="13">
        <v>46212</v>
      </c>
      <c r="B943" s="14" t="s">
        <v>1310</v>
      </c>
      <c r="C943" s="14" t="s">
        <v>194</v>
      </c>
      <c r="D943" s="14" t="s">
        <v>66</v>
      </c>
      <c r="E943" s="14" t="s">
        <v>9</v>
      </c>
      <c r="F943" s="15">
        <v>197853</v>
      </c>
      <c r="G943" s="15">
        <v>197853</v>
      </c>
    </row>
    <row r="944" spans="1:7" x14ac:dyDescent="0.25">
      <c r="A944" s="13">
        <v>46212</v>
      </c>
      <c r="B944" s="14" t="s">
        <v>1311</v>
      </c>
      <c r="C944" s="14" t="s">
        <v>194</v>
      </c>
      <c r="D944" s="14" t="s">
        <v>66</v>
      </c>
      <c r="E944" s="14" t="s">
        <v>9</v>
      </c>
      <c r="F944" s="15">
        <v>169752</v>
      </c>
      <c r="G944" s="15">
        <v>169752</v>
      </c>
    </row>
    <row r="945" spans="1:7" x14ac:dyDescent="0.25">
      <c r="A945" s="13">
        <v>46213</v>
      </c>
      <c r="B945" s="14" t="s">
        <v>1312</v>
      </c>
      <c r="C945" s="14" t="s">
        <v>23</v>
      </c>
      <c r="D945" s="14" t="s">
        <v>42</v>
      </c>
      <c r="E945" s="14" t="s">
        <v>9</v>
      </c>
      <c r="F945" s="15">
        <v>24500</v>
      </c>
      <c r="G945" s="15">
        <v>24500</v>
      </c>
    </row>
    <row r="946" spans="1:7" x14ac:dyDescent="0.25">
      <c r="A946" s="13">
        <v>46213</v>
      </c>
      <c r="B946" s="14" t="s">
        <v>1313</v>
      </c>
      <c r="C946" s="14" t="s">
        <v>62</v>
      </c>
      <c r="D946" s="14" t="s">
        <v>731</v>
      </c>
      <c r="E946" s="14" t="s">
        <v>9</v>
      </c>
      <c r="F946" s="15">
        <v>0.01</v>
      </c>
      <c r="G946" s="15">
        <v>0.01</v>
      </c>
    </row>
    <row r="947" spans="1:7" x14ac:dyDescent="0.25">
      <c r="A947" s="13">
        <v>46213</v>
      </c>
      <c r="B947" s="14" t="s">
        <v>1314</v>
      </c>
      <c r="C947" s="14" t="s">
        <v>78</v>
      </c>
      <c r="D947" s="14" t="s">
        <v>79</v>
      </c>
      <c r="E947" s="14" t="s">
        <v>9</v>
      </c>
      <c r="F947" s="15">
        <v>21447</v>
      </c>
      <c r="G947" s="15">
        <v>-21447</v>
      </c>
    </row>
    <row r="948" spans="1:7" x14ac:dyDescent="0.25">
      <c r="A948" s="13">
        <v>46213</v>
      </c>
      <c r="B948" s="14" t="s">
        <v>1315</v>
      </c>
      <c r="C948" s="14" t="s">
        <v>78</v>
      </c>
      <c r="D948" s="14" t="s">
        <v>79</v>
      </c>
      <c r="E948" s="14" t="s">
        <v>9</v>
      </c>
      <c r="F948" s="15">
        <v>18995</v>
      </c>
      <c r="G948" s="15">
        <v>-18995</v>
      </c>
    </row>
    <row r="949" spans="1:7" x14ac:dyDescent="0.25">
      <c r="A949" s="13">
        <v>46213</v>
      </c>
      <c r="B949" s="14" t="s">
        <v>1316</v>
      </c>
      <c r="C949" s="14" t="s">
        <v>78</v>
      </c>
      <c r="D949" s="14" t="s">
        <v>79</v>
      </c>
      <c r="E949" s="14" t="s">
        <v>9</v>
      </c>
      <c r="F949" s="15">
        <v>21447</v>
      </c>
      <c r="G949" s="15">
        <v>21447</v>
      </c>
    </row>
    <row r="950" spans="1:7" x14ac:dyDescent="0.25">
      <c r="A950" s="13">
        <v>46213</v>
      </c>
      <c r="B950" s="14" t="s">
        <v>1317</v>
      </c>
      <c r="C950" s="14" t="s">
        <v>78</v>
      </c>
      <c r="D950" s="14" t="s">
        <v>79</v>
      </c>
      <c r="E950" s="14" t="s">
        <v>9</v>
      </c>
      <c r="F950" s="15">
        <v>18995</v>
      </c>
      <c r="G950" s="15">
        <v>18995</v>
      </c>
    </row>
    <row r="951" spans="1:7" x14ac:dyDescent="0.25">
      <c r="A951" s="13">
        <v>46213</v>
      </c>
      <c r="B951" s="14" t="s">
        <v>1318</v>
      </c>
      <c r="C951" s="14" t="s">
        <v>91</v>
      </c>
      <c r="D951" s="14" t="s">
        <v>222</v>
      </c>
      <c r="E951" s="14" t="s">
        <v>9</v>
      </c>
      <c r="F951" s="15">
        <v>361665</v>
      </c>
      <c r="G951" s="15">
        <v>361665</v>
      </c>
    </row>
    <row r="952" spans="1:7" x14ac:dyDescent="0.25">
      <c r="A952" s="13">
        <v>46213</v>
      </c>
      <c r="B952" s="14" t="s">
        <v>1319</v>
      </c>
      <c r="C952" s="14" t="s">
        <v>91</v>
      </c>
      <c r="D952" s="14" t="s">
        <v>79</v>
      </c>
      <c r="E952" s="14" t="s">
        <v>9</v>
      </c>
      <c r="F952" s="15">
        <v>260000</v>
      </c>
      <c r="G952" s="15">
        <v>-260000</v>
      </c>
    </row>
    <row r="953" spans="1:7" x14ac:dyDescent="0.25">
      <c r="A953" s="13">
        <v>46213</v>
      </c>
      <c r="B953" s="14" t="s">
        <v>1320</v>
      </c>
      <c r="C953" s="14" t="s">
        <v>91</v>
      </c>
      <c r="D953" s="14" t="s">
        <v>731</v>
      </c>
      <c r="E953" s="14" t="s">
        <v>9</v>
      </c>
      <c r="F953" s="15">
        <v>63908</v>
      </c>
      <c r="G953" s="15">
        <v>63908</v>
      </c>
    </row>
    <row r="954" spans="1:7" x14ac:dyDescent="0.25">
      <c r="A954" s="13">
        <v>46213</v>
      </c>
      <c r="B954" s="14" t="s">
        <v>1321</v>
      </c>
      <c r="C954" s="14" t="s">
        <v>91</v>
      </c>
      <c r="D954" s="14" t="s">
        <v>731</v>
      </c>
      <c r="E954" s="14" t="s">
        <v>9</v>
      </c>
      <c r="F954" s="15">
        <v>59343</v>
      </c>
      <c r="G954" s="15">
        <v>59343</v>
      </c>
    </row>
    <row r="955" spans="1:7" x14ac:dyDescent="0.25">
      <c r="A955" s="13">
        <v>46213</v>
      </c>
      <c r="B955" s="14" t="s">
        <v>1322</v>
      </c>
      <c r="C955" s="14" t="s">
        <v>91</v>
      </c>
      <c r="D955" s="14" t="s">
        <v>731</v>
      </c>
      <c r="E955" s="14" t="s">
        <v>9</v>
      </c>
      <c r="F955" s="15">
        <v>60803</v>
      </c>
      <c r="G955" s="15">
        <v>60803</v>
      </c>
    </row>
    <row r="956" spans="1:7" x14ac:dyDescent="0.25">
      <c r="A956" s="13">
        <v>46213</v>
      </c>
      <c r="B956" s="14" t="s">
        <v>1314</v>
      </c>
      <c r="C956" s="14" t="s">
        <v>91</v>
      </c>
      <c r="D956" s="14" t="s">
        <v>79</v>
      </c>
      <c r="E956" s="14" t="s">
        <v>9</v>
      </c>
      <c r="F956" s="15">
        <v>21447</v>
      </c>
      <c r="G956" s="15">
        <v>21447</v>
      </c>
    </row>
    <row r="957" spans="1:7" x14ac:dyDescent="0.25">
      <c r="A957" s="13">
        <v>46213</v>
      </c>
      <c r="B957" s="14" t="s">
        <v>1315</v>
      </c>
      <c r="C957" s="14" t="s">
        <v>91</v>
      </c>
      <c r="D957" s="14" t="s">
        <v>79</v>
      </c>
      <c r="E957" s="14" t="s">
        <v>9</v>
      </c>
      <c r="F957" s="15">
        <v>18995</v>
      </c>
      <c r="G957" s="15">
        <v>18995</v>
      </c>
    </row>
    <row r="958" spans="1:7" x14ac:dyDescent="0.25">
      <c r="A958" s="13">
        <v>46213</v>
      </c>
      <c r="B958" s="14" t="s">
        <v>1323</v>
      </c>
      <c r="C958" s="14" t="s">
        <v>91</v>
      </c>
      <c r="D958" s="14" t="s">
        <v>731</v>
      </c>
      <c r="E958" s="14" t="s">
        <v>9</v>
      </c>
      <c r="F958" s="15">
        <v>50257</v>
      </c>
      <c r="G958" s="15">
        <v>50257</v>
      </c>
    </row>
    <row r="959" spans="1:7" x14ac:dyDescent="0.25">
      <c r="A959" s="13">
        <v>46213</v>
      </c>
      <c r="B959" s="14" t="s">
        <v>1324</v>
      </c>
      <c r="C959" s="14" t="s">
        <v>91</v>
      </c>
      <c r="D959" s="14" t="s">
        <v>222</v>
      </c>
      <c r="E959" s="14" t="s">
        <v>9</v>
      </c>
      <c r="F959" s="15">
        <v>44803</v>
      </c>
      <c r="G959" s="15">
        <v>44803</v>
      </c>
    </row>
    <row r="960" spans="1:7" x14ac:dyDescent="0.25">
      <c r="A960" s="13">
        <v>46213</v>
      </c>
      <c r="B960" s="14" t="s">
        <v>1325</v>
      </c>
      <c r="C960" s="14" t="s">
        <v>91</v>
      </c>
      <c r="D960" s="14" t="s">
        <v>222</v>
      </c>
      <c r="E960" s="14" t="s">
        <v>9</v>
      </c>
      <c r="F960" s="15">
        <v>42553</v>
      </c>
      <c r="G960" s="15">
        <v>42553</v>
      </c>
    </row>
    <row r="961" spans="1:7" x14ac:dyDescent="0.25">
      <c r="A961" s="13">
        <v>46213</v>
      </c>
      <c r="B961" s="14" t="s">
        <v>1326</v>
      </c>
      <c r="C961" s="14" t="s">
        <v>91</v>
      </c>
      <c r="D961" s="14" t="s">
        <v>731</v>
      </c>
      <c r="E961" s="14" t="s">
        <v>9</v>
      </c>
      <c r="F961" s="15">
        <v>337500</v>
      </c>
      <c r="G961" s="15">
        <v>337500</v>
      </c>
    </row>
    <row r="962" spans="1:7" x14ac:dyDescent="0.25">
      <c r="A962" s="13">
        <v>46213</v>
      </c>
      <c r="B962" s="14" t="s">
        <v>1327</v>
      </c>
      <c r="C962" s="14" t="s">
        <v>91</v>
      </c>
      <c r="D962" s="14" t="s">
        <v>731</v>
      </c>
      <c r="E962" s="14" t="s">
        <v>9</v>
      </c>
      <c r="F962" s="15">
        <v>312417</v>
      </c>
      <c r="G962" s="15">
        <v>312417</v>
      </c>
    </row>
    <row r="963" spans="1:7" x14ac:dyDescent="0.25">
      <c r="A963" s="13">
        <v>46213</v>
      </c>
      <c r="B963" s="14" t="s">
        <v>1324</v>
      </c>
      <c r="C963" s="14" t="s">
        <v>272</v>
      </c>
      <c r="D963" s="14" t="s">
        <v>222</v>
      </c>
      <c r="E963" s="14" t="s">
        <v>9</v>
      </c>
      <c r="F963" s="15">
        <v>44803</v>
      </c>
      <c r="G963" s="15">
        <v>-44803</v>
      </c>
    </row>
    <row r="964" spans="1:7" x14ac:dyDescent="0.25">
      <c r="A964" s="13">
        <v>46213</v>
      </c>
      <c r="B964" s="14" t="s">
        <v>1325</v>
      </c>
      <c r="C964" s="14" t="s">
        <v>272</v>
      </c>
      <c r="D964" s="14" t="s">
        <v>222</v>
      </c>
      <c r="E964" s="14" t="s">
        <v>9</v>
      </c>
      <c r="F964" s="15">
        <v>42553</v>
      </c>
      <c r="G964" s="15">
        <v>-42553</v>
      </c>
    </row>
    <row r="965" spans="1:7" x14ac:dyDescent="0.25">
      <c r="A965" s="13">
        <v>46213</v>
      </c>
      <c r="B965" s="14" t="s">
        <v>1328</v>
      </c>
      <c r="C965" s="14" t="s">
        <v>272</v>
      </c>
      <c r="D965" s="14" t="s">
        <v>222</v>
      </c>
      <c r="E965" s="14" t="s">
        <v>9</v>
      </c>
      <c r="F965" s="15">
        <v>44803</v>
      </c>
      <c r="G965" s="15">
        <v>44803</v>
      </c>
    </row>
    <row r="966" spans="1:7" x14ac:dyDescent="0.25">
      <c r="A966" s="13">
        <v>46213</v>
      </c>
      <c r="B966" s="14" t="s">
        <v>1329</v>
      </c>
      <c r="C966" s="14" t="s">
        <v>272</v>
      </c>
      <c r="D966" s="14" t="s">
        <v>222</v>
      </c>
      <c r="E966" s="14" t="s">
        <v>9</v>
      </c>
      <c r="F966" s="15">
        <v>42553</v>
      </c>
      <c r="G966" s="15">
        <v>42553</v>
      </c>
    </row>
    <row r="967" spans="1:7" x14ac:dyDescent="0.25">
      <c r="A967" s="13">
        <v>46213</v>
      </c>
      <c r="B967" s="14" t="s">
        <v>1330</v>
      </c>
      <c r="C967" s="14" t="s">
        <v>103</v>
      </c>
      <c r="D967" s="14" t="s">
        <v>731</v>
      </c>
      <c r="E967" s="14" t="s">
        <v>9</v>
      </c>
      <c r="F967" s="15">
        <v>55606.66</v>
      </c>
      <c r="G967" s="15">
        <v>55606.66</v>
      </c>
    </row>
    <row r="968" spans="1:7" x14ac:dyDescent="0.25">
      <c r="A968" s="13">
        <v>46213</v>
      </c>
      <c r="B968" s="14" t="s">
        <v>1331</v>
      </c>
      <c r="C968" s="14" t="s">
        <v>103</v>
      </c>
      <c r="D968" s="14" t="s">
        <v>731</v>
      </c>
      <c r="E968" s="14" t="s">
        <v>9</v>
      </c>
      <c r="F968" s="15">
        <v>61480</v>
      </c>
      <c r="G968" s="15">
        <v>61480</v>
      </c>
    </row>
    <row r="969" spans="1:7" x14ac:dyDescent="0.25">
      <c r="A969" s="13">
        <v>46213</v>
      </c>
      <c r="B969" s="14" t="s">
        <v>1332</v>
      </c>
      <c r="C969" s="14" t="s">
        <v>103</v>
      </c>
      <c r="D969" s="14" t="s">
        <v>731</v>
      </c>
      <c r="E969" s="14" t="s">
        <v>9</v>
      </c>
      <c r="F969" s="15">
        <v>49880</v>
      </c>
      <c r="G969" s="15">
        <v>49880</v>
      </c>
    </row>
    <row r="970" spans="1:7" x14ac:dyDescent="0.25">
      <c r="A970" s="13">
        <v>46213</v>
      </c>
      <c r="B970" s="14" t="s">
        <v>1333</v>
      </c>
      <c r="C970" s="14" t="s">
        <v>273</v>
      </c>
      <c r="D970" s="14" t="s">
        <v>42</v>
      </c>
      <c r="E970" s="14" t="s">
        <v>9</v>
      </c>
      <c r="F970" s="15">
        <v>800000</v>
      </c>
      <c r="G970" s="15">
        <v>-800000</v>
      </c>
    </row>
    <row r="971" spans="1:7" x14ac:dyDescent="0.25">
      <c r="A971" s="13">
        <v>46213</v>
      </c>
      <c r="B971" s="14" t="s">
        <v>1322</v>
      </c>
      <c r="C971" s="14" t="s">
        <v>283</v>
      </c>
      <c r="D971" s="14" t="s">
        <v>731</v>
      </c>
      <c r="E971" s="14" t="s">
        <v>9</v>
      </c>
      <c r="F971" s="15">
        <v>60803</v>
      </c>
      <c r="G971" s="15">
        <v>-60803</v>
      </c>
    </row>
    <row r="972" spans="1:7" x14ac:dyDescent="0.25">
      <c r="A972" s="13">
        <v>46213</v>
      </c>
      <c r="B972" s="14" t="s">
        <v>1323</v>
      </c>
      <c r="C972" s="14" t="s">
        <v>283</v>
      </c>
      <c r="D972" s="14" t="s">
        <v>731</v>
      </c>
      <c r="E972" s="14" t="s">
        <v>9</v>
      </c>
      <c r="F972" s="15">
        <v>50257</v>
      </c>
      <c r="G972" s="15">
        <v>-50257</v>
      </c>
    </row>
    <row r="973" spans="1:7" x14ac:dyDescent="0.25">
      <c r="A973" s="13">
        <v>46213</v>
      </c>
      <c r="B973" s="14" t="s">
        <v>1334</v>
      </c>
      <c r="C973" s="14" t="s">
        <v>283</v>
      </c>
      <c r="D973" s="14" t="s">
        <v>731</v>
      </c>
      <c r="E973" s="14" t="s">
        <v>9</v>
      </c>
      <c r="F973" s="15">
        <v>60803</v>
      </c>
      <c r="G973" s="15">
        <v>-60803</v>
      </c>
    </row>
    <row r="974" spans="1:7" x14ac:dyDescent="0.25">
      <c r="A974" s="13">
        <v>46213</v>
      </c>
      <c r="B974" s="14" t="s">
        <v>1335</v>
      </c>
      <c r="C974" s="14" t="s">
        <v>283</v>
      </c>
      <c r="D974" s="14" t="s">
        <v>731</v>
      </c>
      <c r="E974" s="14" t="s">
        <v>9</v>
      </c>
      <c r="F974" s="15">
        <v>50257</v>
      </c>
      <c r="G974" s="15">
        <v>-50257</v>
      </c>
    </row>
    <row r="975" spans="1:7" x14ac:dyDescent="0.25">
      <c r="A975" s="13">
        <v>46213</v>
      </c>
      <c r="B975" s="14" t="s">
        <v>1336</v>
      </c>
      <c r="C975" s="14" t="s">
        <v>169</v>
      </c>
      <c r="D975" s="14" t="s">
        <v>731</v>
      </c>
      <c r="E975" s="14" t="s">
        <v>9</v>
      </c>
      <c r="F975" s="15">
        <v>209205.12</v>
      </c>
      <c r="G975" s="15">
        <v>209205.12</v>
      </c>
    </row>
    <row r="976" spans="1:7" x14ac:dyDescent="0.25">
      <c r="A976" s="13">
        <v>46213</v>
      </c>
      <c r="B976" s="14" t="s">
        <v>1337</v>
      </c>
      <c r="C976" s="14" t="s">
        <v>223</v>
      </c>
      <c r="D976" s="14" t="s">
        <v>731</v>
      </c>
      <c r="E976" s="14" t="s">
        <v>9</v>
      </c>
      <c r="F976" s="15">
        <v>149073</v>
      </c>
      <c r="G976" s="15">
        <v>149073</v>
      </c>
    </row>
    <row r="977" spans="1:7" x14ac:dyDescent="0.25">
      <c r="A977" s="13">
        <v>46213</v>
      </c>
      <c r="B977" s="14" t="s">
        <v>1338</v>
      </c>
      <c r="C977" s="14" t="s">
        <v>223</v>
      </c>
      <c r="D977" s="14" t="s">
        <v>731</v>
      </c>
      <c r="E977" s="14" t="s">
        <v>9</v>
      </c>
      <c r="F977" s="15">
        <v>404269</v>
      </c>
      <c r="G977" s="15">
        <v>404269</v>
      </c>
    </row>
    <row r="978" spans="1:7" x14ac:dyDescent="0.25">
      <c r="A978" s="13">
        <v>46213</v>
      </c>
      <c r="B978" s="14" t="s">
        <v>1339</v>
      </c>
      <c r="C978" s="14" t="s">
        <v>241</v>
      </c>
      <c r="D978" s="14" t="s">
        <v>42</v>
      </c>
      <c r="E978" s="14" t="s">
        <v>9</v>
      </c>
      <c r="F978" s="15">
        <v>200437.36</v>
      </c>
      <c r="G978" s="15">
        <v>200437.36</v>
      </c>
    </row>
    <row r="979" spans="1:7" x14ac:dyDescent="0.25">
      <c r="A979" s="13">
        <v>46213</v>
      </c>
      <c r="B979" s="14" t="s">
        <v>1340</v>
      </c>
      <c r="C979" s="14" t="s">
        <v>245</v>
      </c>
      <c r="D979" s="14" t="s">
        <v>731</v>
      </c>
      <c r="E979" s="14" t="s">
        <v>9</v>
      </c>
      <c r="F979" s="15">
        <v>32450</v>
      </c>
      <c r="G979" s="15">
        <v>32450</v>
      </c>
    </row>
    <row r="980" spans="1:7" x14ac:dyDescent="0.25">
      <c r="A980" s="13">
        <v>46213</v>
      </c>
      <c r="B980" s="14" t="s">
        <v>1341</v>
      </c>
      <c r="C980" s="14" t="s">
        <v>245</v>
      </c>
      <c r="D980" s="14" t="s">
        <v>731</v>
      </c>
      <c r="E980" s="14" t="s">
        <v>9</v>
      </c>
      <c r="F980" s="15">
        <v>32450</v>
      </c>
      <c r="G980" s="15">
        <v>32450</v>
      </c>
    </row>
    <row r="981" spans="1:7" x14ac:dyDescent="0.25">
      <c r="A981" s="13">
        <v>46214</v>
      </c>
      <c r="B981" s="14" t="s">
        <v>1342</v>
      </c>
      <c r="C981" s="14" t="s">
        <v>76</v>
      </c>
      <c r="D981" s="14" t="s">
        <v>66</v>
      </c>
      <c r="E981" s="14" t="s">
        <v>9</v>
      </c>
      <c r="F981" s="15">
        <v>76858.91</v>
      </c>
      <c r="G981" s="15">
        <v>76858.91</v>
      </c>
    </row>
    <row r="982" spans="1:7" x14ac:dyDescent="0.25">
      <c r="A982" s="13">
        <v>46214</v>
      </c>
      <c r="B982" s="14" t="s">
        <v>1343</v>
      </c>
      <c r="C982" s="14" t="s">
        <v>76</v>
      </c>
      <c r="D982" s="14" t="s">
        <v>66</v>
      </c>
      <c r="E982" s="14" t="s">
        <v>9</v>
      </c>
      <c r="F982" s="15">
        <v>75841.460000000006</v>
      </c>
      <c r="G982" s="15">
        <v>75841.460000000006</v>
      </c>
    </row>
    <row r="983" spans="1:7" x14ac:dyDescent="0.25">
      <c r="A983" s="13">
        <v>46214</v>
      </c>
      <c r="B983" s="14" t="s">
        <v>1344</v>
      </c>
      <c r="C983" s="14" t="s">
        <v>194</v>
      </c>
      <c r="D983" s="14" t="s">
        <v>66</v>
      </c>
      <c r="E983" s="14" t="s">
        <v>9</v>
      </c>
      <c r="F983" s="15">
        <v>198427</v>
      </c>
      <c r="G983" s="15">
        <v>198427</v>
      </c>
    </row>
    <row r="984" spans="1:7" x14ac:dyDescent="0.25">
      <c r="A984" s="13">
        <v>46214</v>
      </c>
      <c r="B984" s="14" t="s">
        <v>1345</v>
      </c>
      <c r="C984" s="14" t="s">
        <v>194</v>
      </c>
      <c r="D984" s="14" t="s">
        <v>66</v>
      </c>
      <c r="E984" s="14" t="s">
        <v>9</v>
      </c>
      <c r="F984" s="15">
        <v>114697</v>
      </c>
      <c r="G984" s="15">
        <v>114697</v>
      </c>
    </row>
    <row r="985" spans="1:7" x14ac:dyDescent="0.25">
      <c r="A985" s="13">
        <v>46214</v>
      </c>
      <c r="B985" s="14" t="s">
        <v>1346</v>
      </c>
      <c r="C985" s="14" t="s">
        <v>194</v>
      </c>
      <c r="D985" s="14" t="s">
        <v>66</v>
      </c>
      <c r="E985" s="14" t="s">
        <v>9</v>
      </c>
      <c r="F985" s="15">
        <v>57349</v>
      </c>
      <c r="G985" s="15">
        <v>57349</v>
      </c>
    </row>
    <row r="986" spans="1:7" x14ac:dyDescent="0.25">
      <c r="A986" s="13">
        <v>46214</v>
      </c>
      <c r="B986" s="14" t="s">
        <v>1347</v>
      </c>
      <c r="C986" s="14" t="s">
        <v>194</v>
      </c>
      <c r="D986" s="14" t="s">
        <v>66</v>
      </c>
      <c r="E986" s="14" t="s">
        <v>9</v>
      </c>
      <c r="F986" s="15">
        <v>170326</v>
      </c>
      <c r="G986" s="15">
        <v>170326</v>
      </c>
    </row>
    <row r="987" spans="1:7" x14ac:dyDescent="0.25">
      <c r="A987" s="13">
        <v>46214</v>
      </c>
      <c r="B987" s="14" t="s">
        <v>1348</v>
      </c>
      <c r="C987" s="14" t="s">
        <v>237</v>
      </c>
      <c r="D987" s="14" t="s">
        <v>66</v>
      </c>
      <c r="E987" s="14" t="s">
        <v>9</v>
      </c>
      <c r="F987" s="15">
        <v>61479</v>
      </c>
      <c r="G987" s="15">
        <v>61479</v>
      </c>
    </row>
    <row r="988" spans="1:7" x14ac:dyDescent="0.25">
      <c r="A988" s="13">
        <v>46215</v>
      </c>
      <c r="B988" s="14" t="s">
        <v>1349</v>
      </c>
      <c r="C988" s="14" t="s">
        <v>59</v>
      </c>
      <c r="D988" s="14" t="s">
        <v>39</v>
      </c>
      <c r="E988" s="14" t="s">
        <v>9</v>
      </c>
      <c r="F988" s="15">
        <v>58870</v>
      </c>
      <c r="G988" s="15">
        <v>58870</v>
      </c>
    </row>
    <row r="989" spans="1:7" x14ac:dyDescent="0.25">
      <c r="A989" s="13">
        <v>46215</v>
      </c>
      <c r="B989" s="14" t="s">
        <v>1350</v>
      </c>
      <c r="C989" s="14" t="s">
        <v>59</v>
      </c>
      <c r="D989" s="14" t="s">
        <v>39</v>
      </c>
      <c r="E989" s="14" t="s">
        <v>9</v>
      </c>
      <c r="F989" s="15">
        <v>58870</v>
      </c>
      <c r="G989" s="15">
        <v>58870</v>
      </c>
    </row>
    <row r="990" spans="1:7" x14ac:dyDescent="0.25">
      <c r="A990" s="13">
        <v>46215</v>
      </c>
      <c r="B990" s="14" t="s">
        <v>1351</v>
      </c>
      <c r="C990" s="14" t="s">
        <v>120</v>
      </c>
      <c r="D990" s="14" t="s">
        <v>731</v>
      </c>
      <c r="E990" s="14" t="s">
        <v>9</v>
      </c>
      <c r="F990" s="15">
        <v>6000</v>
      </c>
      <c r="G990" s="15">
        <v>6000</v>
      </c>
    </row>
    <row r="991" spans="1:7" x14ac:dyDescent="0.25">
      <c r="A991" s="13">
        <v>46215</v>
      </c>
      <c r="B991" s="14" t="s">
        <v>1352</v>
      </c>
      <c r="C991" s="14" t="s">
        <v>194</v>
      </c>
      <c r="D991" s="14" t="s">
        <v>66</v>
      </c>
      <c r="E991" s="14" t="s">
        <v>9</v>
      </c>
      <c r="F991" s="15">
        <v>57349</v>
      </c>
      <c r="G991" s="15">
        <v>57349</v>
      </c>
    </row>
    <row r="992" spans="1:7" x14ac:dyDescent="0.25">
      <c r="A992" s="13">
        <v>46216</v>
      </c>
      <c r="B992" s="14" t="s">
        <v>1353</v>
      </c>
      <c r="C992" s="14" t="s">
        <v>258</v>
      </c>
      <c r="D992" s="14" t="s">
        <v>451</v>
      </c>
      <c r="E992" s="14" t="s">
        <v>9</v>
      </c>
      <c r="F992" s="15">
        <v>15000</v>
      </c>
      <c r="G992" s="15">
        <v>-15000</v>
      </c>
    </row>
    <row r="993" spans="1:7" x14ac:dyDescent="0.25">
      <c r="A993" s="13">
        <v>46216</v>
      </c>
      <c r="B993" s="14" t="s">
        <v>1354</v>
      </c>
      <c r="C993" s="14" t="s">
        <v>76</v>
      </c>
      <c r="D993" s="14" t="s">
        <v>66</v>
      </c>
      <c r="E993" s="14" t="s">
        <v>9</v>
      </c>
      <c r="F993" s="15">
        <v>77354.09</v>
      </c>
      <c r="G993" s="15">
        <v>77354.09</v>
      </c>
    </row>
    <row r="994" spans="1:7" x14ac:dyDescent="0.25">
      <c r="A994" s="13">
        <v>46216</v>
      </c>
      <c r="B994" s="14" t="s">
        <v>1355</v>
      </c>
      <c r="C994" s="14" t="s">
        <v>76</v>
      </c>
      <c r="D994" s="14" t="s">
        <v>66</v>
      </c>
      <c r="E994" s="14" t="s">
        <v>9</v>
      </c>
      <c r="F994" s="15">
        <v>89798.48</v>
      </c>
      <c r="G994" s="15">
        <v>89798.48</v>
      </c>
    </row>
    <row r="995" spans="1:7" x14ac:dyDescent="0.25">
      <c r="A995" s="13">
        <v>46216</v>
      </c>
      <c r="B995" s="14" t="s">
        <v>1356</v>
      </c>
      <c r="C995" s="14" t="s">
        <v>76</v>
      </c>
      <c r="D995" s="14" t="s">
        <v>66</v>
      </c>
      <c r="E995" s="14" t="s">
        <v>9</v>
      </c>
      <c r="F995" s="15">
        <v>77850.25</v>
      </c>
      <c r="G995" s="15">
        <v>77850.25</v>
      </c>
    </row>
    <row r="996" spans="1:7" x14ac:dyDescent="0.25">
      <c r="A996" s="13">
        <v>46216</v>
      </c>
      <c r="B996" s="14" t="s">
        <v>1357</v>
      </c>
      <c r="C996" s="14" t="s">
        <v>140</v>
      </c>
      <c r="D996" s="14" t="s">
        <v>463</v>
      </c>
      <c r="E996" s="14" t="s">
        <v>9</v>
      </c>
      <c r="F996" s="15">
        <v>81407</v>
      </c>
      <c r="G996" s="15">
        <v>81407</v>
      </c>
    </row>
    <row r="997" spans="1:7" x14ac:dyDescent="0.25">
      <c r="A997" s="13">
        <v>46216</v>
      </c>
      <c r="B997" s="14" t="s">
        <v>1358</v>
      </c>
      <c r="C997" s="14" t="s">
        <v>194</v>
      </c>
      <c r="D997" s="14" t="s">
        <v>66</v>
      </c>
      <c r="E997" s="14" t="s">
        <v>9</v>
      </c>
      <c r="F997" s="15">
        <v>169752</v>
      </c>
      <c r="G997" s="15">
        <v>169752</v>
      </c>
    </row>
    <row r="998" spans="1:7" x14ac:dyDescent="0.25">
      <c r="A998" s="13">
        <v>46216</v>
      </c>
      <c r="B998" s="14" t="s">
        <v>1359</v>
      </c>
      <c r="C998" s="14" t="s">
        <v>194</v>
      </c>
      <c r="D998" s="14" t="s">
        <v>66</v>
      </c>
      <c r="E998" s="14" t="s">
        <v>9</v>
      </c>
      <c r="F998" s="15">
        <v>198427</v>
      </c>
      <c r="G998" s="15">
        <v>198427</v>
      </c>
    </row>
    <row r="999" spans="1:7" x14ac:dyDescent="0.25">
      <c r="A999" s="13">
        <v>46216</v>
      </c>
      <c r="B999" s="14" t="s">
        <v>1360</v>
      </c>
      <c r="C999" s="14" t="s">
        <v>237</v>
      </c>
      <c r="D999" s="14" t="s">
        <v>66</v>
      </c>
      <c r="E999" s="14" t="s">
        <v>9</v>
      </c>
      <c r="F999" s="15">
        <v>53460</v>
      </c>
      <c r="G999" s="15">
        <v>53460</v>
      </c>
    </row>
    <row r="1000" spans="1:7" x14ac:dyDescent="0.25">
      <c r="A1000" s="13">
        <v>46216</v>
      </c>
      <c r="B1000" s="14" t="s">
        <v>1361</v>
      </c>
      <c r="C1000" s="14" t="s">
        <v>237</v>
      </c>
      <c r="D1000" s="14" t="s">
        <v>66</v>
      </c>
      <c r="E1000" s="14" t="s">
        <v>9</v>
      </c>
      <c r="F1000" s="15">
        <v>53460</v>
      </c>
      <c r="G1000" s="15">
        <v>53460</v>
      </c>
    </row>
    <row r="1001" spans="1:7" x14ac:dyDescent="0.25">
      <c r="A1001" s="13">
        <v>46216</v>
      </c>
      <c r="B1001" s="14" t="s">
        <v>1362</v>
      </c>
      <c r="C1001" s="14" t="s">
        <v>237</v>
      </c>
      <c r="D1001" s="14" t="s">
        <v>66</v>
      </c>
      <c r="E1001" s="14" t="s">
        <v>9</v>
      </c>
      <c r="F1001" s="15">
        <v>61657</v>
      </c>
      <c r="G1001" s="15">
        <v>61657</v>
      </c>
    </row>
    <row r="1002" spans="1:7" x14ac:dyDescent="0.25">
      <c r="A1002" s="13">
        <v>46216</v>
      </c>
      <c r="B1002" s="14" t="s">
        <v>1363</v>
      </c>
      <c r="C1002" s="14" t="s">
        <v>238</v>
      </c>
      <c r="D1002" s="14" t="s">
        <v>66</v>
      </c>
      <c r="E1002" s="14" t="s">
        <v>9</v>
      </c>
      <c r="F1002" s="15">
        <v>1784225.28</v>
      </c>
      <c r="G1002" s="15">
        <v>1784225.28</v>
      </c>
    </row>
    <row r="1003" spans="1:7" x14ac:dyDescent="0.25">
      <c r="A1003" s="13">
        <v>46217</v>
      </c>
      <c r="B1003" s="14" t="s">
        <v>1364</v>
      </c>
      <c r="C1003" s="14" t="s">
        <v>32</v>
      </c>
      <c r="D1003" s="14" t="s">
        <v>33</v>
      </c>
      <c r="E1003" s="14" t="s">
        <v>9</v>
      </c>
      <c r="F1003" s="15">
        <v>39112.78</v>
      </c>
      <c r="G1003" s="15">
        <v>39112.78</v>
      </c>
    </row>
    <row r="1004" spans="1:7" x14ac:dyDescent="0.25">
      <c r="A1004" s="13">
        <v>46217</v>
      </c>
      <c r="B1004" s="14" t="s">
        <v>1365</v>
      </c>
      <c r="C1004" s="14" t="s">
        <v>32</v>
      </c>
      <c r="D1004" s="14" t="s">
        <v>33</v>
      </c>
      <c r="E1004" s="14" t="s">
        <v>9</v>
      </c>
      <c r="F1004" s="15">
        <v>84696</v>
      </c>
      <c r="G1004" s="15">
        <v>84696</v>
      </c>
    </row>
    <row r="1005" spans="1:7" x14ac:dyDescent="0.25">
      <c r="A1005" s="13">
        <v>46217</v>
      </c>
      <c r="B1005" s="14" t="s">
        <v>1366</v>
      </c>
      <c r="C1005" s="14" t="s">
        <v>32</v>
      </c>
      <c r="D1005" s="14" t="s">
        <v>33</v>
      </c>
      <c r="E1005" s="14" t="s">
        <v>9</v>
      </c>
      <c r="F1005" s="15">
        <v>58930.8</v>
      </c>
      <c r="G1005" s="15">
        <v>58930.8</v>
      </c>
    </row>
    <row r="1006" spans="1:7" x14ac:dyDescent="0.25">
      <c r="A1006" s="13">
        <v>46217</v>
      </c>
      <c r="B1006" s="14" t="s">
        <v>1367</v>
      </c>
      <c r="C1006" s="14" t="s">
        <v>32</v>
      </c>
      <c r="D1006" s="14" t="s">
        <v>33</v>
      </c>
      <c r="E1006" s="14" t="s">
        <v>9</v>
      </c>
      <c r="F1006" s="15">
        <v>56597.38</v>
      </c>
      <c r="G1006" s="15">
        <v>56597.38</v>
      </c>
    </row>
    <row r="1007" spans="1:7" x14ac:dyDescent="0.25">
      <c r="A1007" s="13">
        <v>46217</v>
      </c>
      <c r="B1007" s="14" t="s">
        <v>1368</v>
      </c>
      <c r="C1007" s="14" t="s">
        <v>32</v>
      </c>
      <c r="D1007" s="14" t="s">
        <v>33</v>
      </c>
      <c r="E1007" s="14" t="s">
        <v>9</v>
      </c>
      <c r="F1007" s="15">
        <v>55182.98</v>
      </c>
      <c r="G1007" s="15">
        <v>55182.98</v>
      </c>
    </row>
    <row r="1008" spans="1:7" x14ac:dyDescent="0.25">
      <c r="A1008" s="13">
        <v>46217</v>
      </c>
      <c r="B1008" s="14" t="s">
        <v>1369</v>
      </c>
      <c r="C1008" s="14" t="s">
        <v>32</v>
      </c>
      <c r="D1008" s="14" t="s">
        <v>33</v>
      </c>
      <c r="E1008" s="14" t="s">
        <v>9</v>
      </c>
      <c r="F1008" s="15">
        <v>52638.26</v>
      </c>
      <c r="G1008" s="15">
        <v>52638.26</v>
      </c>
    </row>
    <row r="1009" spans="1:7" x14ac:dyDescent="0.25">
      <c r="A1009" s="13">
        <v>46217</v>
      </c>
      <c r="B1009" s="14" t="s">
        <v>1370</v>
      </c>
      <c r="C1009" s="14" t="s">
        <v>32</v>
      </c>
      <c r="D1009" s="14" t="s">
        <v>33</v>
      </c>
      <c r="E1009" s="14" t="s">
        <v>9</v>
      </c>
      <c r="F1009" s="15">
        <v>57870.239999999998</v>
      </c>
      <c r="G1009" s="15">
        <v>57870.239999999998</v>
      </c>
    </row>
    <row r="1010" spans="1:7" x14ac:dyDescent="0.25">
      <c r="A1010" s="13">
        <v>46217</v>
      </c>
      <c r="B1010" s="14" t="s">
        <v>1371</v>
      </c>
      <c r="C1010" s="14" t="s">
        <v>32</v>
      </c>
      <c r="D1010" s="14" t="s">
        <v>33</v>
      </c>
      <c r="E1010" s="14" t="s">
        <v>9</v>
      </c>
      <c r="F1010" s="15">
        <v>47723.76</v>
      </c>
      <c r="G1010" s="15">
        <v>47723.76</v>
      </c>
    </row>
    <row r="1011" spans="1:7" x14ac:dyDescent="0.25">
      <c r="A1011" s="13">
        <v>46217</v>
      </c>
      <c r="B1011" s="14" t="s">
        <v>1372</v>
      </c>
      <c r="C1011" s="14" t="s">
        <v>32</v>
      </c>
      <c r="D1011" s="14" t="s">
        <v>33</v>
      </c>
      <c r="E1011" s="14" t="s">
        <v>9</v>
      </c>
      <c r="F1011" s="15">
        <v>54918.59</v>
      </c>
      <c r="G1011" s="15">
        <v>54918.59</v>
      </c>
    </row>
    <row r="1012" spans="1:7" x14ac:dyDescent="0.25">
      <c r="A1012" s="13">
        <v>46217</v>
      </c>
      <c r="B1012" s="14" t="s">
        <v>1373</v>
      </c>
      <c r="C1012" s="14" t="s">
        <v>32</v>
      </c>
      <c r="D1012" s="14" t="s">
        <v>33</v>
      </c>
      <c r="E1012" s="14" t="s">
        <v>9</v>
      </c>
      <c r="F1012" s="15">
        <v>57410.239999999998</v>
      </c>
      <c r="G1012" s="15">
        <v>57410.239999999998</v>
      </c>
    </row>
    <row r="1013" spans="1:7" x14ac:dyDescent="0.25">
      <c r="A1013" s="13">
        <v>46217</v>
      </c>
      <c r="B1013" s="14" t="s">
        <v>1374</v>
      </c>
      <c r="C1013" s="14" t="s">
        <v>32</v>
      </c>
      <c r="D1013" s="14" t="s">
        <v>33</v>
      </c>
      <c r="E1013" s="14" t="s">
        <v>9</v>
      </c>
      <c r="F1013" s="15">
        <v>55236.07</v>
      </c>
      <c r="G1013" s="15">
        <v>55236.07</v>
      </c>
    </row>
    <row r="1014" spans="1:7" x14ac:dyDescent="0.25">
      <c r="A1014" s="13">
        <v>46217</v>
      </c>
      <c r="B1014" s="14" t="s">
        <v>1375</v>
      </c>
      <c r="C1014" s="14" t="s">
        <v>32</v>
      </c>
      <c r="D1014" s="14" t="s">
        <v>33</v>
      </c>
      <c r="E1014" s="14" t="s">
        <v>9</v>
      </c>
      <c r="F1014" s="15">
        <v>57764.1</v>
      </c>
      <c r="G1014" s="15">
        <v>57764.1</v>
      </c>
    </row>
    <row r="1015" spans="1:7" x14ac:dyDescent="0.25">
      <c r="A1015" s="13">
        <v>46217</v>
      </c>
      <c r="B1015" s="14" t="s">
        <v>1376</v>
      </c>
      <c r="C1015" s="14" t="s">
        <v>32</v>
      </c>
      <c r="D1015" s="14" t="s">
        <v>33</v>
      </c>
      <c r="E1015" s="14" t="s">
        <v>9</v>
      </c>
      <c r="F1015" s="15">
        <v>56968.93</v>
      </c>
      <c r="G1015" s="15">
        <v>56968.93</v>
      </c>
    </row>
    <row r="1016" spans="1:7" x14ac:dyDescent="0.25">
      <c r="A1016" s="13">
        <v>46217</v>
      </c>
      <c r="B1016" s="14" t="s">
        <v>1377</v>
      </c>
      <c r="C1016" s="14" t="s">
        <v>32</v>
      </c>
      <c r="D1016" s="14" t="s">
        <v>33</v>
      </c>
      <c r="E1016" s="14" t="s">
        <v>9</v>
      </c>
      <c r="F1016" s="15">
        <v>53557.279999999999</v>
      </c>
      <c r="G1016" s="15">
        <v>53557.279999999999</v>
      </c>
    </row>
    <row r="1017" spans="1:7" x14ac:dyDescent="0.25">
      <c r="A1017" s="13">
        <v>46217</v>
      </c>
      <c r="B1017" s="14" t="s">
        <v>1378</v>
      </c>
      <c r="C1017" s="14" t="s">
        <v>32</v>
      </c>
      <c r="D1017" s="14" t="s">
        <v>33</v>
      </c>
      <c r="E1017" s="14" t="s">
        <v>9</v>
      </c>
      <c r="F1017" s="15">
        <v>50940.78</v>
      </c>
      <c r="G1017" s="15">
        <v>50940.78</v>
      </c>
    </row>
    <row r="1018" spans="1:7" x14ac:dyDescent="0.25">
      <c r="A1018" s="13">
        <v>46217</v>
      </c>
      <c r="B1018" s="14" t="s">
        <v>1379</v>
      </c>
      <c r="C1018" s="14" t="s">
        <v>32</v>
      </c>
      <c r="D1018" s="14" t="s">
        <v>33</v>
      </c>
      <c r="E1018" s="14" t="s">
        <v>9</v>
      </c>
      <c r="F1018" s="15">
        <v>59725.95</v>
      </c>
      <c r="G1018" s="15">
        <v>59725.95</v>
      </c>
    </row>
    <row r="1019" spans="1:7" x14ac:dyDescent="0.25">
      <c r="A1019" s="13">
        <v>46217</v>
      </c>
      <c r="B1019" s="14" t="s">
        <v>1380</v>
      </c>
      <c r="C1019" s="14" t="s">
        <v>32</v>
      </c>
      <c r="D1019" s="14" t="s">
        <v>33</v>
      </c>
      <c r="E1019" s="14" t="s">
        <v>9</v>
      </c>
      <c r="F1019" s="15">
        <v>59672.88</v>
      </c>
      <c r="G1019" s="15">
        <v>59672.88</v>
      </c>
    </row>
    <row r="1020" spans="1:7" x14ac:dyDescent="0.25">
      <c r="A1020" s="13">
        <v>46217</v>
      </c>
      <c r="B1020" s="14" t="s">
        <v>1381</v>
      </c>
      <c r="C1020" s="14" t="s">
        <v>32</v>
      </c>
      <c r="D1020" s="14" t="s">
        <v>33</v>
      </c>
      <c r="E1020" s="14" t="s">
        <v>9</v>
      </c>
      <c r="F1020" s="15">
        <v>59143.1</v>
      </c>
      <c r="G1020" s="15">
        <v>59143.1</v>
      </c>
    </row>
    <row r="1021" spans="1:7" x14ac:dyDescent="0.25">
      <c r="A1021" s="13">
        <v>46217</v>
      </c>
      <c r="B1021" s="14" t="s">
        <v>1382</v>
      </c>
      <c r="C1021" s="14" t="s">
        <v>32</v>
      </c>
      <c r="D1021" s="14" t="s">
        <v>33</v>
      </c>
      <c r="E1021" s="14" t="s">
        <v>9</v>
      </c>
      <c r="F1021" s="15">
        <v>46451.9</v>
      </c>
      <c r="G1021" s="15">
        <v>46451.9</v>
      </c>
    </row>
    <row r="1022" spans="1:7" x14ac:dyDescent="0.25">
      <c r="A1022" s="13">
        <v>46217</v>
      </c>
      <c r="B1022" s="14" t="s">
        <v>1383</v>
      </c>
      <c r="C1022" s="14" t="s">
        <v>32</v>
      </c>
      <c r="D1022" s="14" t="s">
        <v>33</v>
      </c>
      <c r="E1022" s="14" t="s">
        <v>9</v>
      </c>
      <c r="F1022" s="15">
        <v>58135.63</v>
      </c>
      <c r="G1022" s="15">
        <v>58135.63</v>
      </c>
    </row>
    <row r="1023" spans="1:7" x14ac:dyDescent="0.25">
      <c r="A1023" s="13">
        <v>46217</v>
      </c>
      <c r="B1023" s="14" t="s">
        <v>1384</v>
      </c>
      <c r="C1023" s="14" t="s">
        <v>76</v>
      </c>
      <c r="D1023" s="14" t="s">
        <v>66</v>
      </c>
      <c r="E1023" s="14" t="s">
        <v>9</v>
      </c>
      <c r="F1023" s="15">
        <v>90320.75</v>
      </c>
      <c r="G1023" s="15">
        <v>90320.75</v>
      </c>
    </row>
    <row r="1024" spans="1:7" x14ac:dyDescent="0.25">
      <c r="A1024" s="13">
        <v>46217</v>
      </c>
      <c r="B1024" s="14" t="s">
        <v>1385</v>
      </c>
      <c r="C1024" s="14" t="s">
        <v>194</v>
      </c>
      <c r="D1024" s="14" t="s">
        <v>66</v>
      </c>
      <c r="E1024" s="14" t="s">
        <v>9</v>
      </c>
      <c r="F1024" s="15">
        <v>172046</v>
      </c>
      <c r="G1024" s="15">
        <v>172046</v>
      </c>
    </row>
    <row r="1025" spans="1:7" x14ac:dyDescent="0.25">
      <c r="A1025" s="13">
        <v>46217</v>
      </c>
      <c r="B1025" s="14" t="s">
        <v>1386</v>
      </c>
      <c r="C1025" s="14" t="s">
        <v>194</v>
      </c>
      <c r="D1025" s="14" t="s">
        <v>66</v>
      </c>
      <c r="E1025" s="14" t="s">
        <v>9</v>
      </c>
      <c r="F1025" s="15">
        <v>57349</v>
      </c>
      <c r="G1025" s="15">
        <v>57349</v>
      </c>
    </row>
    <row r="1026" spans="1:7" x14ac:dyDescent="0.25">
      <c r="A1026" s="13">
        <v>46217</v>
      </c>
      <c r="B1026" s="14" t="s">
        <v>1387</v>
      </c>
      <c r="C1026" s="14" t="s">
        <v>194</v>
      </c>
      <c r="D1026" s="14" t="s">
        <v>66</v>
      </c>
      <c r="E1026" s="14" t="s">
        <v>9</v>
      </c>
      <c r="F1026" s="15">
        <v>57349</v>
      </c>
      <c r="G1026" s="15">
        <v>57349</v>
      </c>
    </row>
    <row r="1027" spans="1:7" x14ac:dyDescent="0.25">
      <c r="A1027" s="13">
        <v>46217</v>
      </c>
      <c r="B1027" s="14" t="s">
        <v>1388</v>
      </c>
      <c r="C1027" s="14" t="s">
        <v>194</v>
      </c>
      <c r="D1027" s="14" t="s">
        <v>66</v>
      </c>
      <c r="E1027" s="14" t="s">
        <v>9</v>
      </c>
      <c r="F1027" s="15">
        <v>197853</v>
      </c>
      <c r="G1027" s="15">
        <v>197853</v>
      </c>
    </row>
    <row r="1028" spans="1:7" x14ac:dyDescent="0.25">
      <c r="A1028" s="13">
        <v>46217</v>
      </c>
      <c r="B1028" s="14" t="s">
        <v>1389</v>
      </c>
      <c r="C1028" s="14" t="s">
        <v>237</v>
      </c>
      <c r="D1028" s="14" t="s">
        <v>66</v>
      </c>
      <c r="E1028" s="14" t="s">
        <v>9</v>
      </c>
      <c r="F1028" s="15">
        <v>53460</v>
      </c>
      <c r="G1028" s="15">
        <v>53460</v>
      </c>
    </row>
    <row r="1029" spans="1:7" x14ac:dyDescent="0.25">
      <c r="A1029" s="13">
        <v>46218</v>
      </c>
      <c r="B1029" s="14" t="s">
        <v>1390</v>
      </c>
      <c r="C1029" s="14" t="s">
        <v>76</v>
      </c>
      <c r="D1029" s="14" t="s">
        <v>66</v>
      </c>
      <c r="E1029" s="14" t="s">
        <v>9</v>
      </c>
      <c r="F1029" s="15">
        <v>75945.929999999993</v>
      </c>
      <c r="G1029" s="15">
        <v>75945.929999999993</v>
      </c>
    </row>
    <row r="1030" spans="1:7" x14ac:dyDescent="0.25">
      <c r="A1030" s="13">
        <v>46218</v>
      </c>
      <c r="B1030" s="14" t="s">
        <v>1391</v>
      </c>
      <c r="C1030" s="14" t="s">
        <v>76</v>
      </c>
      <c r="D1030" s="14" t="s">
        <v>66</v>
      </c>
      <c r="E1030" s="14" t="s">
        <v>9</v>
      </c>
      <c r="F1030" s="15">
        <v>89224.97</v>
      </c>
      <c r="G1030" s="15">
        <v>89224.97</v>
      </c>
    </row>
    <row r="1031" spans="1:7" x14ac:dyDescent="0.25">
      <c r="A1031" s="13">
        <v>46218</v>
      </c>
      <c r="B1031" s="14" t="s">
        <v>1392</v>
      </c>
      <c r="C1031" s="14" t="s">
        <v>76</v>
      </c>
      <c r="D1031" s="14" t="s">
        <v>66</v>
      </c>
      <c r="E1031" s="14" t="s">
        <v>9</v>
      </c>
      <c r="F1031" s="15">
        <v>77798.03</v>
      </c>
      <c r="G1031" s="15">
        <v>77798.03</v>
      </c>
    </row>
    <row r="1032" spans="1:7" x14ac:dyDescent="0.25">
      <c r="A1032" s="13">
        <v>46218</v>
      </c>
      <c r="B1032" s="14" t="s">
        <v>1393</v>
      </c>
      <c r="C1032" s="14" t="s">
        <v>76</v>
      </c>
      <c r="D1032" s="14" t="s">
        <v>66</v>
      </c>
      <c r="E1032" s="14" t="s">
        <v>9</v>
      </c>
      <c r="F1032" s="15">
        <v>88129.17</v>
      </c>
      <c r="G1032" s="15">
        <v>88129.17</v>
      </c>
    </row>
    <row r="1033" spans="1:7" x14ac:dyDescent="0.25">
      <c r="A1033" s="13">
        <v>46218</v>
      </c>
      <c r="B1033" s="14" t="s">
        <v>1394</v>
      </c>
      <c r="C1033" s="14" t="s">
        <v>102</v>
      </c>
      <c r="D1033" s="14" t="s">
        <v>463</v>
      </c>
      <c r="E1033" s="14" t="s">
        <v>9</v>
      </c>
      <c r="F1033" s="15">
        <v>12056</v>
      </c>
      <c r="G1033" s="15">
        <v>12056</v>
      </c>
    </row>
    <row r="1034" spans="1:7" x14ac:dyDescent="0.25">
      <c r="A1034" s="13">
        <v>46218</v>
      </c>
      <c r="B1034" s="14" t="s">
        <v>485</v>
      </c>
      <c r="C1034" s="14" t="s">
        <v>167</v>
      </c>
      <c r="D1034" s="14" t="s">
        <v>42</v>
      </c>
      <c r="E1034" s="14" t="s">
        <v>9</v>
      </c>
      <c r="F1034" s="15">
        <v>100000</v>
      </c>
      <c r="G1034" s="15">
        <v>100000</v>
      </c>
    </row>
    <row r="1035" spans="1:7" x14ac:dyDescent="0.25">
      <c r="A1035" s="13">
        <v>46218</v>
      </c>
      <c r="B1035" s="14" t="s">
        <v>1395</v>
      </c>
      <c r="C1035" s="14" t="s">
        <v>304</v>
      </c>
      <c r="D1035" s="14" t="s">
        <v>20</v>
      </c>
      <c r="E1035" s="14" t="s">
        <v>9</v>
      </c>
      <c r="F1035" s="15">
        <v>5200</v>
      </c>
      <c r="G1035" s="15">
        <v>-5200</v>
      </c>
    </row>
    <row r="1036" spans="1:7" x14ac:dyDescent="0.25">
      <c r="A1036" s="13">
        <v>46218</v>
      </c>
      <c r="B1036" s="14" t="s">
        <v>1396</v>
      </c>
      <c r="C1036" s="14" t="s">
        <v>194</v>
      </c>
      <c r="D1036" s="14" t="s">
        <v>66</v>
      </c>
      <c r="E1036" s="14" t="s">
        <v>9</v>
      </c>
      <c r="F1036" s="15">
        <v>169752</v>
      </c>
      <c r="G1036" s="15">
        <v>169752</v>
      </c>
    </row>
    <row r="1037" spans="1:7" x14ac:dyDescent="0.25">
      <c r="A1037" s="13">
        <v>46218</v>
      </c>
      <c r="B1037" s="14" t="s">
        <v>1397</v>
      </c>
      <c r="C1037" s="14" t="s">
        <v>218</v>
      </c>
      <c r="D1037" s="14" t="s">
        <v>42</v>
      </c>
      <c r="E1037" s="14" t="s">
        <v>9</v>
      </c>
      <c r="F1037" s="15">
        <v>52650</v>
      </c>
      <c r="G1037" s="15">
        <v>52650</v>
      </c>
    </row>
    <row r="1038" spans="1:7" x14ac:dyDescent="0.25">
      <c r="A1038" s="13">
        <v>46218</v>
      </c>
      <c r="B1038" s="14" t="s">
        <v>1398</v>
      </c>
      <c r="C1038" s="14" t="s">
        <v>221</v>
      </c>
      <c r="D1038" s="14" t="s">
        <v>222</v>
      </c>
      <c r="E1038" s="14" t="s">
        <v>9</v>
      </c>
      <c r="F1038" s="15">
        <v>195700</v>
      </c>
      <c r="G1038" s="15">
        <v>-195700</v>
      </c>
    </row>
    <row r="1039" spans="1:7" x14ac:dyDescent="0.25">
      <c r="A1039" s="13">
        <v>46218</v>
      </c>
      <c r="B1039" s="14" t="s">
        <v>1399</v>
      </c>
      <c r="C1039" s="14" t="s">
        <v>221</v>
      </c>
      <c r="D1039" s="14" t="s">
        <v>222</v>
      </c>
      <c r="E1039" s="14" t="s">
        <v>9</v>
      </c>
      <c r="F1039" s="15">
        <v>179200</v>
      </c>
      <c r="G1039" s="15">
        <v>-179200</v>
      </c>
    </row>
    <row r="1040" spans="1:7" x14ac:dyDescent="0.25">
      <c r="A1040" s="13">
        <v>46218</v>
      </c>
      <c r="B1040" s="14" t="s">
        <v>1400</v>
      </c>
      <c r="C1040" s="14" t="s">
        <v>237</v>
      </c>
      <c r="D1040" s="14" t="s">
        <v>66</v>
      </c>
      <c r="E1040" s="14" t="s">
        <v>9</v>
      </c>
      <c r="F1040" s="15">
        <v>12375</v>
      </c>
      <c r="G1040" s="15">
        <v>12375</v>
      </c>
    </row>
    <row r="1041" spans="1:7" x14ac:dyDescent="0.25">
      <c r="A1041" s="13">
        <v>46218</v>
      </c>
      <c r="B1041" s="14" t="s">
        <v>1401</v>
      </c>
      <c r="C1041" s="14" t="s">
        <v>237</v>
      </c>
      <c r="D1041" s="14" t="s">
        <v>66</v>
      </c>
      <c r="E1041" s="14" t="s">
        <v>9</v>
      </c>
      <c r="F1041" s="15">
        <v>61479</v>
      </c>
      <c r="G1041" s="15">
        <v>61479</v>
      </c>
    </row>
    <row r="1042" spans="1:7" x14ac:dyDescent="0.25">
      <c r="A1042" s="13">
        <v>46218</v>
      </c>
      <c r="B1042" s="14" t="s">
        <v>1402</v>
      </c>
      <c r="C1042" s="14" t="s">
        <v>312</v>
      </c>
      <c r="D1042" s="14" t="s">
        <v>20</v>
      </c>
      <c r="E1042" s="14" t="s">
        <v>9</v>
      </c>
      <c r="F1042" s="15">
        <v>5200</v>
      </c>
      <c r="G1042" s="15">
        <v>-5200</v>
      </c>
    </row>
    <row r="1043" spans="1:7" x14ac:dyDescent="0.25">
      <c r="A1043" s="13">
        <v>46219</v>
      </c>
      <c r="B1043" s="14" t="s">
        <v>1403</v>
      </c>
      <c r="C1043" s="14" t="s">
        <v>64</v>
      </c>
      <c r="D1043" s="14" t="s">
        <v>42</v>
      </c>
      <c r="E1043" s="14" t="s">
        <v>9</v>
      </c>
      <c r="F1043" s="15">
        <v>152876.4</v>
      </c>
      <c r="G1043" s="15">
        <v>152876.4</v>
      </c>
    </row>
    <row r="1044" spans="1:7" x14ac:dyDescent="0.25">
      <c r="A1044" s="13">
        <v>46219</v>
      </c>
      <c r="B1044" s="14" t="s">
        <v>1404</v>
      </c>
      <c r="C1044" s="14" t="s">
        <v>76</v>
      </c>
      <c r="D1044" s="14" t="s">
        <v>66</v>
      </c>
      <c r="E1044" s="14" t="s">
        <v>9</v>
      </c>
      <c r="F1044" s="15">
        <v>76832.800000000003</v>
      </c>
      <c r="G1044" s="15">
        <v>76832.800000000003</v>
      </c>
    </row>
    <row r="1045" spans="1:7" x14ac:dyDescent="0.25">
      <c r="A1045" s="13">
        <v>46219</v>
      </c>
      <c r="B1045" s="14" t="s">
        <v>1405</v>
      </c>
      <c r="C1045" s="14" t="s">
        <v>76</v>
      </c>
      <c r="D1045" s="14" t="s">
        <v>66</v>
      </c>
      <c r="E1045" s="14" t="s">
        <v>9</v>
      </c>
      <c r="F1045" s="15">
        <v>76885.02</v>
      </c>
      <c r="G1045" s="15">
        <v>76885.02</v>
      </c>
    </row>
    <row r="1046" spans="1:7" x14ac:dyDescent="0.25">
      <c r="A1046" s="13">
        <v>46219</v>
      </c>
      <c r="B1046" s="14" t="s">
        <v>1406</v>
      </c>
      <c r="C1046" s="14" t="s">
        <v>180</v>
      </c>
      <c r="D1046" s="14" t="s">
        <v>66</v>
      </c>
      <c r="E1046" s="14" t="s">
        <v>9</v>
      </c>
      <c r="F1046" s="15">
        <v>76258.2</v>
      </c>
      <c r="G1046" s="15">
        <v>76258.2</v>
      </c>
    </row>
    <row r="1047" spans="1:7" x14ac:dyDescent="0.25">
      <c r="A1047" s="13">
        <v>46219</v>
      </c>
      <c r="B1047" s="14" t="s">
        <v>1407</v>
      </c>
      <c r="C1047" s="14" t="s">
        <v>212</v>
      </c>
      <c r="D1047" s="14" t="s">
        <v>42</v>
      </c>
      <c r="E1047" s="14" t="s">
        <v>9</v>
      </c>
      <c r="F1047" s="15">
        <v>70432</v>
      </c>
      <c r="G1047" s="15">
        <v>70432</v>
      </c>
    </row>
    <row r="1048" spans="1:7" x14ac:dyDescent="0.25">
      <c r="A1048" s="13">
        <v>46219</v>
      </c>
      <c r="B1048" s="14" t="s">
        <v>1408</v>
      </c>
      <c r="C1048" s="14" t="s">
        <v>194</v>
      </c>
      <c r="D1048" s="14" t="s">
        <v>66</v>
      </c>
      <c r="E1048" s="14" t="s">
        <v>9</v>
      </c>
      <c r="F1048" s="15">
        <v>199860.01</v>
      </c>
      <c r="G1048" s="15">
        <v>199860.01</v>
      </c>
    </row>
    <row r="1049" spans="1:7" x14ac:dyDescent="0.25">
      <c r="A1049" s="13">
        <v>46219</v>
      </c>
      <c r="B1049" s="14" t="s">
        <v>1409</v>
      </c>
      <c r="C1049" s="14" t="s">
        <v>194</v>
      </c>
      <c r="D1049" s="14" t="s">
        <v>66</v>
      </c>
      <c r="E1049" s="14" t="s">
        <v>9</v>
      </c>
      <c r="F1049" s="15">
        <v>197853</v>
      </c>
      <c r="G1049" s="15">
        <v>197853</v>
      </c>
    </row>
    <row r="1050" spans="1:7" x14ac:dyDescent="0.25">
      <c r="A1050" s="13">
        <v>46219</v>
      </c>
      <c r="B1050" s="14" t="s">
        <v>1410</v>
      </c>
      <c r="C1050" s="14" t="s">
        <v>194</v>
      </c>
      <c r="D1050" s="14" t="s">
        <v>66</v>
      </c>
      <c r="E1050" s="14" t="s">
        <v>9</v>
      </c>
      <c r="F1050" s="15">
        <v>197853</v>
      </c>
      <c r="G1050" s="15">
        <v>197853</v>
      </c>
    </row>
    <row r="1051" spans="1:7" x14ac:dyDescent="0.25">
      <c r="A1051" s="13">
        <v>46219</v>
      </c>
      <c r="B1051" s="14" t="s">
        <v>1411</v>
      </c>
      <c r="C1051" s="14" t="s">
        <v>237</v>
      </c>
      <c r="D1051" s="14" t="s">
        <v>66</v>
      </c>
      <c r="E1051" s="14" t="s">
        <v>9</v>
      </c>
      <c r="F1051" s="15">
        <v>53460</v>
      </c>
      <c r="G1051" s="15">
        <v>53460</v>
      </c>
    </row>
    <row r="1052" spans="1:7" x14ac:dyDescent="0.25">
      <c r="A1052" s="13">
        <v>46219</v>
      </c>
      <c r="B1052" s="14" t="s">
        <v>1412</v>
      </c>
      <c r="C1052" s="14" t="s">
        <v>236</v>
      </c>
      <c r="D1052" s="14" t="s">
        <v>451</v>
      </c>
      <c r="E1052" s="14" t="s">
        <v>9</v>
      </c>
      <c r="F1052" s="15">
        <v>84552.4</v>
      </c>
      <c r="G1052" s="15">
        <v>84552.4</v>
      </c>
    </row>
    <row r="1053" spans="1:7" x14ac:dyDescent="0.25">
      <c r="A1053" s="13">
        <v>46220</v>
      </c>
      <c r="B1053" s="14" t="s">
        <v>1413</v>
      </c>
      <c r="C1053" s="14" t="s">
        <v>76</v>
      </c>
      <c r="D1053" s="14" t="s">
        <v>66</v>
      </c>
      <c r="E1053" s="14" t="s">
        <v>9</v>
      </c>
      <c r="F1053" s="15">
        <v>76467.22</v>
      </c>
      <c r="G1053" s="15">
        <v>76467.22</v>
      </c>
    </row>
    <row r="1054" spans="1:7" x14ac:dyDescent="0.25">
      <c r="A1054" s="13">
        <v>46220</v>
      </c>
      <c r="B1054" s="14" t="s">
        <v>1414</v>
      </c>
      <c r="C1054" s="14" t="s">
        <v>76</v>
      </c>
      <c r="D1054" s="14" t="s">
        <v>66</v>
      </c>
      <c r="E1054" s="14" t="s">
        <v>9</v>
      </c>
      <c r="F1054" s="15">
        <v>77354.09</v>
      </c>
      <c r="G1054" s="15">
        <v>77354.09</v>
      </c>
    </row>
    <row r="1055" spans="1:7" x14ac:dyDescent="0.25">
      <c r="A1055" s="13">
        <v>46220</v>
      </c>
      <c r="B1055" s="14" t="s">
        <v>1415</v>
      </c>
      <c r="C1055" s="14" t="s">
        <v>280</v>
      </c>
      <c r="D1055" s="14" t="s">
        <v>33</v>
      </c>
      <c r="E1055" s="14" t="s">
        <v>9</v>
      </c>
      <c r="F1055" s="15">
        <v>0.68</v>
      </c>
      <c r="G1055" s="15">
        <v>-0.68</v>
      </c>
    </row>
    <row r="1056" spans="1:7" x14ac:dyDescent="0.25">
      <c r="A1056" s="13">
        <v>46220</v>
      </c>
      <c r="B1056" s="14" t="s">
        <v>1416</v>
      </c>
      <c r="C1056" s="14" t="s">
        <v>140</v>
      </c>
      <c r="D1056" s="14" t="s">
        <v>463</v>
      </c>
      <c r="E1056" s="14" t="s">
        <v>9</v>
      </c>
      <c r="F1056" s="15">
        <v>31460</v>
      </c>
      <c r="G1056" s="15">
        <v>31460</v>
      </c>
    </row>
    <row r="1057" spans="1:7" x14ac:dyDescent="0.25">
      <c r="A1057" s="13">
        <v>46220</v>
      </c>
      <c r="B1057" s="14" t="s">
        <v>1417</v>
      </c>
      <c r="C1057" s="14" t="s">
        <v>140</v>
      </c>
      <c r="D1057" s="14" t="s">
        <v>463</v>
      </c>
      <c r="E1057" s="14" t="s">
        <v>9</v>
      </c>
      <c r="F1057" s="15">
        <v>48519</v>
      </c>
      <c r="G1057" s="15">
        <v>48519</v>
      </c>
    </row>
    <row r="1058" spans="1:7" x14ac:dyDescent="0.25">
      <c r="A1058" s="13">
        <v>46220</v>
      </c>
      <c r="B1058" s="14" t="s">
        <v>1418</v>
      </c>
      <c r="C1058" s="14" t="s">
        <v>194</v>
      </c>
      <c r="D1058" s="14" t="s">
        <v>66</v>
      </c>
      <c r="E1058" s="14" t="s">
        <v>9</v>
      </c>
      <c r="F1058" s="15">
        <v>169752</v>
      </c>
      <c r="G1058" s="15">
        <v>169752</v>
      </c>
    </row>
    <row r="1059" spans="1:7" x14ac:dyDescent="0.25">
      <c r="A1059" s="13">
        <v>46220</v>
      </c>
      <c r="B1059" s="14" t="s">
        <v>1419</v>
      </c>
      <c r="C1059" s="14" t="s">
        <v>194</v>
      </c>
      <c r="D1059" s="14" t="s">
        <v>66</v>
      </c>
      <c r="E1059" s="14" t="s">
        <v>9</v>
      </c>
      <c r="F1059" s="15">
        <v>169752</v>
      </c>
      <c r="G1059" s="15">
        <v>169752</v>
      </c>
    </row>
    <row r="1060" spans="1:7" x14ac:dyDescent="0.25">
      <c r="A1060" s="13">
        <v>46220</v>
      </c>
      <c r="B1060" s="14" t="s">
        <v>1420</v>
      </c>
      <c r="C1060" s="14" t="s">
        <v>250</v>
      </c>
      <c r="D1060" s="14" t="s">
        <v>451</v>
      </c>
      <c r="E1060" s="14" t="s">
        <v>9</v>
      </c>
      <c r="F1060" s="15">
        <v>19600</v>
      </c>
      <c r="G1060" s="15">
        <v>19600</v>
      </c>
    </row>
    <row r="1061" spans="1:7" x14ac:dyDescent="0.25">
      <c r="A1061" s="13">
        <v>46220</v>
      </c>
      <c r="B1061" s="14" t="s">
        <v>1421</v>
      </c>
      <c r="C1061" s="14" t="s">
        <v>250</v>
      </c>
      <c r="D1061" s="14" t="s">
        <v>451</v>
      </c>
      <c r="E1061" s="14" t="s">
        <v>9</v>
      </c>
      <c r="F1061" s="15">
        <v>86730</v>
      </c>
      <c r="G1061" s="15">
        <v>86730</v>
      </c>
    </row>
    <row r="1062" spans="1:7" x14ac:dyDescent="0.25">
      <c r="A1062" s="13">
        <v>46220</v>
      </c>
      <c r="B1062" s="14" t="s">
        <v>1422</v>
      </c>
      <c r="C1062" s="14" t="s">
        <v>250</v>
      </c>
      <c r="D1062" s="14" t="s">
        <v>451</v>
      </c>
      <c r="E1062" s="14" t="s">
        <v>9</v>
      </c>
      <c r="F1062" s="15">
        <v>112945</v>
      </c>
      <c r="G1062" s="15">
        <v>112945</v>
      </c>
    </row>
    <row r="1063" spans="1:7" x14ac:dyDescent="0.25">
      <c r="A1063" s="13">
        <v>46221</v>
      </c>
      <c r="B1063" s="14" t="s">
        <v>1423</v>
      </c>
      <c r="C1063" s="14" t="s">
        <v>32</v>
      </c>
      <c r="D1063" s="14" t="s">
        <v>33</v>
      </c>
      <c r="E1063" s="14" t="s">
        <v>9</v>
      </c>
      <c r="F1063" s="15">
        <v>57233.32</v>
      </c>
      <c r="G1063" s="15">
        <v>57233.32</v>
      </c>
    </row>
    <row r="1064" spans="1:7" x14ac:dyDescent="0.25">
      <c r="A1064" s="13">
        <v>46221</v>
      </c>
      <c r="B1064" s="14" t="s">
        <v>1424</v>
      </c>
      <c r="C1064" s="14" t="s">
        <v>32</v>
      </c>
      <c r="D1064" s="14" t="s">
        <v>33</v>
      </c>
      <c r="E1064" s="14" t="s">
        <v>9</v>
      </c>
      <c r="F1064" s="15">
        <v>48272.21</v>
      </c>
      <c r="G1064" s="15">
        <v>48272.21</v>
      </c>
    </row>
    <row r="1065" spans="1:7" x14ac:dyDescent="0.25">
      <c r="A1065" s="13">
        <v>46221</v>
      </c>
      <c r="B1065" s="14" t="s">
        <v>1425</v>
      </c>
      <c r="C1065" s="14" t="s">
        <v>32</v>
      </c>
      <c r="D1065" s="14" t="s">
        <v>33</v>
      </c>
      <c r="E1065" s="14" t="s">
        <v>9</v>
      </c>
      <c r="F1065" s="15">
        <v>69830.559999999998</v>
      </c>
      <c r="G1065" s="15">
        <v>69830.559999999998</v>
      </c>
    </row>
    <row r="1066" spans="1:7" x14ac:dyDescent="0.25">
      <c r="A1066" s="13">
        <v>46221</v>
      </c>
      <c r="B1066" s="14" t="s">
        <v>1426</v>
      </c>
      <c r="C1066" s="14" t="s">
        <v>32</v>
      </c>
      <c r="D1066" s="14" t="s">
        <v>33</v>
      </c>
      <c r="E1066" s="14" t="s">
        <v>9</v>
      </c>
      <c r="F1066" s="15">
        <v>73207.97</v>
      </c>
      <c r="G1066" s="15">
        <v>73207.97</v>
      </c>
    </row>
    <row r="1067" spans="1:7" x14ac:dyDescent="0.25">
      <c r="A1067" s="13">
        <v>46221</v>
      </c>
      <c r="B1067" s="14" t="s">
        <v>1427</v>
      </c>
      <c r="C1067" s="14" t="s">
        <v>36</v>
      </c>
      <c r="D1067" s="14" t="s">
        <v>33</v>
      </c>
      <c r="E1067" s="14" t="s">
        <v>9</v>
      </c>
      <c r="F1067" s="15">
        <v>113890.88</v>
      </c>
      <c r="G1067" s="15">
        <v>113890.88</v>
      </c>
    </row>
    <row r="1068" spans="1:7" x14ac:dyDescent="0.25">
      <c r="A1068" s="13">
        <v>46221</v>
      </c>
      <c r="B1068" s="14" t="s">
        <v>1428</v>
      </c>
      <c r="C1068" s="14" t="s">
        <v>76</v>
      </c>
      <c r="D1068" s="14" t="s">
        <v>66</v>
      </c>
      <c r="E1068" s="14" t="s">
        <v>9</v>
      </c>
      <c r="F1068" s="15">
        <v>76545.55</v>
      </c>
      <c r="G1068" s="15">
        <v>76545.55</v>
      </c>
    </row>
    <row r="1069" spans="1:7" x14ac:dyDescent="0.25">
      <c r="A1069" s="13">
        <v>46221</v>
      </c>
      <c r="B1069" s="14" t="s">
        <v>1429</v>
      </c>
      <c r="C1069" s="14" t="s">
        <v>76</v>
      </c>
      <c r="D1069" s="14" t="s">
        <v>66</v>
      </c>
      <c r="E1069" s="14" t="s">
        <v>9</v>
      </c>
      <c r="F1069" s="15">
        <v>76623.899999999994</v>
      </c>
      <c r="G1069" s="15">
        <v>76623.899999999994</v>
      </c>
    </row>
    <row r="1070" spans="1:7" x14ac:dyDescent="0.25">
      <c r="A1070" s="13">
        <v>46221</v>
      </c>
      <c r="B1070" s="14" t="s">
        <v>1430</v>
      </c>
      <c r="C1070" s="14" t="s">
        <v>270</v>
      </c>
      <c r="D1070" s="14" t="s">
        <v>82</v>
      </c>
      <c r="E1070" s="14" t="s">
        <v>9</v>
      </c>
      <c r="F1070" s="15">
        <v>2000000</v>
      </c>
      <c r="G1070" s="15">
        <v>-2000000</v>
      </c>
    </row>
    <row r="1071" spans="1:7" x14ac:dyDescent="0.25">
      <c r="A1071" s="13">
        <v>46221</v>
      </c>
      <c r="B1071" s="14" t="s">
        <v>1431</v>
      </c>
      <c r="C1071" s="14" t="s">
        <v>128</v>
      </c>
      <c r="D1071" s="14" t="s">
        <v>463</v>
      </c>
      <c r="E1071" s="14" t="s">
        <v>9</v>
      </c>
      <c r="F1071" s="15">
        <v>493687.66</v>
      </c>
      <c r="G1071" s="15">
        <v>493687.66</v>
      </c>
    </row>
    <row r="1072" spans="1:7" x14ac:dyDescent="0.25">
      <c r="A1072" s="13">
        <v>46221</v>
      </c>
      <c r="B1072" s="14" t="s">
        <v>1432</v>
      </c>
      <c r="C1072" s="14" t="s">
        <v>140</v>
      </c>
      <c r="D1072" s="14" t="s">
        <v>463</v>
      </c>
      <c r="E1072" s="14" t="s">
        <v>9</v>
      </c>
      <c r="F1072" s="15">
        <v>70101</v>
      </c>
      <c r="G1072" s="15">
        <v>70101</v>
      </c>
    </row>
    <row r="1073" spans="1:7" x14ac:dyDescent="0.25">
      <c r="A1073" s="13">
        <v>46221</v>
      </c>
      <c r="B1073" s="14" t="s">
        <v>1433</v>
      </c>
      <c r="C1073" s="14" t="s">
        <v>180</v>
      </c>
      <c r="D1073" s="14" t="s">
        <v>66</v>
      </c>
      <c r="E1073" s="14" t="s">
        <v>9</v>
      </c>
      <c r="F1073" s="15">
        <v>76038</v>
      </c>
      <c r="G1073" s="15">
        <v>76038</v>
      </c>
    </row>
    <row r="1074" spans="1:7" x14ac:dyDescent="0.25">
      <c r="A1074" s="13">
        <v>46221</v>
      </c>
      <c r="B1074" s="14" t="s">
        <v>1434</v>
      </c>
      <c r="C1074" s="14" t="s">
        <v>180</v>
      </c>
      <c r="D1074" s="14" t="s">
        <v>66</v>
      </c>
      <c r="E1074" s="14" t="s">
        <v>9</v>
      </c>
      <c r="F1074" s="15">
        <v>76809.7</v>
      </c>
      <c r="G1074" s="15">
        <v>76809.7</v>
      </c>
    </row>
    <row r="1075" spans="1:7" x14ac:dyDescent="0.25">
      <c r="A1075" s="13">
        <v>46221</v>
      </c>
      <c r="B1075" s="14" t="s">
        <v>1435</v>
      </c>
      <c r="C1075" s="14" t="s">
        <v>180</v>
      </c>
      <c r="D1075" s="14" t="s">
        <v>66</v>
      </c>
      <c r="E1075" s="14" t="s">
        <v>9</v>
      </c>
      <c r="F1075" s="15">
        <v>76038</v>
      </c>
      <c r="G1075" s="15">
        <v>76038</v>
      </c>
    </row>
    <row r="1076" spans="1:7" x14ac:dyDescent="0.25">
      <c r="A1076" s="13">
        <v>46221</v>
      </c>
      <c r="B1076" s="14" t="s">
        <v>1436</v>
      </c>
      <c r="C1076" s="14" t="s">
        <v>205</v>
      </c>
      <c r="D1076" s="14" t="s">
        <v>154</v>
      </c>
      <c r="E1076" s="14" t="s">
        <v>9</v>
      </c>
      <c r="F1076" s="15">
        <v>65170</v>
      </c>
      <c r="G1076" s="15">
        <v>65170</v>
      </c>
    </row>
    <row r="1077" spans="1:7" x14ac:dyDescent="0.25">
      <c r="A1077" s="13">
        <v>46221</v>
      </c>
      <c r="B1077" s="14" t="s">
        <v>1437</v>
      </c>
      <c r="C1077" s="14" t="s">
        <v>194</v>
      </c>
      <c r="D1077" s="14" t="s">
        <v>66</v>
      </c>
      <c r="E1077" s="14" t="s">
        <v>9</v>
      </c>
      <c r="F1077" s="15">
        <v>143372</v>
      </c>
      <c r="G1077" s="15">
        <v>143372</v>
      </c>
    </row>
    <row r="1078" spans="1:7" x14ac:dyDescent="0.25">
      <c r="A1078" s="13">
        <v>46221</v>
      </c>
      <c r="B1078" s="14" t="s">
        <v>1438</v>
      </c>
      <c r="C1078" s="14" t="s">
        <v>198</v>
      </c>
      <c r="D1078" s="14" t="s">
        <v>731</v>
      </c>
      <c r="E1078" s="14" t="s">
        <v>9</v>
      </c>
      <c r="F1078" s="15">
        <v>74487.600000000006</v>
      </c>
      <c r="G1078" s="15">
        <v>74487.600000000006</v>
      </c>
    </row>
    <row r="1079" spans="1:7" x14ac:dyDescent="0.25">
      <c r="A1079" s="13">
        <v>46221</v>
      </c>
      <c r="B1079" s="14" t="s">
        <v>1439</v>
      </c>
      <c r="C1079" s="14" t="s">
        <v>198</v>
      </c>
      <c r="D1079" s="14" t="s">
        <v>731</v>
      </c>
      <c r="E1079" s="14" t="s">
        <v>9</v>
      </c>
      <c r="F1079" s="15">
        <v>62073</v>
      </c>
      <c r="G1079" s="15">
        <v>62073</v>
      </c>
    </row>
    <row r="1080" spans="1:7" x14ac:dyDescent="0.25">
      <c r="A1080" s="13">
        <v>46221</v>
      </c>
      <c r="B1080" s="14" t="s">
        <v>1440</v>
      </c>
      <c r="C1080" s="14" t="s">
        <v>237</v>
      </c>
      <c r="D1080" s="14" t="s">
        <v>66</v>
      </c>
      <c r="E1080" s="14" t="s">
        <v>9</v>
      </c>
      <c r="F1080" s="15">
        <v>53460</v>
      </c>
      <c r="G1080" s="15">
        <v>53460</v>
      </c>
    </row>
    <row r="1081" spans="1:7" x14ac:dyDescent="0.25">
      <c r="A1081" s="13">
        <v>46221</v>
      </c>
      <c r="B1081" s="14" t="s">
        <v>1441</v>
      </c>
      <c r="C1081" s="14" t="s">
        <v>237</v>
      </c>
      <c r="D1081" s="14" t="s">
        <v>66</v>
      </c>
      <c r="E1081" s="14" t="s">
        <v>9</v>
      </c>
      <c r="F1081" s="15">
        <v>53460</v>
      </c>
      <c r="G1081" s="15">
        <v>53460</v>
      </c>
    </row>
    <row r="1082" spans="1:7" x14ac:dyDescent="0.25">
      <c r="A1082" s="13">
        <v>46222</v>
      </c>
      <c r="B1082" s="14" t="s">
        <v>1442</v>
      </c>
      <c r="C1082" s="14" t="s">
        <v>237</v>
      </c>
      <c r="D1082" s="14" t="s">
        <v>66</v>
      </c>
      <c r="E1082" s="14" t="s">
        <v>9</v>
      </c>
      <c r="F1082" s="15">
        <v>53460</v>
      </c>
      <c r="G1082" s="15">
        <v>53460</v>
      </c>
    </row>
    <row r="1083" spans="1:7" x14ac:dyDescent="0.25">
      <c r="A1083" s="13">
        <v>46223</v>
      </c>
      <c r="B1083" s="14" t="s">
        <v>1443</v>
      </c>
      <c r="C1083" s="14" t="s">
        <v>53</v>
      </c>
      <c r="D1083" s="14" t="s">
        <v>42</v>
      </c>
      <c r="E1083" s="14" t="s">
        <v>9</v>
      </c>
      <c r="F1083" s="15">
        <v>1246804.54</v>
      </c>
      <c r="G1083" s="15">
        <v>1246804.54</v>
      </c>
    </row>
    <row r="1084" spans="1:7" x14ac:dyDescent="0.25">
      <c r="A1084" s="13">
        <v>46223</v>
      </c>
      <c r="B1084" s="14" t="s">
        <v>1444</v>
      </c>
      <c r="C1084" s="14" t="s">
        <v>76</v>
      </c>
      <c r="D1084" s="14" t="s">
        <v>66</v>
      </c>
      <c r="E1084" s="14" t="s">
        <v>9</v>
      </c>
      <c r="F1084" s="15">
        <v>77563</v>
      </c>
      <c r="G1084" s="15">
        <v>77563</v>
      </c>
    </row>
    <row r="1085" spans="1:7" x14ac:dyDescent="0.25">
      <c r="A1085" s="13">
        <v>46223</v>
      </c>
      <c r="B1085" s="14" t="s">
        <v>1445</v>
      </c>
      <c r="C1085" s="14" t="s">
        <v>76</v>
      </c>
      <c r="D1085" s="14" t="s">
        <v>66</v>
      </c>
      <c r="E1085" s="14" t="s">
        <v>9</v>
      </c>
      <c r="F1085" s="15">
        <v>91207.63</v>
      </c>
      <c r="G1085" s="15">
        <v>91207.63</v>
      </c>
    </row>
    <row r="1086" spans="1:7" x14ac:dyDescent="0.25">
      <c r="A1086" s="13">
        <v>46223</v>
      </c>
      <c r="B1086" s="14" t="s">
        <v>1446</v>
      </c>
      <c r="C1086" s="14" t="s">
        <v>91</v>
      </c>
      <c r="D1086" s="14" t="s">
        <v>79</v>
      </c>
      <c r="E1086" s="14" t="s">
        <v>9</v>
      </c>
      <c r="F1086" s="15">
        <v>260000</v>
      </c>
      <c r="G1086" s="15">
        <v>-260000</v>
      </c>
    </row>
    <row r="1087" spans="1:7" x14ac:dyDescent="0.25">
      <c r="A1087" s="13">
        <v>46223</v>
      </c>
      <c r="B1087" s="14" t="s">
        <v>1447</v>
      </c>
      <c r="C1087" s="14" t="s">
        <v>144</v>
      </c>
      <c r="D1087" s="14" t="s">
        <v>49</v>
      </c>
      <c r="E1087" s="14" t="s">
        <v>9</v>
      </c>
      <c r="F1087" s="15">
        <v>47884.33</v>
      </c>
      <c r="G1087" s="15">
        <v>47884.33</v>
      </c>
    </row>
    <row r="1088" spans="1:7" x14ac:dyDescent="0.25">
      <c r="A1088" s="13">
        <v>46223</v>
      </c>
      <c r="B1088" s="14" t="s">
        <v>1448</v>
      </c>
      <c r="C1088" s="14" t="s">
        <v>175</v>
      </c>
      <c r="D1088" s="14" t="s">
        <v>731</v>
      </c>
      <c r="E1088" s="14" t="s">
        <v>9</v>
      </c>
      <c r="F1088" s="15">
        <v>32719</v>
      </c>
      <c r="G1088" s="15">
        <v>32719</v>
      </c>
    </row>
    <row r="1089" spans="1:7" x14ac:dyDescent="0.25">
      <c r="A1089" s="13">
        <v>46223</v>
      </c>
      <c r="B1089" s="14" t="s">
        <v>1449</v>
      </c>
      <c r="C1089" s="14" t="s">
        <v>194</v>
      </c>
      <c r="D1089" s="14" t="s">
        <v>66</v>
      </c>
      <c r="E1089" s="14" t="s">
        <v>9</v>
      </c>
      <c r="F1089" s="15">
        <v>57349</v>
      </c>
      <c r="G1089" s="15">
        <v>57349</v>
      </c>
    </row>
    <row r="1090" spans="1:7" x14ac:dyDescent="0.25">
      <c r="A1090" s="13">
        <v>46223</v>
      </c>
      <c r="B1090" s="14" t="s">
        <v>1450</v>
      </c>
      <c r="C1090" s="14" t="s">
        <v>194</v>
      </c>
      <c r="D1090" s="14" t="s">
        <v>66</v>
      </c>
      <c r="E1090" s="14" t="s">
        <v>9</v>
      </c>
      <c r="F1090" s="15">
        <v>172046</v>
      </c>
      <c r="G1090" s="15">
        <v>172046</v>
      </c>
    </row>
    <row r="1091" spans="1:7" x14ac:dyDescent="0.25">
      <c r="A1091" s="13">
        <v>46223</v>
      </c>
      <c r="B1091" s="14" t="s">
        <v>1451</v>
      </c>
      <c r="C1091" s="14" t="s">
        <v>194</v>
      </c>
      <c r="D1091" s="14" t="s">
        <v>66</v>
      </c>
      <c r="E1091" s="14" t="s">
        <v>9</v>
      </c>
      <c r="F1091" s="15">
        <v>169752</v>
      </c>
      <c r="G1091" s="15">
        <v>169752</v>
      </c>
    </row>
    <row r="1092" spans="1:7" x14ac:dyDescent="0.25">
      <c r="A1092" s="13">
        <v>46224</v>
      </c>
      <c r="B1092" s="14" t="s">
        <v>1452</v>
      </c>
      <c r="C1092" s="14" t="s">
        <v>76</v>
      </c>
      <c r="D1092" s="14" t="s">
        <v>66</v>
      </c>
      <c r="E1092" s="14" t="s">
        <v>9</v>
      </c>
      <c r="F1092" s="15">
        <v>75658.67</v>
      </c>
      <c r="G1092" s="15">
        <v>75658.67</v>
      </c>
    </row>
    <row r="1093" spans="1:7" x14ac:dyDescent="0.25">
      <c r="A1093" s="13">
        <v>46224</v>
      </c>
      <c r="B1093" s="14" t="s">
        <v>1453</v>
      </c>
      <c r="C1093" s="14" t="s">
        <v>76</v>
      </c>
      <c r="D1093" s="14" t="s">
        <v>66</v>
      </c>
      <c r="E1093" s="14" t="s">
        <v>9</v>
      </c>
      <c r="F1093" s="15">
        <v>78267.08</v>
      </c>
      <c r="G1093" s="15">
        <v>78267.08</v>
      </c>
    </row>
    <row r="1094" spans="1:7" x14ac:dyDescent="0.25">
      <c r="A1094" s="13">
        <v>46224</v>
      </c>
      <c r="B1094" s="14" t="s">
        <v>1454</v>
      </c>
      <c r="C1094" s="14" t="s">
        <v>91</v>
      </c>
      <c r="D1094" s="14" t="s">
        <v>731</v>
      </c>
      <c r="E1094" s="14" t="s">
        <v>9</v>
      </c>
      <c r="F1094" s="15">
        <v>63908</v>
      </c>
      <c r="G1094" s="15">
        <v>63908</v>
      </c>
    </row>
    <row r="1095" spans="1:7" x14ac:dyDescent="0.25">
      <c r="A1095" s="13">
        <v>46224</v>
      </c>
      <c r="B1095" s="14" t="s">
        <v>1455</v>
      </c>
      <c r="C1095" s="14" t="s">
        <v>91</v>
      </c>
      <c r="D1095" s="14" t="s">
        <v>731</v>
      </c>
      <c r="E1095" s="14" t="s">
        <v>9</v>
      </c>
      <c r="F1095" s="15">
        <v>63908</v>
      </c>
      <c r="G1095" s="15">
        <v>63908</v>
      </c>
    </row>
    <row r="1096" spans="1:7" x14ac:dyDescent="0.25">
      <c r="A1096" s="13">
        <v>46224</v>
      </c>
      <c r="B1096" s="14" t="s">
        <v>1456</v>
      </c>
      <c r="C1096" s="14" t="s">
        <v>357</v>
      </c>
      <c r="D1096" s="14" t="s">
        <v>731</v>
      </c>
      <c r="E1096" s="14" t="s">
        <v>9</v>
      </c>
      <c r="F1096" s="15">
        <v>81375</v>
      </c>
      <c r="G1096" s="15">
        <v>-81375</v>
      </c>
    </row>
    <row r="1097" spans="1:7" x14ac:dyDescent="0.25">
      <c r="A1097" s="13">
        <v>46224</v>
      </c>
      <c r="B1097" s="14" t="s">
        <v>1457</v>
      </c>
      <c r="C1097" s="14" t="s">
        <v>180</v>
      </c>
      <c r="D1097" s="14" t="s">
        <v>66</v>
      </c>
      <c r="E1097" s="14" t="s">
        <v>9</v>
      </c>
      <c r="F1097" s="15">
        <v>76038</v>
      </c>
      <c r="G1097" s="15">
        <v>76038</v>
      </c>
    </row>
    <row r="1098" spans="1:7" x14ac:dyDescent="0.25">
      <c r="A1098" s="13">
        <v>46224</v>
      </c>
      <c r="B1098" s="14" t="s">
        <v>1458</v>
      </c>
      <c r="C1098" s="14" t="s">
        <v>185</v>
      </c>
      <c r="D1098" s="14" t="s">
        <v>42</v>
      </c>
      <c r="E1098" s="14" t="s">
        <v>9</v>
      </c>
      <c r="F1098" s="15">
        <v>17748</v>
      </c>
      <c r="G1098" s="15">
        <v>17748</v>
      </c>
    </row>
    <row r="1099" spans="1:7" x14ac:dyDescent="0.25">
      <c r="A1099" s="13">
        <v>46224</v>
      </c>
      <c r="B1099" s="14" t="s">
        <v>1459</v>
      </c>
      <c r="C1099" s="14" t="s">
        <v>209</v>
      </c>
      <c r="D1099" s="14" t="s">
        <v>42</v>
      </c>
      <c r="E1099" s="14" t="s">
        <v>9</v>
      </c>
      <c r="F1099" s="15">
        <v>41480</v>
      </c>
      <c r="G1099" s="15">
        <v>41480</v>
      </c>
    </row>
    <row r="1100" spans="1:7" x14ac:dyDescent="0.25">
      <c r="A1100" s="13">
        <v>46224</v>
      </c>
      <c r="B1100" s="14" t="s">
        <v>1460</v>
      </c>
      <c r="C1100" s="14" t="s">
        <v>194</v>
      </c>
      <c r="D1100" s="14" t="s">
        <v>66</v>
      </c>
      <c r="E1100" s="14" t="s">
        <v>9</v>
      </c>
      <c r="F1100" s="15">
        <v>57349</v>
      </c>
      <c r="G1100" s="15">
        <v>57349</v>
      </c>
    </row>
    <row r="1101" spans="1:7" x14ac:dyDescent="0.25">
      <c r="A1101" s="13">
        <v>46224</v>
      </c>
      <c r="B1101" s="14" t="s">
        <v>1461</v>
      </c>
      <c r="C1101" s="14" t="s">
        <v>194</v>
      </c>
      <c r="D1101" s="14" t="s">
        <v>66</v>
      </c>
      <c r="E1101" s="14" t="s">
        <v>9</v>
      </c>
      <c r="F1101" s="15">
        <v>197853</v>
      </c>
      <c r="G1101" s="15">
        <v>197853</v>
      </c>
    </row>
    <row r="1102" spans="1:7" x14ac:dyDescent="0.25">
      <c r="A1102" s="13">
        <v>46225</v>
      </c>
      <c r="B1102" s="14" t="s">
        <v>1462</v>
      </c>
      <c r="C1102" s="14" t="s">
        <v>32</v>
      </c>
      <c r="D1102" s="14" t="s">
        <v>33</v>
      </c>
      <c r="E1102" s="14" t="s">
        <v>9</v>
      </c>
      <c r="F1102" s="15">
        <v>55236.07</v>
      </c>
      <c r="G1102" s="15">
        <v>55236.07</v>
      </c>
    </row>
    <row r="1103" spans="1:7" x14ac:dyDescent="0.25">
      <c r="A1103" s="13">
        <v>46225</v>
      </c>
      <c r="B1103" s="14" t="s">
        <v>1463</v>
      </c>
      <c r="C1103" s="14" t="s">
        <v>32</v>
      </c>
      <c r="D1103" s="14" t="s">
        <v>33</v>
      </c>
      <c r="E1103" s="14" t="s">
        <v>9</v>
      </c>
      <c r="F1103" s="15">
        <v>39646.269999999997</v>
      </c>
      <c r="G1103" s="15">
        <v>39646.269999999997</v>
      </c>
    </row>
    <row r="1104" spans="1:7" x14ac:dyDescent="0.25">
      <c r="A1104" s="13">
        <v>46225</v>
      </c>
      <c r="B1104" s="14" t="s">
        <v>1464</v>
      </c>
      <c r="C1104" s="14" t="s">
        <v>32</v>
      </c>
      <c r="D1104" s="14" t="s">
        <v>33</v>
      </c>
      <c r="E1104" s="14" t="s">
        <v>9</v>
      </c>
      <c r="F1104" s="15">
        <v>59761.35</v>
      </c>
      <c r="G1104" s="15">
        <v>59761.35</v>
      </c>
    </row>
    <row r="1105" spans="1:7" x14ac:dyDescent="0.25">
      <c r="A1105" s="13">
        <v>46225</v>
      </c>
      <c r="B1105" s="14" t="s">
        <v>1465</v>
      </c>
      <c r="C1105" s="14" t="s">
        <v>32</v>
      </c>
      <c r="D1105" s="14" t="s">
        <v>33</v>
      </c>
      <c r="E1105" s="14" t="s">
        <v>9</v>
      </c>
      <c r="F1105" s="15">
        <v>57128.160000000003</v>
      </c>
      <c r="G1105" s="15">
        <v>57128.160000000003</v>
      </c>
    </row>
    <row r="1106" spans="1:7" x14ac:dyDescent="0.25">
      <c r="A1106" s="13">
        <v>46225</v>
      </c>
      <c r="B1106" s="14" t="s">
        <v>1466</v>
      </c>
      <c r="C1106" s="14" t="s">
        <v>32</v>
      </c>
      <c r="D1106" s="14" t="s">
        <v>33</v>
      </c>
      <c r="E1106" s="14" t="s">
        <v>9</v>
      </c>
      <c r="F1106" s="15">
        <v>51117.72</v>
      </c>
      <c r="G1106" s="15">
        <v>51117.72</v>
      </c>
    </row>
    <row r="1107" spans="1:7" x14ac:dyDescent="0.25">
      <c r="A1107" s="13">
        <v>46225</v>
      </c>
      <c r="B1107" s="14" t="s">
        <v>1467</v>
      </c>
      <c r="C1107" s="14" t="s">
        <v>32</v>
      </c>
      <c r="D1107" s="14" t="s">
        <v>33</v>
      </c>
      <c r="E1107" s="14" t="s">
        <v>9</v>
      </c>
      <c r="F1107" s="15">
        <v>57622.559999999998</v>
      </c>
      <c r="G1107" s="15">
        <v>57622.559999999998</v>
      </c>
    </row>
    <row r="1108" spans="1:7" x14ac:dyDescent="0.25">
      <c r="A1108" s="13">
        <v>46225</v>
      </c>
      <c r="B1108" s="14" t="s">
        <v>1468</v>
      </c>
      <c r="C1108" s="14" t="s">
        <v>32</v>
      </c>
      <c r="D1108" s="14" t="s">
        <v>33</v>
      </c>
      <c r="E1108" s="14" t="s">
        <v>9</v>
      </c>
      <c r="F1108" s="15">
        <v>58047.18</v>
      </c>
      <c r="G1108" s="15">
        <v>58047.18</v>
      </c>
    </row>
    <row r="1109" spans="1:7" x14ac:dyDescent="0.25">
      <c r="A1109" s="13">
        <v>46225</v>
      </c>
      <c r="B1109" s="14" t="s">
        <v>1469</v>
      </c>
      <c r="C1109" s="14" t="s">
        <v>32</v>
      </c>
      <c r="D1109" s="14" t="s">
        <v>33</v>
      </c>
      <c r="E1109" s="14" t="s">
        <v>9</v>
      </c>
      <c r="F1109" s="15">
        <v>57923.33</v>
      </c>
      <c r="G1109" s="15">
        <v>57923.33</v>
      </c>
    </row>
    <row r="1110" spans="1:7" x14ac:dyDescent="0.25">
      <c r="A1110" s="13">
        <v>46225</v>
      </c>
      <c r="B1110" s="14" t="s">
        <v>1470</v>
      </c>
      <c r="C1110" s="14" t="s">
        <v>32</v>
      </c>
      <c r="D1110" s="14" t="s">
        <v>33</v>
      </c>
      <c r="E1110" s="14" t="s">
        <v>9</v>
      </c>
      <c r="F1110" s="15">
        <v>78233.679999999993</v>
      </c>
      <c r="G1110" s="15">
        <v>78233.679999999993</v>
      </c>
    </row>
    <row r="1111" spans="1:7" x14ac:dyDescent="0.25">
      <c r="A1111" s="13">
        <v>46225</v>
      </c>
      <c r="B1111" s="14" t="s">
        <v>1471</v>
      </c>
      <c r="C1111" s="14" t="s">
        <v>32</v>
      </c>
      <c r="D1111" s="14" t="s">
        <v>33</v>
      </c>
      <c r="E1111" s="14" t="s">
        <v>9</v>
      </c>
      <c r="F1111" s="15">
        <v>57039.69</v>
      </c>
      <c r="G1111" s="15">
        <v>57039.69</v>
      </c>
    </row>
    <row r="1112" spans="1:7" x14ac:dyDescent="0.25">
      <c r="A1112" s="13">
        <v>46225</v>
      </c>
      <c r="B1112" s="14" t="s">
        <v>1472</v>
      </c>
      <c r="C1112" s="14" t="s">
        <v>97</v>
      </c>
      <c r="D1112" s="14" t="s">
        <v>57</v>
      </c>
      <c r="E1112" s="14" t="s">
        <v>9</v>
      </c>
      <c r="F1112" s="15">
        <v>3286.91</v>
      </c>
      <c r="G1112" s="15">
        <v>3286.91</v>
      </c>
    </row>
    <row r="1113" spans="1:7" x14ac:dyDescent="0.25">
      <c r="A1113" s="13">
        <v>46225</v>
      </c>
      <c r="B1113" s="14" t="s">
        <v>1473</v>
      </c>
      <c r="C1113" s="14" t="s">
        <v>91</v>
      </c>
      <c r="D1113" s="14" t="s">
        <v>731</v>
      </c>
      <c r="E1113" s="14" t="s">
        <v>9</v>
      </c>
      <c r="F1113" s="15">
        <v>337500</v>
      </c>
      <c r="G1113" s="15">
        <v>337500</v>
      </c>
    </row>
    <row r="1114" spans="1:7" x14ac:dyDescent="0.25">
      <c r="A1114" s="13">
        <v>46225</v>
      </c>
      <c r="B1114" s="14" t="s">
        <v>1474</v>
      </c>
      <c r="C1114" s="14" t="s">
        <v>91</v>
      </c>
      <c r="D1114" s="14" t="s">
        <v>731</v>
      </c>
      <c r="E1114" s="14" t="s">
        <v>9</v>
      </c>
      <c r="F1114" s="15">
        <v>337500</v>
      </c>
      <c r="G1114" s="15">
        <v>337500</v>
      </c>
    </row>
    <row r="1115" spans="1:7" x14ac:dyDescent="0.25">
      <c r="A1115" s="13">
        <v>46225</v>
      </c>
      <c r="B1115" s="14" t="s">
        <v>1475</v>
      </c>
      <c r="C1115" s="14" t="s">
        <v>91</v>
      </c>
      <c r="D1115" s="14" t="s">
        <v>79</v>
      </c>
      <c r="E1115" s="14" t="s">
        <v>9</v>
      </c>
      <c r="F1115" s="15">
        <v>415881</v>
      </c>
      <c r="G1115" s="15">
        <v>415881</v>
      </c>
    </row>
    <row r="1116" spans="1:7" x14ac:dyDescent="0.25">
      <c r="A1116" s="13">
        <v>46225</v>
      </c>
      <c r="B1116" s="14" t="s">
        <v>1476</v>
      </c>
      <c r="C1116" s="14" t="s">
        <v>91</v>
      </c>
      <c r="D1116" s="14" t="s">
        <v>79</v>
      </c>
      <c r="E1116" s="14" t="s">
        <v>9</v>
      </c>
      <c r="F1116" s="15">
        <v>403650</v>
      </c>
      <c r="G1116" s="15">
        <v>403650</v>
      </c>
    </row>
    <row r="1117" spans="1:7" x14ac:dyDescent="0.25">
      <c r="A1117" s="13">
        <v>46225</v>
      </c>
      <c r="B1117" s="14" t="s">
        <v>1477</v>
      </c>
      <c r="C1117" s="14" t="s">
        <v>91</v>
      </c>
      <c r="D1117" s="14" t="s">
        <v>79</v>
      </c>
      <c r="E1117" s="14" t="s">
        <v>9</v>
      </c>
      <c r="F1117" s="15">
        <v>79265</v>
      </c>
      <c r="G1117" s="15">
        <v>79265</v>
      </c>
    </row>
    <row r="1118" spans="1:7" x14ac:dyDescent="0.25">
      <c r="A1118" s="13">
        <v>46225</v>
      </c>
      <c r="B1118" s="14" t="s">
        <v>1478</v>
      </c>
      <c r="C1118" s="14" t="s">
        <v>91</v>
      </c>
      <c r="D1118" s="14" t="s">
        <v>79</v>
      </c>
      <c r="E1118" s="14" t="s">
        <v>9</v>
      </c>
      <c r="F1118" s="15">
        <v>77038</v>
      </c>
      <c r="G1118" s="15">
        <v>77038</v>
      </c>
    </row>
    <row r="1119" spans="1:7" x14ac:dyDescent="0.25">
      <c r="A1119" s="13">
        <v>46225</v>
      </c>
      <c r="B1119" s="14" t="s">
        <v>1479</v>
      </c>
      <c r="C1119" s="14" t="s">
        <v>276</v>
      </c>
      <c r="D1119" s="14" t="s">
        <v>82</v>
      </c>
      <c r="E1119" s="14" t="s">
        <v>9</v>
      </c>
      <c r="F1119" s="15">
        <v>300000</v>
      </c>
      <c r="G1119" s="15">
        <v>-300000</v>
      </c>
    </row>
    <row r="1120" spans="1:7" x14ac:dyDescent="0.25">
      <c r="A1120" s="13">
        <v>46225</v>
      </c>
      <c r="B1120" s="14" t="s">
        <v>1480</v>
      </c>
      <c r="C1120" s="14" t="s">
        <v>128</v>
      </c>
      <c r="D1120" s="14" t="s">
        <v>463</v>
      </c>
      <c r="E1120" s="14" t="s">
        <v>9</v>
      </c>
      <c r="F1120" s="15">
        <v>495970</v>
      </c>
      <c r="G1120" s="15">
        <v>495970</v>
      </c>
    </row>
    <row r="1121" spans="1:7" x14ac:dyDescent="0.25">
      <c r="A1121" s="13">
        <v>46225</v>
      </c>
      <c r="B1121" s="14" t="s">
        <v>1481</v>
      </c>
      <c r="C1121" s="14" t="s">
        <v>140</v>
      </c>
      <c r="D1121" s="14" t="s">
        <v>463</v>
      </c>
      <c r="E1121" s="14" t="s">
        <v>9</v>
      </c>
      <c r="F1121" s="15">
        <v>42821</v>
      </c>
      <c r="G1121" s="15">
        <v>42821</v>
      </c>
    </row>
    <row r="1122" spans="1:7" x14ac:dyDescent="0.25">
      <c r="A1122" s="13">
        <v>46225</v>
      </c>
      <c r="B1122" s="14" t="s">
        <v>1482</v>
      </c>
      <c r="C1122" s="14" t="s">
        <v>187</v>
      </c>
      <c r="D1122" s="14" t="s">
        <v>33</v>
      </c>
      <c r="E1122" s="14" t="s">
        <v>9</v>
      </c>
      <c r="F1122" s="15">
        <v>131890.5</v>
      </c>
      <c r="G1122" s="15">
        <v>131890.5</v>
      </c>
    </row>
    <row r="1123" spans="1:7" x14ac:dyDescent="0.25">
      <c r="A1123" s="13">
        <v>46225</v>
      </c>
      <c r="B1123" s="14" t="s">
        <v>1483</v>
      </c>
      <c r="C1123" s="14" t="s">
        <v>211</v>
      </c>
      <c r="D1123" s="14" t="s">
        <v>49</v>
      </c>
      <c r="E1123" s="14" t="s">
        <v>9</v>
      </c>
      <c r="F1123" s="15">
        <v>83273.820000000007</v>
      </c>
      <c r="G1123" s="15">
        <v>83273.820000000007</v>
      </c>
    </row>
    <row r="1124" spans="1:7" x14ac:dyDescent="0.25">
      <c r="A1124" s="13">
        <v>46225</v>
      </c>
      <c r="B1124" s="14" t="s">
        <v>1484</v>
      </c>
      <c r="C1124" s="14" t="s">
        <v>211</v>
      </c>
      <c r="D1124" s="14" t="s">
        <v>49</v>
      </c>
      <c r="E1124" s="14" t="s">
        <v>9</v>
      </c>
      <c r="F1124" s="15">
        <v>81524.86</v>
      </c>
      <c r="G1124" s="15">
        <v>81524.86</v>
      </c>
    </row>
    <row r="1125" spans="1:7" x14ac:dyDescent="0.25">
      <c r="A1125" s="13">
        <v>46225</v>
      </c>
      <c r="B1125" s="14" t="s">
        <v>1485</v>
      </c>
      <c r="C1125" s="14" t="s">
        <v>194</v>
      </c>
      <c r="D1125" s="14" t="s">
        <v>66</v>
      </c>
      <c r="E1125" s="14" t="s">
        <v>9</v>
      </c>
      <c r="F1125" s="15">
        <v>197853</v>
      </c>
      <c r="G1125" s="15">
        <v>197853</v>
      </c>
    </row>
    <row r="1126" spans="1:7" x14ac:dyDescent="0.25">
      <c r="A1126" s="13">
        <v>46225</v>
      </c>
      <c r="B1126" s="14" t="s">
        <v>1486</v>
      </c>
      <c r="C1126" s="14" t="s">
        <v>236</v>
      </c>
      <c r="D1126" s="14" t="s">
        <v>33</v>
      </c>
      <c r="E1126" s="14" t="s">
        <v>9</v>
      </c>
      <c r="F1126" s="15">
        <v>421156.56</v>
      </c>
      <c r="G1126" s="15">
        <v>421156.56</v>
      </c>
    </row>
    <row r="1127" spans="1:7" x14ac:dyDescent="0.25">
      <c r="A1127" s="13">
        <v>46226</v>
      </c>
      <c r="B1127" s="14" t="s">
        <v>1487</v>
      </c>
      <c r="C1127" s="14" t="s">
        <v>27</v>
      </c>
      <c r="D1127" s="14" t="s">
        <v>42</v>
      </c>
      <c r="E1127" s="14" t="s">
        <v>9</v>
      </c>
      <c r="F1127" s="15">
        <v>50882</v>
      </c>
      <c r="G1127" s="15">
        <v>50882</v>
      </c>
    </row>
    <row r="1128" spans="1:7" x14ac:dyDescent="0.25">
      <c r="A1128" s="13">
        <v>46226</v>
      </c>
      <c r="B1128" s="14" t="s">
        <v>1488</v>
      </c>
      <c r="C1128" s="14" t="s">
        <v>74</v>
      </c>
      <c r="D1128" s="14" t="s">
        <v>42</v>
      </c>
      <c r="E1128" s="14" t="s">
        <v>9</v>
      </c>
      <c r="F1128" s="15">
        <v>7167</v>
      </c>
      <c r="G1128" s="15">
        <v>7167</v>
      </c>
    </row>
    <row r="1129" spans="1:7" x14ac:dyDescent="0.25">
      <c r="A1129" s="13">
        <v>46226</v>
      </c>
      <c r="B1129" s="14" t="s">
        <v>1489</v>
      </c>
      <c r="C1129" s="14" t="s">
        <v>76</v>
      </c>
      <c r="D1129" s="14" t="s">
        <v>66</v>
      </c>
      <c r="E1129" s="14" t="s">
        <v>9</v>
      </c>
      <c r="F1129" s="15">
        <v>76232.509999999995</v>
      </c>
      <c r="G1129" s="15">
        <v>76232.509999999995</v>
      </c>
    </row>
    <row r="1130" spans="1:7" x14ac:dyDescent="0.25">
      <c r="A1130" s="13">
        <v>46226</v>
      </c>
      <c r="B1130" s="14" t="s">
        <v>1490</v>
      </c>
      <c r="C1130" s="14" t="s">
        <v>76</v>
      </c>
      <c r="D1130" s="14" t="s">
        <v>66</v>
      </c>
      <c r="E1130" s="14" t="s">
        <v>9</v>
      </c>
      <c r="F1130" s="15">
        <v>77432.600000000006</v>
      </c>
      <c r="G1130" s="15">
        <v>77432.600000000006</v>
      </c>
    </row>
    <row r="1131" spans="1:7" x14ac:dyDescent="0.25">
      <c r="A1131" s="13">
        <v>46226</v>
      </c>
      <c r="B1131" s="14" t="s">
        <v>1491</v>
      </c>
      <c r="C1131" s="14" t="s">
        <v>91</v>
      </c>
      <c r="D1131" s="14" t="s">
        <v>79</v>
      </c>
      <c r="E1131" s="14" t="s">
        <v>9</v>
      </c>
      <c r="F1131" s="15">
        <v>500000</v>
      </c>
      <c r="G1131" s="15">
        <v>-500000</v>
      </c>
    </row>
    <row r="1132" spans="1:7" x14ac:dyDescent="0.25">
      <c r="A1132" s="13">
        <v>46226</v>
      </c>
      <c r="B1132" s="14" t="s">
        <v>1492</v>
      </c>
      <c r="C1132" s="14" t="s">
        <v>91</v>
      </c>
      <c r="D1132" s="14" t="s">
        <v>79</v>
      </c>
      <c r="E1132" s="14" t="s">
        <v>9</v>
      </c>
      <c r="F1132" s="15">
        <v>500000</v>
      </c>
      <c r="G1132" s="15">
        <v>-500000</v>
      </c>
    </row>
    <row r="1133" spans="1:7" x14ac:dyDescent="0.25">
      <c r="A1133" s="13">
        <v>46226</v>
      </c>
      <c r="B1133" s="14" t="s">
        <v>1493</v>
      </c>
      <c r="C1133" s="14" t="s">
        <v>268</v>
      </c>
      <c r="D1133" s="14" t="s">
        <v>33</v>
      </c>
      <c r="E1133" s="14" t="s">
        <v>9</v>
      </c>
      <c r="F1133" s="15">
        <v>100000</v>
      </c>
      <c r="G1133" s="15">
        <v>-100000</v>
      </c>
    </row>
    <row r="1134" spans="1:7" x14ac:dyDescent="0.25">
      <c r="A1134" s="13">
        <v>46226</v>
      </c>
      <c r="B1134" s="14" t="s">
        <v>1494</v>
      </c>
      <c r="C1134" s="14" t="s">
        <v>140</v>
      </c>
      <c r="D1134" s="14" t="s">
        <v>463</v>
      </c>
      <c r="E1134" s="14" t="s">
        <v>9</v>
      </c>
      <c r="F1134" s="15">
        <v>42835</v>
      </c>
      <c r="G1134" s="15">
        <v>42835</v>
      </c>
    </row>
    <row r="1135" spans="1:7" x14ac:dyDescent="0.25">
      <c r="A1135" s="13">
        <v>46226</v>
      </c>
      <c r="B1135" s="14" t="s">
        <v>1495</v>
      </c>
      <c r="C1135" s="14" t="s">
        <v>237</v>
      </c>
      <c r="D1135" s="14" t="s">
        <v>66</v>
      </c>
      <c r="E1135" s="14" t="s">
        <v>9</v>
      </c>
      <c r="F1135" s="15">
        <v>53460</v>
      </c>
      <c r="G1135" s="15">
        <v>53460</v>
      </c>
    </row>
    <row r="1136" spans="1:7" x14ac:dyDescent="0.25">
      <c r="A1136" s="13">
        <v>46226</v>
      </c>
      <c r="B1136" s="14" t="s">
        <v>1496</v>
      </c>
      <c r="C1136" s="14" t="s">
        <v>237</v>
      </c>
      <c r="D1136" s="14" t="s">
        <v>66</v>
      </c>
      <c r="E1136" s="14" t="s">
        <v>9</v>
      </c>
      <c r="F1136" s="15">
        <v>61479</v>
      </c>
      <c r="G1136" s="15">
        <v>61479</v>
      </c>
    </row>
    <row r="1137" spans="1:7" x14ac:dyDescent="0.25">
      <c r="A1137" s="13">
        <v>46227</v>
      </c>
      <c r="B1137" s="14" t="s">
        <v>1497</v>
      </c>
      <c r="C1137" s="14" t="s">
        <v>32</v>
      </c>
      <c r="D1137" s="14" t="s">
        <v>33</v>
      </c>
      <c r="E1137" s="14" t="s">
        <v>9</v>
      </c>
      <c r="F1137" s="15">
        <v>58117.94</v>
      </c>
      <c r="G1137" s="15">
        <v>58117.94</v>
      </c>
    </row>
    <row r="1138" spans="1:7" x14ac:dyDescent="0.25">
      <c r="A1138" s="13">
        <v>46227</v>
      </c>
      <c r="B1138" s="14" t="s">
        <v>1498</v>
      </c>
      <c r="C1138" s="14" t="s">
        <v>32</v>
      </c>
      <c r="D1138" s="14" t="s">
        <v>33</v>
      </c>
      <c r="E1138" s="14" t="s">
        <v>9</v>
      </c>
      <c r="F1138" s="15">
        <v>73234.600000000006</v>
      </c>
      <c r="G1138" s="15">
        <v>73234.600000000006</v>
      </c>
    </row>
    <row r="1139" spans="1:7" x14ac:dyDescent="0.25">
      <c r="A1139" s="13">
        <v>46227</v>
      </c>
      <c r="B1139" s="14" t="s">
        <v>1499</v>
      </c>
      <c r="C1139" s="14" t="s">
        <v>32</v>
      </c>
      <c r="D1139" s="14" t="s">
        <v>33</v>
      </c>
      <c r="E1139" s="14" t="s">
        <v>9</v>
      </c>
      <c r="F1139" s="15">
        <v>57357.17</v>
      </c>
      <c r="G1139" s="15">
        <v>57357.17</v>
      </c>
    </row>
    <row r="1140" spans="1:7" x14ac:dyDescent="0.25">
      <c r="A1140" s="13">
        <v>46227</v>
      </c>
      <c r="B1140" s="14" t="s">
        <v>1500</v>
      </c>
      <c r="C1140" s="14" t="s">
        <v>32</v>
      </c>
      <c r="D1140" s="14" t="s">
        <v>33</v>
      </c>
      <c r="E1140" s="14" t="s">
        <v>9</v>
      </c>
      <c r="F1140" s="15">
        <v>59231.57</v>
      </c>
      <c r="G1140" s="15">
        <v>59231.57</v>
      </c>
    </row>
    <row r="1141" spans="1:7" x14ac:dyDescent="0.25">
      <c r="A1141" s="13">
        <v>46227</v>
      </c>
      <c r="B1141" s="14" t="s">
        <v>1501</v>
      </c>
      <c r="C1141" s="14" t="s">
        <v>32</v>
      </c>
      <c r="D1141" s="14" t="s">
        <v>33</v>
      </c>
      <c r="E1141" s="14" t="s">
        <v>9</v>
      </c>
      <c r="F1141" s="15">
        <v>49049.69</v>
      </c>
      <c r="G1141" s="15">
        <v>49049.69</v>
      </c>
    </row>
    <row r="1142" spans="1:7" x14ac:dyDescent="0.25">
      <c r="A1142" s="13">
        <v>46227</v>
      </c>
      <c r="B1142" s="14" t="s">
        <v>1502</v>
      </c>
      <c r="C1142" s="14" t="s">
        <v>32</v>
      </c>
      <c r="D1142" s="14" t="s">
        <v>33</v>
      </c>
      <c r="E1142" s="14" t="s">
        <v>9</v>
      </c>
      <c r="F1142" s="15">
        <v>50216.39</v>
      </c>
      <c r="G1142" s="15">
        <v>50216.39</v>
      </c>
    </row>
    <row r="1143" spans="1:7" x14ac:dyDescent="0.25">
      <c r="A1143" s="13">
        <v>46227</v>
      </c>
      <c r="B1143" s="14" t="s">
        <v>1503</v>
      </c>
      <c r="C1143" s="14" t="s">
        <v>32</v>
      </c>
      <c r="D1143" s="14" t="s">
        <v>33</v>
      </c>
      <c r="E1143" s="14" t="s">
        <v>9</v>
      </c>
      <c r="F1143" s="15">
        <v>54140.13</v>
      </c>
      <c r="G1143" s="15">
        <v>54140.13</v>
      </c>
    </row>
    <row r="1144" spans="1:7" x14ac:dyDescent="0.25">
      <c r="A1144" s="13">
        <v>46227</v>
      </c>
      <c r="B1144" s="14" t="s">
        <v>1504</v>
      </c>
      <c r="C1144" s="14" t="s">
        <v>32</v>
      </c>
      <c r="D1144" s="14" t="s">
        <v>33</v>
      </c>
      <c r="E1144" s="14" t="s">
        <v>9</v>
      </c>
      <c r="F1144" s="15">
        <v>59796.73</v>
      </c>
      <c r="G1144" s="15">
        <v>59796.73</v>
      </c>
    </row>
    <row r="1145" spans="1:7" x14ac:dyDescent="0.25">
      <c r="A1145" s="13">
        <v>46227</v>
      </c>
      <c r="B1145" s="14" t="s">
        <v>1505</v>
      </c>
      <c r="C1145" s="14" t="s">
        <v>32</v>
      </c>
      <c r="D1145" s="14" t="s">
        <v>33</v>
      </c>
      <c r="E1145" s="14" t="s">
        <v>9</v>
      </c>
      <c r="F1145" s="15">
        <v>57427.93</v>
      </c>
      <c r="G1145" s="15">
        <v>57427.93</v>
      </c>
    </row>
    <row r="1146" spans="1:7" x14ac:dyDescent="0.25">
      <c r="A1146" s="13">
        <v>46227</v>
      </c>
      <c r="B1146" s="14" t="s">
        <v>1506</v>
      </c>
      <c r="C1146" s="14" t="s">
        <v>32</v>
      </c>
      <c r="D1146" s="14" t="s">
        <v>33</v>
      </c>
      <c r="E1146" s="14" t="s">
        <v>9</v>
      </c>
      <c r="F1146" s="15">
        <v>58400.02</v>
      </c>
      <c r="G1146" s="15">
        <v>58400.02</v>
      </c>
    </row>
    <row r="1147" spans="1:7" x14ac:dyDescent="0.25">
      <c r="A1147" s="13">
        <v>46227</v>
      </c>
      <c r="B1147" s="14" t="s">
        <v>1507</v>
      </c>
      <c r="C1147" s="14" t="s">
        <v>32</v>
      </c>
      <c r="D1147" s="14" t="s">
        <v>33</v>
      </c>
      <c r="E1147" s="14" t="s">
        <v>9</v>
      </c>
      <c r="F1147" s="15">
        <v>38695.4</v>
      </c>
      <c r="G1147" s="15">
        <v>38695.4</v>
      </c>
    </row>
    <row r="1148" spans="1:7" x14ac:dyDescent="0.25">
      <c r="A1148" s="13">
        <v>46227</v>
      </c>
      <c r="B1148" s="14" t="s">
        <v>1508</v>
      </c>
      <c r="C1148" s="14" t="s">
        <v>273</v>
      </c>
      <c r="D1148" s="14" t="s">
        <v>42</v>
      </c>
      <c r="E1148" s="14" t="s">
        <v>9</v>
      </c>
      <c r="F1148" s="15">
        <v>856000</v>
      </c>
      <c r="G1148" s="15">
        <v>-856000</v>
      </c>
    </row>
    <row r="1149" spans="1:7" x14ac:dyDescent="0.25">
      <c r="A1149" s="13">
        <v>46227</v>
      </c>
      <c r="B1149" s="14" t="s">
        <v>1509</v>
      </c>
      <c r="C1149" s="14" t="s">
        <v>275</v>
      </c>
      <c r="D1149" s="14"/>
      <c r="E1149" s="14" t="s">
        <v>9</v>
      </c>
      <c r="F1149" s="15">
        <v>25000</v>
      </c>
      <c r="G1149" s="15">
        <v>-25000</v>
      </c>
    </row>
    <row r="1150" spans="1:7" x14ac:dyDescent="0.25">
      <c r="A1150" s="13">
        <v>46227</v>
      </c>
      <c r="B1150" s="14" t="s">
        <v>1510</v>
      </c>
      <c r="C1150" s="14" t="s">
        <v>276</v>
      </c>
      <c r="D1150" s="14" t="s">
        <v>82</v>
      </c>
      <c r="E1150" s="14" t="s">
        <v>9</v>
      </c>
      <c r="F1150" s="15">
        <v>300000</v>
      </c>
      <c r="G1150" s="15">
        <v>-300000</v>
      </c>
    </row>
    <row r="1151" spans="1:7" x14ac:dyDescent="0.25">
      <c r="A1151" s="13">
        <v>46227</v>
      </c>
      <c r="B1151" s="14" t="s">
        <v>1511</v>
      </c>
      <c r="C1151" s="14" t="s">
        <v>282</v>
      </c>
      <c r="D1151" s="14" t="s">
        <v>82</v>
      </c>
      <c r="E1151" s="14" t="s">
        <v>9</v>
      </c>
      <c r="F1151" s="15">
        <v>4493</v>
      </c>
      <c r="G1151" s="15">
        <v>-4493</v>
      </c>
    </row>
    <row r="1152" spans="1:7" x14ac:dyDescent="0.25">
      <c r="A1152" s="13">
        <v>46227</v>
      </c>
      <c r="B1152" s="14" t="s">
        <v>1512</v>
      </c>
      <c r="C1152" s="14" t="s">
        <v>123</v>
      </c>
      <c r="D1152" s="14" t="s">
        <v>33</v>
      </c>
      <c r="E1152" s="14" t="s">
        <v>9</v>
      </c>
      <c r="F1152" s="15">
        <v>101453.75999999999</v>
      </c>
      <c r="G1152" s="15">
        <v>101453.75999999999</v>
      </c>
    </row>
    <row r="1153" spans="1:7" x14ac:dyDescent="0.25">
      <c r="A1153" s="13">
        <v>46228</v>
      </c>
      <c r="B1153" s="14" t="s">
        <v>1513</v>
      </c>
      <c r="C1153" s="14" t="s">
        <v>60</v>
      </c>
      <c r="D1153" s="14" t="s">
        <v>42</v>
      </c>
      <c r="E1153" s="14" t="s">
        <v>9</v>
      </c>
      <c r="F1153" s="15">
        <v>8000</v>
      </c>
      <c r="G1153" s="15">
        <v>8000</v>
      </c>
    </row>
    <row r="1154" spans="1:7" x14ac:dyDescent="0.25">
      <c r="A1154" s="13">
        <v>46228</v>
      </c>
      <c r="B1154" s="14" t="s">
        <v>1514</v>
      </c>
      <c r="C1154" s="14" t="s">
        <v>104</v>
      </c>
      <c r="D1154" s="14" t="s">
        <v>42</v>
      </c>
      <c r="E1154" s="14" t="s">
        <v>9</v>
      </c>
      <c r="F1154" s="15">
        <v>20000</v>
      </c>
      <c r="G1154" s="15">
        <v>20000</v>
      </c>
    </row>
    <row r="1155" spans="1:7" x14ac:dyDescent="0.25">
      <c r="A1155" s="13">
        <v>46228</v>
      </c>
      <c r="B1155" s="14" t="s">
        <v>1515</v>
      </c>
      <c r="C1155" s="14" t="s">
        <v>140</v>
      </c>
      <c r="D1155" s="14" t="s">
        <v>463</v>
      </c>
      <c r="E1155" s="14" t="s">
        <v>9</v>
      </c>
      <c r="F1155" s="15">
        <v>45948</v>
      </c>
      <c r="G1155" s="15">
        <v>45948</v>
      </c>
    </row>
    <row r="1156" spans="1:7" x14ac:dyDescent="0.25">
      <c r="A1156" s="13">
        <v>46228</v>
      </c>
      <c r="B1156" s="14" t="s">
        <v>1516</v>
      </c>
      <c r="C1156" s="14" t="s">
        <v>140</v>
      </c>
      <c r="D1156" s="14" t="s">
        <v>463</v>
      </c>
      <c r="E1156" s="14" t="s">
        <v>9</v>
      </c>
      <c r="F1156" s="15">
        <v>70191</v>
      </c>
      <c r="G1156" s="15">
        <v>70191</v>
      </c>
    </row>
    <row r="1157" spans="1:7" x14ac:dyDescent="0.25">
      <c r="A1157" s="13">
        <v>46228</v>
      </c>
      <c r="B1157" s="14" t="s">
        <v>1517</v>
      </c>
      <c r="C1157" s="14" t="s">
        <v>140</v>
      </c>
      <c r="D1157" s="14" t="s">
        <v>463</v>
      </c>
      <c r="E1157" s="14" t="s">
        <v>9</v>
      </c>
      <c r="F1157" s="15">
        <v>71100</v>
      </c>
      <c r="G1157" s="15">
        <v>71100</v>
      </c>
    </row>
    <row r="1158" spans="1:7" x14ac:dyDescent="0.25">
      <c r="A1158" s="13">
        <v>46228</v>
      </c>
      <c r="B1158" s="14" t="s">
        <v>1518</v>
      </c>
      <c r="C1158" s="14" t="s">
        <v>167</v>
      </c>
      <c r="D1158" s="14" t="s">
        <v>42</v>
      </c>
      <c r="E1158" s="14" t="s">
        <v>9</v>
      </c>
      <c r="F1158" s="15">
        <v>162666</v>
      </c>
      <c r="G1158" s="15">
        <v>162666</v>
      </c>
    </row>
    <row r="1159" spans="1:7" x14ac:dyDescent="0.25">
      <c r="A1159" s="13">
        <v>46228</v>
      </c>
      <c r="B1159" s="14" t="s">
        <v>1519</v>
      </c>
      <c r="C1159" s="14" t="s">
        <v>188</v>
      </c>
      <c r="D1159" s="14" t="s">
        <v>42</v>
      </c>
      <c r="E1159" s="14" t="s">
        <v>9</v>
      </c>
      <c r="F1159" s="15">
        <v>350065.8</v>
      </c>
      <c r="G1159" s="15">
        <v>350065.8</v>
      </c>
    </row>
    <row r="1160" spans="1:7" x14ac:dyDescent="0.25">
      <c r="A1160" s="13">
        <v>46228</v>
      </c>
      <c r="B1160" s="14" t="s">
        <v>1520</v>
      </c>
      <c r="C1160" s="14" t="s">
        <v>194</v>
      </c>
      <c r="D1160" s="14" t="s">
        <v>66</v>
      </c>
      <c r="E1160" s="14" t="s">
        <v>9</v>
      </c>
      <c r="F1160" s="15">
        <v>169752.3</v>
      </c>
      <c r="G1160" s="15">
        <v>169752.3</v>
      </c>
    </row>
    <row r="1161" spans="1:7" x14ac:dyDescent="0.25">
      <c r="A1161" s="13">
        <v>46228</v>
      </c>
      <c r="B1161" s="14" t="s">
        <v>1521</v>
      </c>
      <c r="C1161" s="14" t="s">
        <v>224</v>
      </c>
      <c r="D1161" s="14" t="s">
        <v>451</v>
      </c>
      <c r="E1161" s="14" t="s">
        <v>9</v>
      </c>
      <c r="F1161" s="15">
        <v>150000</v>
      </c>
      <c r="G1161" s="15">
        <v>150000</v>
      </c>
    </row>
    <row r="1162" spans="1:7" x14ac:dyDescent="0.25">
      <c r="A1162" s="13">
        <v>46228</v>
      </c>
      <c r="B1162" s="14" t="s">
        <v>1522</v>
      </c>
      <c r="C1162" s="14" t="s">
        <v>250</v>
      </c>
      <c r="D1162" s="14" t="s">
        <v>42</v>
      </c>
      <c r="E1162" s="14" t="s">
        <v>9</v>
      </c>
      <c r="F1162" s="15">
        <v>202370</v>
      </c>
      <c r="G1162" s="15">
        <v>202370</v>
      </c>
    </row>
    <row r="1163" spans="1:7" x14ac:dyDescent="0.25">
      <c r="A1163" s="13">
        <v>46229</v>
      </c>
      <c r="B1163" s="14" t="s">
        <v>1523</v>
      </c>
      <c r="C1163" s="14" t="s">
        <v>71</v>
      </c>
      <c r="D1163" s="14" t="s">
        <v>42</v>
      </c>
      <c r="E1163" s="14" t="s">
        <v>9</v>
      </c>
      <c r="F1163" s="15">
        <v>237180</v>
      </c>
      <c r="G1163" s="15">
        <v>237180</v>
      </c>
    </row>
    <row r="1164" spans="1:7" x14ac:dyDescent="0.25">
      <c r="A1164" s="13">
        <v>46229</v>
      </c>
      <c r="B1164" s="14" t="s">
        <v>1524</v>
      </c>
      <c r="C1164" s="14" t="s">
        <v>76</v>
      </c>
      <c r="D1164" s="14" t="s">
        <v>66</v>
      </c>
      <c r="E1164" s="14" t="s">
        <v>9</v>
      </c>
      <c r="F1164" s="15">
        <v>76415.12</v>
      </c>
      <c r="G1164" s="15">
        <v>76415.12</v>
      </c>
    </row>
    <row r="1165" spans="1:7" x14ac:dyDescent="0.25">
      <c r="A1165" s="13">
        <v>46229</v>
      </c>
      <c r="B1165" s="14" t="s">
        <v>1525</v>
      </c>
      <c r="C1165" s="14" t="s">
        <v>76</v>
      </c>
      <c r="D1165" s="14" t="s">
        <v>66</v>
      </c>
      <c r="E1165" s="14" t="s">
        <v>9</v>
      </c>
      <c r="F1165" s="15">
        <v>91181.6</v>
      </c>
      <c r="G1165" s="15">
        <v>91181.6</v>
      </c>
    </row>
    <row r="1166" spans="1:7" x14ac:dyDescent="0.25">
      <c r="A1166" s="13">
        <v>46229</v>
      </c>
      <c r="B1166" s="14" t="s">
        <v>1526</v>
      </c>
      <c r="C1166" s="14" t="s">
        <v>93</v>
      </c>
      <c r="D1166" s="14" t="s">
        <v>463</v>
      </c>
      <c r="E1166" s="14" t="s">
        <v>9</v>
      </c>
      <c r="F1166" s="15">
        <v>67858</v>
      </c>
      <c r="G1166" s="15">
        <v>67858</v>
      </c>
    </row>
    <row r="1167" spans="1:7" x14ac:dyDescent="0.25">
      <c r="A1167" s="13">
        <v>46229</v>
      </c>
      <c r="B1167" s="14" t="s">
        <v>1527</v>
      </c>
      <c r="C1167" s="14" t="s">
        <v>93</v>
      </c>
      <c r="D1167" s="14" t="s">
        <v>731</v>
      </c>
      <c r="E1167" s="14" t="s">
        <v>9</v>
      </c>
      <c r="F1167" s="15">
        <v>45700</v>
      </c>
      <c r="G1167" s="15">
        <v>45700</v>
      </c>
    </row>
    <row r="1168" spans="1:7" x14ac:dyDescent="0.25">
      <c r="A1168" s="13">
        <v>46229</v>
      </c>
      <c r="B1168" s="14" t="s">
        <v>1528</v>
      </c>
      <c r="C1168" s="14" t="s">
        <v>194</v>
      </c>
      <c r="D1168" s="14" t="s">
        <v>66</v>
      </c>
      <c r="E1168" s="14" t="s">
        <v>9</v>
      </c>
      <c r="F1168" s="15">
        <v>169178.81</v>
      </c>
      <c r="G1168" s="15">
        <v>169178.81</v>
      </c>
    </row>
    <row r="1169" spans="1:7" x14ac:dyDescent="0.25">
      <c r="A1169" s="13">
        <v>46230</v>
      </c>
      <c r="B1169" s="14" t="s">
        <v>1529</v>
      </c>
      <c r="C1169" s="14" t="s">
        <v>27</v>
      </c>
      <c r="D1169" s="14" t="s">
        <v>451</v>
      </c>
      <c r="E1169" s="14" t="s">
        <v>9</v>
      </c>
      <c r="F1169" s="15">
        <v>9875</v>
      </c>
      <c r="G1169" s="15">
        <v>9875</v>
      </c>
    </row>
    <row r="1170" spans="1:7" x14ac:dyDescent="0.25">
      <c r="A1170" s="13">
        <v>46230</v>
      </c>
      <c r="B1170" s="14" t="s">
        <v>1530</v>
      </c>
      <c r="C1170" s="14" t="s">
        <v>30</v>
      </c>
      <c r="D1170" s="14" t="s">
        <v>451</v>
      </c>
      <c r="E1170" s="14" t="s">
        <v>9</v>
      </c>
      <c r="F1170" s="15">
        <v>29854</v>
      </c>
      <c r="G1170" s="15">
        <v>29854</v>
      </c>
    </row>
    <row r="1171" spans="1:7" x14ac:dyDescent="0.25">
      <c r="A1171" s="13">
        <v>46230</v>
      </c>
      <c r="B1171" s="14" t="s">
        <v>1531</v>
      </c>
      <c r="C1171" s="14" t="s">
        <v>32</v>
      </c>
      <c r="D1171" s="14" t="s">
        <v>33</v>
      </c>
      <c r="E1171" s="14" t="s">
        <v>9</v>
      </c>
      <c r="F1171" s="15">
        <v>73447.539999999994</v>
      </c>
      <c r="G1171" s="15">
        <v>73447.539999999994</v>
      </c>
    </row>
    <row r="1172" spans="1:7" x14ac:dyDescent="0.25">
      <c r="A1172" s="13">
        <v>46230</v>
      </c>
      <c r="B1172" s="14" t="s">
        <v>1532</v>
      </c>
      <c r="C1172" s="14" t="s">
        <v>32</v>
      </c>
      <c r="D1172" s="14" t="s">
        <v>33</v>
      </c>
      <c r="E1172" s="14" t="s">
        <v>9</v>
      </c>
      <c r="F1172" s="15">
        <v>59178.5</v>
      </c>
      <c r="G1172" s="15">
        <v>59178.5</v>
      </c>
    </row>
    <row r="1173" spans="1:7" x14ac:dyDescent="0.25">
      <c r="A1173" s="13">
        <v>46230</v>
      </c>
      <c r="B1173" s="14" t="s">
        <v>1533</v>
      </c>
      <c r="C1173" s="14" t="s">
        <v>32</v>
      </c>
      <c r="D1173" s="14" t="s">
        <v>33</v>
      </c>
      <c r="E1173" s="14" t="s">
        <v>9</v>
      </c>
      <c r="F1173" s="15">
        <v>65895.16</v>
      </c>
      <c r="G1173" s="15">
        <v>65895.16</v>
      </c>
    </row>
    <row r="1174" spans="1:7" x14ac:dyDescent="0.25">
      <c r="A1174" s="13">
        <v>46230</v>
      </c>
      <c r="B1174" s="14" t="s">
        <v>1534</v>
      </c>
      <c r="C1174" s="14" t="s">
        <v>32</v>
      </c>
      <c r="D1174" s="14" t="s">
        <v>33</v>
      </c>
      <c r="E1174" s="14" t="s">
        <v>9</v>
      </c>
      <c r="F1174" s="15">
        <v>38251.199999999997</v>
      </c>
      <c r="G1174" s="15">
        <v>38251.199999999997</v>
      </c>
    </row>
    <row r="1175" spans="1:7" x14ac:dyDescent="0.25">
      <c r="A1175" s="13">
        <v>46230</v>
      </c>
      <c r="B1175" s="14" t="s">
        <v>1535</v>
      </c>
      <c r="C1175" s="14" t="s">
        <v>32</v>
      </c>
      <c r="D1175" s="14" t="s">
        <v>33</v>
      </c>
      <c r="E1175" s="14" t="s">
        <v>9</v>
      </c>
      <c r="F1175" s="15">
        <v>58506.18</v>
      </c>
      <c r="G1175" s="15">
        <v>58506.18</v>
      </c>
    </row>
    <row r="1176" spans="1:7" x14ac:dyDescent="0.25">
      <c r="A1176" s="13">
        <v>46230</v>
      </c>
      <c r="B1176" s="14" t="s">
        <v>1536</v>
      </c>
      <c r="C1176" s="14" t="s">
        <v>32</v>
      </c>
      <c r="D1176" s="14" t="s">
        <v>33</v>
      </c>
      <c r="E1176" s="14" t="s">
        <v>9</v>
      </c>
      <c r="F1176" s="15">
        <v>59107.72</v>
      </c>
      <c r="G1176" s="15">
        <v>59107.72</v>
      </c>
    </row>
    <row r="1177" spans="1:7" x14ac:dyDescent="0.25">
      <c r="A1177" s="13">
        <v>46230</v>
      </c>
      <c r="B1177" s="14" t="s">
        <v>1537</v>
      </c>
      <c r="C1177" s="14" t="s">
        <v>32</v>
      </c>
      <c r="D1177" s="14" t="s">
        <v>33</v>
      </c>
      <c r="E1177" s="14" t="s">
        <v>9</v>
      </c>
      <c r="F1177" s="15">
        <v>50039.47</v>
      </c>
      <c r="G1177" s="15">
        <v>50039.47</v>
      </c>
    </row>
    <row r="1178" spans="1:7" x14ac:dyDescent="0.25">
      <c r="A1178" s="13">
        <v>46230</v>
      </c>
      <c r="B1178" s="14" t="s">
        <v>1538</v>
      </c>
      <c r="C1178" s="14" t="s">
        <v>32</v>
      </c>
      <c r="D1178" s="14" t="s">
        <v>33</v>
      </c>
      <c r="E1178" s="14" t="s">
        <v>9</v>
      </c>
      <c r="F1178" s="15">
        <v>57923.33</v>
      </c>
      <c r="G1178" s="15">
        <v>57923.33</v>
      </c>
    </row>
    <row r="1179" spans="1:7" x14ac:dyDescent="0.25">
      <c r="A1179" s="13">
        <v>46230</v>
      </c>
      <c r="B1179" s="14" t="s">
        <v>1539</v>
      </c>
      <c r="C1179" s="14" t="s">
        <v>32</v>
      </c>
      <c r="D1179" s="14" t="s">
        <v>33</v>
      </c>
      <c r="E1179" s="14" t="s">
        <v>9</v>
      </c>
      <c r="F1179" s="15">
        <v>56137.38</v>
      </c>
      <c r="G1179" s="15">
        <v>56137.38</v>
      </c>
    </row>
    <row r="1180" spans="1:7" x14ac:dyDescent="0.25">
      <c r="A1180" s="13">
        <v>46230</v>
      </c>
      <c r="B1180" s="14" t="s">
        <v>1540</v>
      </c>
      <c r="C1180" s="14" t="s">
        <v>32</v>
      </c>
      <c r="D1180" s="14" t="s">
        <v>33</v>
      </c>
      <c r="E1180" s="14" t="s">
        <v>9</v>
      </c>
      <c r="F1180" s="15">
        <v>58029.47</v>
      </c>
      <c r="G1180" s="15">
        <v>58029.47</v>
      </c>
    </row>
    <row r="1181" spans="1:7" x14ac:dyDescent="0.25">
      <c r="A1181" s="13">
        <v>46230</v>
      </c>
      <c r="B1181" s="14" t="s">
        <v>1541</v>
      </c>
      <c r="C1181" s="14" t="s">
        <v>32</v>
      </c>
      <c r="D1181" s="14" t="s">
        <v>33</v>
      </c>
      <c r="E1181" s="14" t="s">
        <v>9</v>
      </c>
      <c r="F1181" s="15">
        <v>54122.44</v>
      </c>
      <c r="G1181" s="15">
        <v>54122.44</v>
      </c>
    </row>
    <row r="1182" spans="1:7" x14ac:dyDescent="0.25">
      <c r="A1182" s="13">
        <v>46230</v>
      </c>
      <c r="B1182" s="14" t="s">
        <v>1542</v>
      </c>
      <c r="C1182" s="14" t="s">
        <v>32</v>
      </c>
      <c r="D1182" s="14" t="s">
        <v>33</v>
      </c>
      <c r="E1182" s="14" t="s">
        <v>9</v>
      </c>
      <c r="F1182" s="15">
        <v>56986.62</v>
      </c>
      <c r="G1182" s="15">
        <v>56986.62</v>
      </c>
    </row>
    <row r="1183" spans="1:7" x14ac:dyDescent="0.25">
      <c r="A1183" s="13">
        <v>46230</v>
      </c>
      <c r="B1183" s="14" t="s">
        <v>1543</v>
      </c>
      <c r="C1183" s="14" t="s">
        <v>32</v>
      </c>
      <c r="D1183" s="14" t="s">
        <v>33</v>
      </c>
      <c r="E1183" s="14" t="s">
        <v>9</v>
      </c>
      <c r="F1183" s="15">
        <v>58364.639999999999</v>
      </c>
      <c r="G1183" s="15">
        <v>58364.639999999999</v>
      </c>
    </row>
    <row r="1184" spans="1:7" x14ac:dyDescent="0.25">
      <c r="A1184" s="13">
        <v>46230</v>
      </c>
      <c r="B1184" s="14" t="s">
        <v>1544</v>
      </c>
      <c r="C1184" s="14" t="s">
        <v>32</v>
      </c>
      <c r="D1184" s="14" t="s">
        <v>33</v>
      </c>
      <c r="E1184" s="14" t="s">
        <v>9</v>
      </c>
      <c r="F1184" s="15">
        <v>55802.23</v>
      </c>
      <c r="G1184" s="15">
        <v>55802.23</v>
      </c>
    </row>
    <row r="1185" spans="1:7" x14ac:dyDescent="0.25">
      <c r="A1185" s="13">
        <v>46230</v>
      </c>
      <c r="B1185" s="14" t="s">
        <v>1545</v>
      </c>
      <c r="C1185" s="14" t="s">
        <v>32</v>
      </c>
      <c r="D1185" s="14" t="s">
        <v>33</v>
      </c>
      <c r="E1185" s="14" t="s">
        <v>9</v>
      </c>
      <c r="F1185" s="15">
        <v>55766.83</v>
      </c>
      <c r="G1185" s="15">
        <v>55766.83</v>
      </c>
    </row>
    <row r="1186" spans="1:7" x14ac:dyDescent="0.25">
      <c r="A1186" s="13">
        <v>46230</v>
      </c>
      <c r="B1186" s="14" t="s">
        <v>1546</v>
      </c>
      <c r="C1186" s="14" t="s">
        <v>32</v>
      </c>
      <c r="D1186" s="14" t="s">
        <v>33</v>
      </c>
      <c r="E1186" s="14" t="s">
        <v>9</v>
      </c>
      <c r="F1186" s="15">
        <v>57870.239999999998</v>
      </c>
      <c r="G1186" s="15">
        <v>57870.239999999998</v>
      </c>
    </row>
    <row r="1187" spans="1:7" x14ac:dyDescent="0.25">
      <c r="A1187" s="13">
        <v>46230</v>
      </c>
      <c r="B1187" s="14" t="s">
        <v>1547</v>
      </c>
      <c r="C1187" s="14" t="s">
        <v>32</v>
      </c>
      <c r="D1187" s="14" t="s">
        <v>33</v>
      </c>
      <c r="E1187" s="14" t="s">
        <v>9</v>
      </c>
      <c r="F1187" s="15">
        <v>54759.360000000001</v>
      </c>
      <c r="G1187" s="15">
        <v>54759.360000000001</v>
      </c>
    </row>
    <row r="1188" spans="1:7" x14ac:dyDescent="0.25">
      <c r="A1188" s="13">
        <v>46230</v>
      </c>
      <c r="B1188" s="14" t="s">
        <v>1548</v>
      </c>
      <c r="C1188" s="14" t="s">
        <v>32</v>
      </c>
      <c r="D1188" s="14" t="s">
        <v>33</v>
      </c>
      <c r="E1188" s="14" t="s">
        <v>9</v>
      </c>
      <c r="F1188" s="15">
        <v>41614.019999999997</v>
      </c>
      <c r="G1188" s="15">
        <v>41614.019999999997</v>
      </c>
    </row>
    <row r="1189" spans="1:7" x14ac:dyDescent="0.25">
      <c r="A1189" s="13">
        <v>46230</v>
      </c>
      <c r="B1189" s="14" t="s">
        <v>1549</v>
      </c>
      <c r="C1189" s="14" t="s">
        <v>32</v>
      </c>
      <c r="D1189" s="14" t="s">
        <v>33</v>
      </c>
      <c r="E1189" s="14" t="s">
        <v>9</v>
      </c>
      <c r="F1189" s="15">
        <v>81853.5</v>
      </c>
      <c r="G1189" s="15">
        <v>81853.5</v>
      </c>
    </row>
    <row r="1190" spans="1:7" x14ac:dyDescent="0.25">
      <c r="A1190" s="13">
        <v>46230</v>
      </c>
      <c r="B1190" s="14" t="s">
        <v>1550</v>
      </c>
      <c r="C1190" s="14" t="s">
        <v>32</v>
      </c>
      <c r="D1190" s="14" t="s">
        <v>33</v>
      </c>
      <c r="E1190" s="14" t="s">
        <v>9</v>
      </c>
      <c r="F1190" s="15">
        <v>43199.06</v>
      </c>
      <c r="G1190" s="15">
        <v>43199.06</v>
      </c>
    </row>
    <row r="1191" spans="1:7" x14ac:dyDescent="0.25">
      <c r="A1191" s="13">
        <v>46230</v>
      </c>
      <c r="B1191" s="14" t="s">
        <v>1551</v>
      </c>
      <c r="C1191" s="14" t="s">
        <v>36</v>
      </c>
      <c r="D1191" s="14" t="s">
        <v>33</v>
      </c>
      <c r="E1191" s="14" t="s">
        <v>9</v>
      </c>
      <c r="F1191" s="15">
        <v>120279.6</v>
      </c>
      <c r="G1191" s="15">
        <v>120279.6</v>
      </c>
    </row>
    <row r="1192" spans="1:7" x14ac:dyDescent="0.25">
      <c r="A1192" s="13">
        <v>46230</v>
      </c>
      <c r="B1192" s="14" t="s">
        <v>1552</v>
      </c>
      <c r="C1192" s="14" t="s">
        <v>71</v>
      </c>
      <c r="D1192" s="14" t="s">
        <v>49</v>
      </c>
      <c r="E1192" s="14" t="s">
        <v>9</v>
      </c>
      <c r="F1192" s="15">
        <v>29906</v>
      </c>
      <c r="G1192" s="15">
        <v>29906</v>
      </c>
    </row>
    <row r="1193" spans="1:7" x14ac:dyDescent="0.25">
      <c r="A1193" s="13">
        <v>46230</v>
      </c>
      <c r="B1193" s="14" t="s">
        <v>1553</v>
      </c>
      <c r="C1193" s="14" t="s">
        <v>276</v>
      </c>
      <c r="D1193" s="14" t="s">
        <v>82</v>
      </c>
      <c r="E1193" s="14" t="s">
        <v>9</v>
      </c>
      <c r="F1193" s="15">
        <v>150000</v>
      </c>
      <c r="G1193" s="15">
        <v>-150000</v>
      </c>
    </row>
    <row r="1194" spans="1:7" x14ac:dyDescent="0.25">
      <c r="A1194" s="13">
        <v>46230</v>
      </c>
      <c r="B1194" s="14" t="s">
        <v>1554</v>
      </c>
      <c r="C1194" s="14" t="s">
        <v>118</v>
      </c>
      <c r="D1194" s="14" t="s">
        <v>42</v>
      </c>
      <c r="E1194" s="14" t="s">
        <v>9</v>
      </c>
      <c r="F1194" s="15">
        <v>10091</v>
      </c>
      <c r="G1194" s="15">
        <v>10091</v>
      </c>
    </row>
    <row r="1195" spans="1:7" x14ac:dyDescent="0.25">
      <c r="A1195" s="13">
        <v>46230</v>
      </c>
      <c r="B1195" s="14" t="s">
        <v>1555</v>
      </c>
      <c r="C1195" s="14" t="s">
        <v>123</v>
      </c>
      <c r="D1195" s="14" t="s">
        <v>33</v>
      </c>
      <c r="E1195" s="14" t="s">
        <v>9</v>
      </c>
      <c r="F1195" s="15">
        <v>84444</v>
      </c>
      <c r="G1195" s="15">
        <v>84444</v>
      </c>
    </row>
    <row r="1196" spans="1:7" x14ac:dyDescent="0.25">
      <c r="A1196" s="13">
        <v>46230</v>
      </c>
      <c r="B1196" s="14" t="s">
        <v>1556</v>
      </c>
      <c r="C1196" s="14" t="s">
        <v>127</v>
      </c>
      <c r="D1196" s="14" t="s">
        <v>33</v>
      </c>
      <c r="E1196" s="14" t="s">
        <v>9</v>
      </c>
      <c r="F1196" s="15">
        <v>128158.8</v>
      </c>
      <c r="G1196" s="15">
        <v>128158.8</v>
      </c>
    </row>
    <row r="1197" spans="1:7" x14ac:dyDescent="0.25">
      <c r="A1197" s="13">
        <v>46230</v>
      </c>
      <c r="B1197" s="14" t="s">
        <v>1557</v>
      </c>
      <c r="C1197" s="14" t="s">
        <v>148</v>
      </c>
      <c r="D1197" s="14" t="s">
        <v>79</v>
      </c>
      <c r="E1197" s="14" t="s">
        <v>9</v>
      </c>
      <c r="F1197" s="15">
        <v>66080</v>
      </c>
      <c r="G1197" s="15">
        <v>66080</v>
      </c>
    </row>
    <row r="1198" spans="1:7" x14ac:dyDescent="0.25">
      <c r="A1198" s="13">
        <v>46230</v>
      </c>
      <c r="B1198" s="14" t="s">
        <v>1558</v>
      </c>
      <c r="C1198" s="14" t="s">
        <v>164</v>
      </c>
      <c r="D1198" s="14" t="s">
        <v>49</v>
      </c>
      <c r="E1198" s="14" t="s">
        <v>9</v>
      </c>
      <c r="F1198" s="15">
        <v>14585</v>
      </c>
      <c r="G1198" s="15">
        <v>14585</v>
      </c>
    </row>
    <row r="1199" spans="1:7" x14ac:dyDescent="0.25">
      <c r="A1199" s="13">
        <v>46230</v>
      </c>
      <c r="B1199" s="14" t="s">
        <v>1559</v>
      </c>
      <c r="C1199" s="14" t="s">
        <v>164</v>
      </c>
      <c r="D1199" s="14" t="s">
        <v>451</v>
      </c>
      <c r="E1199" s="14" t="s">
        <v>9</v>
      </c>
      <c r="F1199" s="15">
        <v>8963.2800000000007</v>
      </c>
      <c r="G1199" s="15">
        <v>8963.2800000000007</v>
      </c>
    </row>
    <row r="1200" spans="1:7" x14ac:dyDescent="0.25">
      <c r="A1200" s="13">
        <v>46230</v>
      </c>
      <c r="B1200" s="14" t="s">
        <v>1560</v>
      </c>
      <c r="C1200" s="14" t="s">
        <v>163</v>
      </c>
      <c r="D1200" s="14" t="s">
        <v>451</v>
      </c>
      <c r="E1200" s="14" t="s">
        <v>9</v>
      </c>
      <c r="F1200" s="15">
        <v>31860</v>
      </c>
      <c r="G1200" s="15">
        <v>31860</v>
      </c>
    </row>
    <row r="1201" spans="1:7" x14ac:dyDescent="0.25">
      <c r="A1201" s="13">
        <v>46230</v>
      </c>
      <c r="B1201" s="14" t="s">
        <v>1561</v>
      </c>
      <c r="C1201" s="14" t="s">
        <v>163</v>
      </c>
      <c r="D1201" s="14" t="s">
        <v>451</v>
      </c>
      <c r="E1201" s="14" t="s">
        <v>9</v>
      </c>
      <c r="F1201" s="15">
        <v>104440.7</v>
      </c>
      <c r="G1201" s="15">
        <v>104440.7</v>
      </c>
    </row>
    <row r="1202" spans="1:7" x14ac:dyDescent="0.25">
      <c r="A1202" s="13">
        <v>46230</v>
      </c>
      <c r="B1202" s="14" t="s">
        <v>1562</v>
      </c>
      <c r="C1202" s="14" t="s">
        <v>174</v>
      </c>
      <c r="D1202" s="14" t="s">
        <v>49</v>
      </c>
      <c r="E1202" s="14" t="s">
        <v>9</v>
      </c>
      <c r="F1202" s="15">
        <v>89619</v>
      </c>
      <c r="G1202" s="15">
        <v>89619</v>
      </c>
    </row>
    <row r="1203" spans="1:7" x14ac:dyDescent="0.25">
      <c r="A1203" s="13">
        <v>46230</v>
      </c>
      <c r="B1203" s="14" t="s">
        <v>452</v>
      </c>
      <c r="C1203" s="14" t="s">
        <v>181</v>
      </c>
      <c r="D1203" s="14" t="s">
        <v>66</v>
      </c>
      <c r="E1203" s="14" t="s">
        <v>9</v>
      </c>
      <c r="F1203" s="15">
        <v>99379.36</v>
      </c>
      <c r="G1203" s="15">
        <v>99379.36</v>
      </c>
    </row>
    <row r="1204" spans="1:7" x14ac:dyDescent="0.25">
      <c r="A1204" s="13">
        <v>46230</v>
      </c>
      <c r="B1204" s="14" t="s">
        <v>1563</v>
      </c>
      <c r="C1204" s="14" t="s">
        <v>187</v>
      </c>
      <c r="D1204" s="14" t="s">
        <v>33</v>
      </c>
      <c r="E1204" s="14" t="s">
        <v>9</v>
      </c>
      <c r="F1204" s="15">
        <v>117674.9</v>
      </c>
      <c r="G1204" s="15">
        <v>117674.9</v>
      </c>
    </row>
    <row r="1205" spans="1:7" x14ac:dyDescent="0.25">
      <c r="A1205" s="13">
        <v>46230</v>
      </c>
      <c r="B1205" s="14" t="s">
        <v>1564</v>
      </c>
      <c r="C1205" s="14" t="s">
        <v>187</v>
      </c>
      <c r="D1205" s="14" t="s">
        <v>33</v>
      </c>
      <c r="E1205" s="14" t="s">
        <v>9</v>
      </c>
      <c r="F1205" s="15">
        <v>133252.4</v>
      </c>
      <c r="G1205" s="15">
        <v>133252.4</v>
      </c>
    </row>
    <row r="1206" spans="1:7" x14ac:dyDescent="0.25">
      <c r="A1206" s="13">
        <v>46230</v>
      </c>
      <c r="B1206" s="14" t="s">
        <v>1565</v>
      </c>
      <c r="C1206" s="14" t="s">
        <v>187</v>
      </c>
      <c r="D1206" s="14" t="s">
        <v>33</v>
      </c>
      <c r="E1206" s="14" t="s">
        <v>9</v>
      </c>
      <c r="F1206" s="15">
        <v>135491.1</v>
      </c>
      <c r="G1206" s="15">
        <v>135491.1</v>
      </c>
    </row>
    <row r="1207" spans="1:7" x14ac:dyDescent="0.25">
      <c r="A1207" s="13">
        <v>46230</v>
      </c>
      <c r="B1207" s="14" t="s">
        <v>1566</v>
      </c>
      <c r="C1207" s="14" t="s">
        <v>187</v>
      </c>
      <c r="D1207" s="14" t="s">
        <v>33</v>
      </c>
      <c r="E1207" s="14" t="s">
        <v>9</v>
      </c>
      <c r="F1207" s="15">
        <v>112505.5</v>
      </c>
      <c r="G1207" s="15">
        <v>112505.5</v>
      </c>
    </row>
    <row r="1208" spans="1:7" x14ac:dyDescent="0.25">
      <c r="A1208" s="13">
        <v>46230</v>
      </c>
      <c r="B1208" s="14" t="s">
        <v>1567</v>
      </c>
      <c r="C1208" s="14" t="s">
        <v>211</v>
      </c>
      <c r="D1208" s="14" t="s">
        <v>49</v>
      </c>
      <c r="E1208" s="14" t="s">
        <v>9</v>
      </c>
      <c r="F1208" s="15">
        <v>79130.740000000005</v>
      </c>
      <c r="G1208" s="15">
        <v>79130.740000000005</v>
      </c>
    </row>
    <row r="1209" spans="1:7" x14ac:dyDescent="0.25">
      <c r="A1209" s="13">
        <v>46230</v>
      </c>
      <c r="B1209" s="14" t="s">
        <v>1568</v>
      </c>
      <c r="C1209" s="14" t="s">
        <v>211</v>
      </c>
      <c r="D1209" s="14" t="s">
        <v>49</v>
      </c>
      <c r="E1209" s="14" t="s">
        <v>9</v>
      </c>
      <c r="F1209" s="15">
        <v>78581.38</v>
      </c>
      <c r="G1209" s="15">
        <v>78581.38</v>
      </c>
    </row>
    <row r="1210" spans="1:7" x14ac:dyDescent="0.25">
      <c r="A1210" s="13">
        <v>46230</v>
      </c>
      <c r="B1210" s="14" t="s">
        <v>424</v>
      </c>
      <c r="C1210" s="14" t="s">
        <v>211</v>
      </c>
      <c r="D1210" s="14" t="s">
        <v>57</v>
      </c>
      <c r="E1210" s="14" t="s">
        <v>9</v>
      </c>
      <c r="F1210" s="15">
        <v>80183.679999999993</v>
      </c>
      <c r="G1210" s="15">
        <v>80183.679999999993</v>
      </c>
    </row>
    <row r="1211" spans="1:7" x14ac:dyDescent="0.25">
      <c r="A1211" s="13">
        <v>46230</v>
      </c>
      <c r="B1211" s="14" t="s">
        <v>1569</v>
      </c>
      <c r="C1211" s="14" t="s">
        <v>194</v>
      </c>
      <c r="D1211" s="14" t="s">
        <v>66</v>
      </c>
      <c r="E1211" s="14" t="s">
        <v>9</v>
      </c>
      <c r="F1211" s="15">
        <v>169752.3</v>
      </c>
      <c r="G1211" s="15">
        <v>169752.3</v>
      </c>
    </row>
    <row r="1212" spans="1:7" x14ac:dyDescent="0.25">
      <c r="A1212" s="13">
        <v>46230</v>
      </c>
      <c r="B1212" s="14" t="s">
        <v>1570</v>
      </c>
      <c r="C1212" s="14" t="s">
        <v>218</v>
      </c>
      <c r="D1212" s="14" t="s">
        <v>42</v>
      </c>
      <c r="E1212" s="14" t="s">
        <v>9</v>
      </c>
      <c r="F1212" s="15">
        <v>4130</v>
      </c>
      <c r="G1212" s="15">
        <v>4130</v>
      </c>
    </row>
    <row r="1213" spans="1:7" x14ac:dyDescent="0.25">
      <c r="A1213" s="13">
        <v>46230</v>
      </c>
      <c r="B1213" s="14" t="s">
        <v>1571</v>
      </c>
      <c r="C1213" s="14" t="s">
        <v>237</v>
      </c>
      <c r="D1213" s="14" t="s">
        <v>66</v>
      </c>
      <c r="E1213" s="14" t="s">
        <v>9</v>
      </c>
      <c r="F1213" s="15">
        <v>12375</v>
      </c>
      <c r="G1213" s="15">
        <v>12375</v>
      </c>
    </row>
    <row r="1214" spans="1:7" x14ac:dyDescent="0.25">
      <c r="A1214" s="13">
        <v>46230</v>
      </c>
      <c r="B1214" s="14" t="s">
        <v>1572</v>
      </c>
      <c r="C1214" s="14" t="s">
        <v>237</v>
      </c>
      <c r="D1214" s="14" t="s">
        <v>66</v>
      </c>
      <c r="E1214" s="14" t="s">
        <v>9</v>
      </c>
      <c r="F1214" s="15">
        <v>61479</v>
      </c>
      <c r="G1214" s="15">
        <v>61479</v>
      </c>
    </row>
    <row r="1215" spans="1:7" x14ac:dyDescent="0.25">
      <c r="A1215" s="13">
        <v>46230</v>
      </c>
      <c r="B1215" s="14" t="s">
        <v>1573</v>
      </c>
      <c r="C1215" s="14" t="s">
        <v>236</v>
      </c>
      <c r="D1215" s="14" t="s">
        <v>33</v>
      </c>
      <c r="E1215" s="14" t="s">
        <v>9</v>
      </c>
      <c r="F1215" s="15">
        <v>384551.6</v>
      </c>
      <c r="G1215" s="15">
        <v>384551.6</v>
      </c>
    </row>
    <row r="1216" spans="1:7" x14ac:dyDescent="0.25">
      <c r="A1216" s="13">
        <v>46230</v>
      </c>
      <c r="B1216" s="14" t="s">
        <v>1574</v>
      </c>
      <c r="C1216" s="14" t="s">
        <v>236</v>
      </c>
      <c r="D1216" s="14" t="s">
        <v>33</v>
      </c>
      <c r="E1216" s="14" t="s">
        <v>9</v>
      </c>
      <c r="F1216" s="15">
        <v>69600</v>
      </c>
      <c r="G1216" s="15">
        <v>69600</v>
      </c>
    </row>
    <row r="1217" spans="1:7" x14ac:dyDescent="0.25">
      <c r="A1217" s="13">
        <v>46230</v>
      </c>
      <c r="B1217" s="14" t="s">
        <v>1575</v>
      </c>
      <c r="C1217" s="14" t="s">
        <v>236</v>
      </c>
      <c r="D1217" s="14" t="s">
        <v>33</v>
      </c>
      <c r="E1217" s="14" t="s">
        <v>9</v>
      </c>
      <c r="F1217" s="15">
        <v>174836.36</v>
      </c>
      <c r="G1217" s="15">
        <v>174836.36</v>
      </c>
    </row>
    <row r="1218" spans="1:7" x14ac:dyDescent="0.25">
      <c r="A1218" s="13">
        <v>46231</v>
      </c>
      <c r="B1218" s="14" t="s">
        <v>1576</v>
      </c>
      <c r="C1218" s="14" t="s">
        <v>76</v>
      </c>
      <c r="D1218" s="14" t="s">
        <v>66</v>
      </c>
      <c r="E1218" s="14" t="s">
        <v>9</v>
      </c>
      <c r="F1218" s="15">
        <v>76336.87</v>
      </c>
      <c r="G1218" s="15">
        <v>76336.87</v>
      </c>
    </row>
    <row r="1219" spans="1:7" x14ac:dyDescent="0.25">
      <c r="A1219" s="13">
        <v>46231</v>
      </c>
      <c r="B1219" s="14" t="s">
        <v>1577</v>
      </c>
      <c r="C1219" s="14" t="s">
        <v>76</v>
      </c>
      <c r="D1219" s="14" t="s">
        <v>66</v>
      </c>
      <c r="E1219" s="14" t="s">
        <v>9</v>
      </c>
      <c r="F1219" s="15">
        <v>76649.94</v>
      </c>
      <c r="G1219" s="15">
        <v>76649.94</v>
      </c>
    </row>
    <row r="1220" spans="1:7" x14ac:dyDescent="0.25">
      <c r="A1220" s="13">
        <v>46231</v>
      </c>
      <c r="B1220" s="14" t="s">
        <v>1578</v>
      </c>
      <c r="C1220" s="14" t="s">
        <v>113</v>
      </c>
      <c r="D1220" s="14" t="s">
        <v>57</v>
      </c>
      <c r="E1220" s="14" t="s">
        <v>9</v>
      </c>
      <c r="F1220" s="15">
        <v>1309092</v>
      </c>
      <c r="G1220" s="15">
        <v>1309092</v>
      </c>
    </row>
    <row r="1221" spans="1:7" x14ac:dyDescent="0.25">
      <c r="A1221" s="13">
        <v>46231</v>
      </c>
      <c r="B1221" s="14" t="s">
        <v>1579</v>
      </c>
      <c r="C1221" s="14" t="s">
        <v>113</v>
      </c>
      <c r="D1221" s="14" t="s">
        <v>451</v>
      </c>
      <c r="E1221" s="14" t="s">
        <v>9</v>
      </c>
      <c r="F1221" s="15">
        <v>477900</v>
      </c>
      <c r="G1221" s="15">
        <v>477900</v>
      </c>
    </row>
    <row r="1222" spans="1:7" x14ac:dyDescent="0.25">
      <c r="A1222" s="13">
        <v>46231</v>
      </c>
      <c r="B1222" s="14" t="s">
        <v>1580</v>
      </c>
      <c r="C1222" s="14" t="s">
        <v>276</v>
      </c>
      <c r="D1222" s="14" t="s">
        <v>82</v>
      </c>
      <c r="E1222" s="14" t="s">
        <v>9</v>
      </c>
      <c r="F1222" s="15">
        <v>150000</v>
      </c>
      <c r="G1222" s="15">
        <v>-150000</v>
      </c>
    </row>
    <row r="1223" spans="1:7" x14ac:dyDescent="0.25">
      <c r="A1223" s="13">
        <v>46231</v>
      </c>
      <c r="B1223" s="14" t="s">
        <v>1581</v>
      </c>
      <c r="C1223" s="14" t="s">
        <v>128</v>
      </c>
      <c r="D1223" s="14" t="s">
        <v>463</v>
      </c>
      <c r="E1223" s="14" t="s">
        <v>9</v>
      </c>
      <c r="F1223" s="15">
        <v>488925</v>
      </c>
      <c r="G1223" s="15">
        <v>488925</v>
      </c>
    </row>
    <row r="1224" spans="1:7" x14ac:dyDescent="0.25">
      <c r="A1224" s="13">
        <v>46231</v>
      </c>
      <c r="B1224" s="14" t="s">
        <v>765</v>
      </c>
      <c r="C1224" s="14" t="s">
        <v>143</v>
      </c>
      <c r="D1224" s="14" t="s">
        <v>42</v>
      </c>
      <c r="E1224" s="14" t="s">
        <v>9</v>
      </c>
      <c r="F1224" s="15">
        <v>37674.89</v>
      </c>
      <c r="G1224" s="15">
        <v>37674.89</v>
      </c>
    </row>
    <row r="1225" spans="1:7" x14ac:dyDescent="0.25">
      <c r="A1225" s="13">
        <v>46231</v>
      </c>
      <c r="B1225" s="14" t="s">
        <v>1582</v>
      </c>
      <c r="C1225" s="14" t="s">
        <v>143</v>
      </c>
      <c r="D1225" s="14" t="s">
        <v>49</v>
      </c>
      <c r="E1225" s="14" t="s">
        <v>9</v>
      </c>
      <c r="F1225" s="15">
        <v>89934.6</v>
      </c>
      <c r="G1225" s="15">
        <v>89934.6</v>
      </c>
    </row>
    <row r="1226" spans="1:7" x14ac:dyDescent="0.25">
      <c r="A1226" s="13">
        <v>46231</v>
      </c>
      <c r="B1226" s="14" t="s">
        <v>1583</v>
      </c>
      <c r="C1226" s="14" t="s">
        <v>143</v>
      </c>
      <c r="D1226" s="14" t="s">
        <v>49</v>
      </c>
      <c r="E1226" s="14" t="s">
        <v>9</v>
      </c>
      <c r="F1226" s="15">
        <v>55689.9</v>
      </c>
      <c r="G1226" s="15">
        <v>55689.9</v>
      </c>
    </row>
    <row r="1227" spans="1:7" x14ac:dyDescent="0.25">
      <c r="A1227" s="13">
        <v>46231</v>
      </c>
      <c r="B1227" s="14" t="s">
        <v>1584</v>
      </c>
      <c r="C1227" s="14" t="s">
        <v>164</v>
      </c>
      <c r="D1227" s="14" t="s">
        <v>451</v>
      </c>
      <c r="E1227" s="14" t="s">
        <v>9</v>
      </c>
      <c r="F1227" s="15">
        <v>35482.83</v>
      </c>
      <c r="G1227" s="15">
        <v>35482.83</v>
      </c>
    </row>
    <row r="1228" spans="1:7" x14ac:dyDescent="0.25">
      <c r="A1228" s="13">
        <v>46231</v>
      </c>
      <c r="B1228" s="14" t="s">
        <v>1585</v>
      </c>
      <c r="C1228" s="14" t="s">
        <v>164</v>
      </c>
      <c r="D1228" s="14" t="s">
        <v>451</v>
      </c>
      <c r="E1228" s="14" t="s">
        <v>9</v>
      </c>
      <c r="F1228" s="15">
        <v>64043</v>
      </c>
      <c r="G1228" s="15">
        <v>64043</v>
      </c>
    </row>
    <row r="1229" spans="1:7" x14ac:dyDescent="0.25">
      <c r="A1229" s="13">
        <v>46231</v>
      </c>
      <c r="B1229" s="14" t="s">
        <v>1586</v>
      </c>
      <c r="C1229" s="14" t="s">
        <v>175</v>
      </c>
      <c r="D1229" s="14" t="s">
        <v>731</v>
      </c>
      <c r="E1229" s="14" t="s">
        <v>9</v>
      </c>
      <c r="F1229" s="15">
        <v>27981</v>
      </c>
      <c r="G1229" s="15">
        <v>27981</v>
      </c>
    </row>
    <row r="1230" spans="1:7" x14ac:dyDescent="0.25">
      <c r="A1230" s="13">
        <v>46231</v>
      </c>
      <c r="B1230" s="14" t="s">
        <v>1587</v>
      </c>
      <c r="C1230" s="14" t="s">
        <v>329</v>
      </c>
      <c r="D1230" s="14" t="s">
        <v>239</v>
      </c>
      <c r="E1230" s="14" t="s">
        <v>9</v>
      </c>
      <c r="F1230" s="15">
        <v>62415.5</v>
      </c>
      <c r="G1230" s="15">
        <v>62415.5</v>
      </c>
    </row>
    <row r="1231" spans="1:7" x14ac:dyDescent="0.25">
      <c r="A1231" s="13">
        <v>46231</v>
      </c>
      <c r="B1231" s="14" t="s">
        <v>1588</v>
      </c>
      <c r="C1231" s="14" t="s">
        <v>329</v>
      </c>
      <c r="D1231" s="14" t="s">
        <v>239</v>
      </c>
      <c r="E1231" s="14" t="s">
        <v>9</v>
      </c>
      <c r="F1231" s="15">
        <v>142664</v>
      </c>
      <c r="G1231" s="15">
        <v>142664</v>
      </c>
    </row>
    <row r="1232" spans="1:7" x14ac:dyDescent="0.25">
      <c r="A1232" s="13">
        <v>46231</v>
      </c>
      <c r="B1232" s="14" t="s">
        <v>1589</v>
      </c>
      <c r="C1232" s="14" t="s">
        <v>204</v>
      </c>
      <c r="D1232" s="14" t="s">
        <v>20</v>
      </c>
      <c r="E1232" s="14" t="s">
        <v>9</v>
      </c>
      <c r="F1232" s="15">
        <v>4189</v>
      </c>
      <c r="G1232" s="15">
        <v>4189</v>
      </c>
    </row>
    <row r="1233" spans="1:7" x14ac:dyDescent="0.25">
      <c r="A1233" s="13">
        <v>46231</v>
      </c>
      <c r="B1233" s="14" t="s">
        <v>1590</v>
      </c>
      <c r="C1233" s="14" t="s">
        <v>301</v>
      </c>
      <c r="D1233" s="14"/>
      <c r="E1233" s="14" t="s">
        <v>9</v>
      </c>
      <c r="F1233" s="15">
        <v>5.9</v>
      </c>
      <c r="G1233" s="15">
        <v>-5.9</v>
      </c>
    </row>
    <row r="1234" spans="1:7" x14ac:dyDescent="0.25">
      <c r="A1234" s="13">
        <v>46231</v>
      </c>
      <c r="B1234" s="14" t="s">
        <v>1591</v>
      </c>
      <c r="C1234" s="14" t="s">
        <v>301</v>
      </c>
      <c r="D1234" s="14"/>
      <c r="E1234" s="14" t="s">
        <v>9</v>
      </c>
      <c r="F1234" s="15">
        <v>102.95</v>
      </c>
      <c r="G1234" s="15">
        <v>-102.95</v>
      </c>
    </row>
    <row r="1235" spans="1:7" x14ac:dyDescent="0.25">
      <c r="A1235" s="13">
        <v>46231</v>
      </c>
      <c r="B1235" s="14" t="s">
        <v>1592</v>
      </c>
      <c r="C1235" s="14" t="s">
        <v>194</v>
      </c>
      <c r="D1235" s="14" t="s">
        <v>66</v>
      </c>
      <c r="E1235" s="14" t="s">
        <v>9</v>
      </c>
      <c r="F1235" s="15">
        <v>197853.19</v>
      </c>
      <c r="G1235" s="15">
        <v>197853.19</v>
      </c>
    </row>
    <row r="1236" spans="1:7" x14ac:dyDescent="0.25">
      <c r="A1236" s="13">
        <v>46231</v>
      </c>
      <c r="B1236" s="14" t="s">
        <v>1593</v>
      </c>
      <c r="C1236" s="14" t="s">
        <v>196</v>
      </c>
      <c r="D1236" s="14" t="s">
        <v>451</v>
      </c>
      <c r="E1236" s="14" t="s">
        <v>9</v>
      </c>
      <c r="F1236" s="15">
        <v>146306.16</v>
      </c>
      <c r="G1236" s="15">
        <v>146306.16</v>
      </c>
    </row>
    <row r="1237" spans="1:7" x14ac:dyDescent="0.25">
      <c r="A1237" s="13">
        <v>46231</v>
      </c>
      <c r="B1237" s="14" t="s">
        <v>1594</v>
      </c>
      <c r="C1237" s="14" t="s">
        <v>196</v>
      </c>
      <c r="D1237" s="14" t="s">
        <v>451</v>
      </c>
      <c r="E1237" s="14" t="s">
        <v>9</v>
      </c>
      <c r="F1237" s="15">
        <v>253222.2</v>
      </c>
      <c r="G1237" s="15">
        <v>253222.2</v>
      </c>
    </row>
    <row r="1238" spans="1:7" x14ac:dyDescent="0.25">
      <c r="A1238" s="13">
        <v>46231</v>
      </c>
      <c r="B1238" s="14" t="s">
        <v>1595</v>
      </c>
      <c r="C1238" s="14" t="s">
        <v>237</v>
      </c>
      <c r="D1238" s="14" t="s">
        <v>66</v>
      </c>
      <c r="E1238" s="14" t="s">
        <v>9</v>
      </c>
      <c r="F1238" s="15">
        <v>53460</v>
      </c>
      <c r="G1238" s="15">
        <v>53460</v>
      </c>
    </row>
    <row r="1239" spans="1:7" x14ac:dyDescent="0.25">
      <c r="A1239" s="13">
        <v>46232</v>
      </c>
      <c r="B1239" s="14" t="s">
        <v>1596</v>
      </c>
      <c r="C1239" s="14" t="s">
        <v>27</v>
      </c>
      <c r="D1239" s="14" t="s">
        <v>42</v>
      </c>
      <c r="E1239" s="14" t="s">
        <v>9</v>
      </c>
      <c r="F1239" s="15">
        <v>81743</v>
      </c>
      <c r="G1239" s="15">
        <v>81743</v>
      </c>
    </row>
    <row r="1240" spans="1:7" x14ac:dyDescent="0.25">
      <c r="A1240" s="13">
        <v>46232</v>
      </c>
      <c r="B1240" s="14" t="s">
        <v>1597</v>
      </c>
      <c r="C1240" s="14" t="s">
        <v>32</v>
      </c>
      <c r="D1240" s="14" t="s">
        <v>33</v>
      </c>
      <c r="E1240" s="14" t="s">
        <v>9</v>
      </c>
      <c r="F1240" s="15">
        <v>39112.49</v>
      </c>
      <c r="G1240" s="15">
        <v>39112.49</v>
      </c>
    </row>
    <row r="1241" spans="1:7" x14ac:dyDescent="0.25">
      <c r="A1241" s="13">
        <v>46232</v>
      </c>
      <c r="B1241" s="14" t="s">
        <v>1598</v>
      </c>
      <c r="C1241" s="14" t="s">
        <v>32</v>
      </c>
      <c r="D1241" s="14" t="s">
        <v>33</v>
      </c>
      <c r="E1241" s="14" t="s">
        <v>9</v>
      </c>
      <c r="F1241" s="15">
        <v>43234.64</v>
      </c>
      <c r="G1241" s="15">
        <v>43234.64</v>
      </c>
    </row>
    <row r="1242" spans="1:7" x14ac:dyDescent="0.25">
      <c r="A1242" s="13">
        <v>46232</v>
      </c>
      <c r="B1242" s="14" t="s">
        <v>1599</v>
      </c>
      <c r="C1242" s="14" t="s">
        <v>32</v>
      </c>
      <c r="D1242" s="14" t="s">
        <v>33</v>
      </c>
      <c r="E1242" s="14" t="s">
        <v>9</v>
      </c>
      <c r="F1242" s="15">
        <v>74271.87</v>
      </c>
      <c r="G1242" s="15">
        <v>74271.87</v>
      </c>
    </row>
    <row r="1243" spans="1:7" x14ac:dyDescent="0.25">
      <c r="A1243" s="13">
        <v>46232</v>
      </c>
      <c r="B1243" s="14" t="s">
        <v>1600</v>
      </c>
      <c r="C1243" s="14" t="s">
        <v>32</v>
      </c>
      <c r="D1243" s="14" t="s">
        <v>33</v>
      </c>
      <c r="E1243" s="14" t="s">
        <v>9</v>
      </c>
      <c r="F1243" s="15">
        <v>58577.1</v>
      </c>
      <c r="G1243" s="15">
        <v>58577.1</v>
      </c>
    </row>
    <row r="1244" spans="1:7" x14ac:dyDescent="0.25">
      <c r="A1244" s="13">
        <v>46232</v>
      </c>
      <c r="B1244" s="14" t="s">
        <v>1601</v>
      </c>
      <c r="C1244" s="14" t="s">
        <v>32</v>
      </c>
      <c r="D1244" s="14" t="s">
        <v>33</v>
      </c>
      <c r="E1244" s="14" t="s">
        <v>9</v>
      </c>
      <c r="F1244" s="15">
        <v>72623.16</v>
      </c>
      <c r="G1244" s="15">
        <v>72623.16</v>
      </c>
    </row>
    <row r="1245" spans="1:7" x14ac:dyDescent="0.25">
      <c r="A1245" s="13">
        <v>46232</v>
      </c>
      <c r="B1245" s="14" t="s">
        <v>1602</v>
      </c>
      <c r="C1245" s="14" t="s">
        <v>32</v>
      </c>
      <c r="D1245" s="14" t="s">
        <v>33</v>
      </c>
      <c r="E1245" s="14" t="s">
        <v>9</v>
      </c>
      <c r="F1245" s="15">
        <v>56650.47</v>
      </c>
      <c r="G1245" s="15">
        <v>56650.47</v>
      </c>
    </row>
    <row r="1246" spans="1:7" x14ac:dyDescent="0.25">
      <c r="A1246" s="13">
        <v>46232</v>
      </c>
      <c r="B1246" s="14" t="s">
        <v>1603</v>
      </c>
      <c r="C1246" s="14" t="s">
        <v>32</v>
      </c>
      <c r="D1246" s="14" t="s">
        <v>33</v>
      </c>
      <c r="E1246" s="14" t="s">
        <v>9</v>
      </c>
      <c r="F1246" s="15">
        <v>56314.62</v>
      </c>
      <c r="G1246" s="15">
        <v>56314.62</v>
      </c>
    </row>
    <row r="1247" spans="1:7" x14ac:dyDescent="0.25">
      <c r="A1247" s="13">
        <v>46232</v>
      </c>
      <c r="B1247" s="14" t="s">
        <v>1604</v>
      </c>
      <c r="C1247" s="14" t="s">
        <v>32</v>
      </c>
      <c r="D1247" s="14" t="s">
        <v>33</v>
      </c>
      <c r="E1247" s="14" t="s">
        <v>9</v>
      </c>
      <c r="F1247" s="15">
        <v>57463.53</v>
      </c>
      <c r="G1247" s="15">
        <v>57463.53</v>
      </c>
    </row>
    <row r="1248" spans="1:7" x14ac:dyDescent="0.25">
      <c r="A1248" s="13">
        <v>46232</v>
      </c>
      <c r="B1248" s="14" t="s">
        <v>1605</v>
      </c>
      <c r="C1248" s="14" t="s">
        <v>32</v>
      </c>
      <c r="D1248" s="14" t="s">
        <v>33</v>
      </c>
      <c r="E1248" s="14" t="s">
        <v>9</v>
      </c>
      <c r="F1248" s="15">
        <v>52107.83</v>
      </c>
      <c r="G1248" s="15">
        <v>52107.83</v>
      </c>
    </row>
    <row r="1249" spans="1:7" x14ac:dyDescent="0.25">
      <c r="A1249" s="13">
        <v>46232</v>
      </c>
      <c r="B1249" s="14" t="s">
        <v>1606</v>
      </c>
      <c r="C1249" s="14" t="s">
        <v>259</v>
      </c>
      <c r="D1249" s="14" t="s">
        <v>42</v>
      </c>
      <c r="E1249" s="14" t="s">
        <v>9</v>
      </c>
      <c r="F1249" s="15">
        <v>131569.85999999999</v>
      </c>
      <c r="G1249" s="15">
        <v>-131569.85999999999</v>
      </c>
    </row>
    <row r="1250" spans="1:7" x14ac:dyDescent="0.25">
      <c r="A1250" s="13">
        <v>46232</v>
      </c>
      <c r="B1250" s="14" t="s">
        <v>1607</v>
      </c>
      <c r="C1250" s="14" t="s">
        <v>37</v>
      </c>
      <c r="D1250" s="14" t="s">
        <v>33</v>
      </c>
      <c r="E1250" s="14" t="s">
        <v>9</v>
      </c>
      <c r="F1250" s="15">
        <v>59660.04</v>
      </c>
      <c r="G1250" s="15">
        <v>59660.04</v>
      </c>
    </row>
    <row r="1251" spans="1:7" x14ac:dyDescent="0.25">
      <c r="A1251" s="13">
        <v>46232</v>
      </c>
      <c r="B1251" s="14" t="s">
        <v>1608</v>
      </c>
      <c r="C1251" s="14" t="s">
        <v>37</v>
      </c>
      <c r="D1251" s="14" t="s">
        <v>33</v>
      </c>
      <c r="E1251" s="14" t="s">
        <v>9</v>
      </c>
      <c r="F1251" s="15">
        <v>58140.05</v>
      </c>
      <c r="G1251" s="15">
        <v>58140.05</v>
      </c>
    </row>
    <row r="1252" spans="1:7" x14ac:dyDescent="0.25">
      <c r="A1252" s="13">
        <v>46232</v>
      </c>
      <c r="B1252" s="14" t="s">
        <v>1609</v>
      </c>
      <c r="C1252" s="14" t="s">
        <v>37</v>
      </c>
      <c r="D1252" s="14" t="s">
        <v>33</v>
      </c>
      <c r="E1252" s="14" t="s">
        <v>9</v>
      </c>
      <c r="F1252" s="15">
        <v>53905.74</v>
      </c>
      <c r="G1252" s="15">
        <v>53905.74</v>
      </c>
    </row>
    <row r="1253" spans="1:7" x14ac:dyDescent="0.25">
      <c r="A1253" s="13">
        <v>46232</v>
      </c>
      <c r="B1253" s="14" t="s">
        <v>1610</v>
      </c>
      <c r="C1253" s="14" t="s">
        <v>37</v>
      </c>
      <c r="D1253" s="14" t="s">
        <v>33</v>
      </c>
      <c r="E1253" s="14" t="s">
        <v>9</v>
      </c>
      <c r="F1253" s="15">
        <v>57723.85</v>
      </c>
      <c r="G1253" s="15">
        <v>57723.85</v>
      </c>
    </row>
    <row r="1254" spans="1:7" x14ac:dyDescent="0.25">
      <c r="A1254" s="13">
        <v>46232</v>
      </c>
      <c r="B1254" s="14" t="s">
        <v>1611</v>
      </c>
      <c r="C1254" s="14" t="s">
        <v>50</v>
      </c>
      <c r="D1254" s="14" t="s">
        <v>82</v>
      </c>
      <c r="E1254" s="14" t="s">
        <v>9</v>
      </c>
      <c r="F1254" s="15">
        <v>139597</v>
      </c>
      <c r="G1254" s="15">
        <v>139597</v>
      </c>
    </row>
    <row r="1255" spans="1:7" x14ac:dyDescent="0.25">
      <c r="A1255" s="13">
        <v>46232</v>
      </c>
      <c r="B1255" s="14" t="s">
        <v>1612</v>
      </c>
      <c r="C1255" s="14" t="s">
        <v>76</v>
      </c>
      <c r="D1255" s="14" t="s">
        <v>66</v>
      </c>
      <c r="E1255" s="14" t="s">
        <v>9</v>
      </c>
      <c r="F1255" s="15">
        <v>77171.710000000006</v>
      </c>
      <c r="G1255" s="15">
        <v>77171.710000000006</v>
      </c>
    </row>
    <row r="1256" spans="1:7" x14ac:dyDescent="0.25">
      <c r="A1256" s="13">
        <v>46232</v>
      </c>
      <c r="B1256" s="14" t="s">
        <v>1613</v>
      </c>
      <c r="C1256" s="14" t="s">
        <v>76</v>
      </c>
      <c r="D1256" s="14" t="s">
        <v>66</v>
      </c>
      <c r="E1256" s="14" t="s">
        <v>9</v>
      </c>
      <c r="F1256" s="15">
        <v>77484.78</v>
      </c>
      <c r="G1256" s="15">
        <v>77484.78</v>
      </c>
    </row>
    <row r="1257" spans="1:7" x14ac:dyDescent="0.25">
      <c r="A1257" s="13">
        <v>46232</v>
      </c>
      <c r="B1257" s="14" t="s">
        <v>1614</v>
      </c>
      <c r="C1257" s="14" t="s">
        <v>91</v>
      </c>
      <c r="D1257" s="14" t="s">
        <v>79</v>
      </c>
      <c r="E1257" s="14" t="s">
        <v>9</v>
      </c>
      <c r="F1257" s="15">
        <v>260000</v>
      </c>
      <c r="G1257" s="15">
        <v>-260000</v>
      </c>
    </row>
    <row r="1258" spans="1:7" x14ac:dyDescent="0.25">
      <c r="A1258" s="13">
        <v>46232</v>
      </c>
      <c r="B1258" s="14" t="s">
        <v>1615</v>
      </c>
      <c r="C1258" s="14" t="s">
        <v>272</v>
      </c>
      <c r="D1258" s="14" t="s">
        <v>79</v>
      </c>
      <c r="E1258" s="14" t="s">
        <v>9</v>
      </c>
      <c r="F1258" s="15">
        <v>300000</v>
      </c>
      <c r="G1258" s="15">
        <v>-300000</v>
      </c>
    </row>
    <row r="1259" spans="1:7" x14ac:dyDescent="0.25">
      <c r="A1259" s="13">
        <v>46232</v>
      </c>
      <c r="B1259" s="14" t="s">
        <v>1616</v>
      </c>
      <c r="C1259" s="14" t="s">
        <v>276</v>
      </c>
      <c r="D1259" s="14" t="s">
        <v>82</v>
      </c>
      <c r="E1259" s="14" t="s">
        <v>9</v>
      </c>
      <c r="F1259" s="15">
        <v>300000</v>
      </c>
      <c r="G1259" s="15">
        <v>-300000</v>
      </c>
    </row>
    <row r="1260" spans="1:7" x14ac:dyDescent="0.25">
      <c r="A1260" s="13">
        <v>46232</v>
      </c>
      <c r="B1260" s="14" t="s">
        <v>1617</v>
      </c>
      <c r="C1260" s="14" t="s">
        <v>183</v>
      </c>
      <c r="D1260" s="14" t="s">
        <v>451</v>
      </c>
      <c r="E1260" s="14" t="s">
        <v>9</v>
      </c>
      <c r="F1260" s="15">
        <v>89088</v>
      </c>
      <c r="G1260" s="15">
        <v>89088</v>
      </c>
    </row>
    <row r="1261" spans="1:7" x14ac:dyDescent="0.25">
      <c r="A1261" s="13">
        <v>46232</v>
      </c>
      <c r="B1261" s="14" t="s">
        <v>1618</v>
      </c>
      <c r="C1261" s="14" t="s">
        <v>211</v>
      </c>
      <c r="D1261" s="14" t="s">
        <v>451</v>
      </c>
      <c r="E1261" s="14" t="s">
        <v>9</v>
      </c>
      <c r="F1261" s="15">
        <v>77917.56</v>
      </c>
      <c r="G1261" s="15">
        <v>77917.56</v>
      </c>
    </row>
    <row r="1262" spans="1:7" x14ac:dyDescent="0.25">
      <c r="A1262" s="13">
        <v>46232</v>
      </c>
      <c r="B1262" s="14" t="s">
        <v>1619</v>
      </c>
      <c r="C1262" s="14" t="s">
        <v>211</v>
      </c>
      <c r="D1262" s="14" t="s">
        <v>57</v>
      </c>
      <c r="E1262" s="14" t="s">
        <v>9</v>
      </c>
      <c r="F1262" s="15">
        <v>81969.100000000006</v>
      </c>
      <c r="G1262" s="15">
        <v>81969.100000000006</v>
      </c>
    </row>
    <row r="1263" spans="1:7" x14ac:dyDescent="0.25">
      <c r="A1263" s="13">
        <v>46232</v>
      </c>
      <c r="B1263" s="14" t="s">
        <v>1620</v>
      </c>
      <c r="C1263" s="14" t="s">
        <v>211</v>
      </c>
      <c r="D1263" s="14" t="s">
        <v>451</v>
      </c>
      <c r="E1263" s="14" t="s">
        <v>9</v>
      </c>
      <c r="F1263" s="15">
        <v>84555.66</v>
      </c>
      <c r="G1263" s="15">
        <v>84555.66</v>
      </c>
    </row>
    <row r="1264" spans="1:7" x14ac:dyDescent="0.25">
      <c r="A1264" s="13">
        <v>46232</v>
      </c>
      <c r="B1264" s="14" t="s">
        <v>1621</v>
      </c>
      <c r="C1264" s="14" t="s">
        <v>211</v>
      </c>
      <c r="D1264" s="14" t="s">
        <v>57</v>
      </c>
      <c r="E1264" s="14" t="s">
        <v>9</v>
      </c>
      <c r="F1264" s="15">
        <v>81763.08</v>
      </c>
      <c r="G1264" s="15">
        <v>81763.08</v>
      </c>
    </row>
    <row r="1265" spans="1:7" x14ac:dyDescent="0.25">
      <c r="A1265" s="13">
        <v>46232</v>
      </c>
      <c r="B1265" s="14" t="s">
        <v>1622</v>
      </c>
      <c r="C1265" s="14" t="s">
        <v>211</v>
      </c>
      <c r="D1265" s="14" t="s">
        <v>57</v>
      </c>
      <c r="E1265" s="14" t="s">
        <v>9</v>
      </c>
      <c r="F1265" s="15">
        <v>79794.539999999994</v>
      </c>
      <c r="G1265" s="15">
        <v>79794.539999999994</v>
      </c>
    </row>
    <row r="1266" spans="1:7" x14ac:dyDescent="0.25">
      <c r="A1266" s="13">
        <v>46232</v>
      </c>
      <c r="B1266" s="14" t="s">
        <v>1623</v>
      </c>
      <c r="C1266" s="14" t="s">
        <v>194</v>
      </c>
      <c r="D1266" s="14" t="s">
        <v>66</v>
      </c>
      <c r="E1266" s="14" t="s">
        <v>9</v>
      </c>
      <c r="F1266" s="15">
        <v>169752.3</v>
      </c>
      <c r="G1266" s="15">
        <v>169752.3</v>
      </c>
    </row>
    <row r="1267" spans="1:7" x14ac:dyDescent="0.25">
      <c r="A1267" s="13">
        <v>46232</v>
      </c>
      <c r="B1267" s="14" t="s">
        <v>1624</v>
      </c>
      <c r="C1267" s="14" t="s">
        <v>237</v>
      </c>
      <c r="D1267" s="14" t="s">
        <v>66</v>
      </c>
      <c r="E1267" s="14" t="s">
        <v>9</v>
      </c>
      <c r="F1267" s="15">
        <v>53460</v>
      </c>
      <c r="G1267" s="15">
        <v>53460</v>
      </c>
    </row>
    <row r="1268" spans="1:7" x14ac:dyDescent="0.25">
      <c r="A1268" s="13">
        <v>46232</v>
      </c>
      <c r="B1268" s="14" t="s">
        <v>1625</v>
      </c>
      <c r="C1268" s="14" t="s">
        <v>237</v>
      </c>
      <c r="D1268" s="14" t="s">
        <v>66</v>
      </c>
      <c r="E1268" s="14" t="s">
        <v>9</v>
      </c>
      <c r="F1268" s="15">
        <v>53460</v>
      </c>
      <c r="G1268" s="15">
        <v>53460</v>
      </c>
    </row>
    <row r="1269" spans="1:7" x14ac:dyDescent="0.25">
      <c r="A1269" s="13">
        <v>46233</v>
      </c>
      <c r="B1269" s="14" t="s">
        <v>1626</v>
      </c>
      <c r="C1269" s="14" t="s">
        <v>136</v>
      </c>
      <c r="D1269" s="14" t="s">
        <v>463</v>
      </c>
      <c r="E1269" s="14" t="s">
        <v>9</v>
      </c>
      <c r="F1269" s="15">
        <v>97000</v>
      </c>
      <c r="G1269" s="15">
        <v>97000</v>
      </c>
    </row>
    <row r="1270" spans="1:7" x14ac:dyDescent="0.25">
      <c r="A1270" s="13">
        <v>46233</v>
      </c>
      <c r="B1270" s="14" t="s">
        <v>1627</v>
      </c>
      <c r="C1270" s="14" t="s">
        <v>140</v>
      </c>
      <c r="D1270" s="14" t="s">
        <v>463</v>
      </c>
      <c r="E1270" s="14" t="s">
        <v>9</v>
      </c>
      <c r="F1270" s="15">
        <v>106508</v>
      </c>
      <c r="G1270" s="15">
        <v>106508</v>
      </c>
    </row>
    <row r="1271" spans="1:7" x14ac:dyDescent="0.25">
      <c r="A1271" s="13">
        <v>46233</v>
      </c>
      <c r="B1271" s="14" t="s">
        <v>1628</v>
      </c>
      <c r="C1271" s="14" t="s">
        <v>140</v>
      </c>
      <c r="D1271" s="14" t="s">
        <v>463</v>
      </c>
      <c r="E1271" s="14" t="s">
        <v>9</v>
      </c>
      <c r="F1271" s="15">
        <v>83728</v>
      </c>
      <c r="G1271" s="15">
        <v>83728</v>
      </c>
    </row>
    <row r="1272" spans="1:7" x14ac:dyDescent="0.25">
      <c r="A1272" s="13">
        <v>46233</v>
      </c>
      <c r="B1272" s="14" t="s">
        <v>1629</v>
      </c>
      <c r="C1272" s="14" t="s">
        <v>327</v>
      </c>
      <c r="D1272" s="14" t="s">
        <v>396</v>
      </c>
      <c r="E1272" s="14" t="s">
        <v>9</v>
      </c>
      <c r="F1272" s="15">
        <v>42444</v>
      </c>
      <c r="G1272" s="15">
        <v>42444</v>
      </c>
    </row>
    <row r="1273" spans="1:7" x14ac:dyDescent="0.25">
      <c r="A1273" s="13">
        <v>46233</v>
      </c>
      <c r="B1273" s="14" t="s">
        <v>1630</v>
      </c>
      <c r="C1273" s="14" t="s">
        <v>183</v>
      </c>
      <c r="D1273" s="14" t="s">
        <v>451</v>
      </c>
      <c r="E1273" s="14" t="s">
        <v>9</v>
      </c>
      <c r="F1273" s="15">
        <v>10005</v>
      </c>
      <c r="G1273" s="15">
        <v>10005</v>
      </c>
    </row>
    <row r="1274" spans="1:7" x14ac:dyDescent="0.25">
      <c r="A1274" s="13">
        <v>46233</v>
      </c>
      <c r="B1274" s="14" t="s">
        <v>1631</v>
      </c>
      <c r="C1274" s="14" t="s">
        <v>194</v>
      </c>
      <c r="D1274" s="14" t="s">
        <v>66</v>
      </c>
      <c r="E1274" s="14" t="s">
        <v>9</v>
      </c>
      <c r="F1274" s="15">
        <v>197853.19</v>
      </c>
      <c r="G1274" s="15">
        <v>197853.19</v>
      </c>
    </row>
    <row r="1275" spans="1:7" x14ac:dyDescent="0.25">
      <c r="A1275" s="13">
        <v>46233</v>
      </c>
      <c r="B1275" s="14" t="s">
        <v>1632</v>
      </c>
      <c r="C1275" s="14" t="s">
        <v>233</v>
      </c>
      <c r="D1275" s="14" t="s">
        <v>731</v>
      </c>
      <c r="E1275" s="14" t="s">
        <v>9</v>
      </c>
      <c r="F1275" s="15">
        <v>759990</v>
      </c>
      <c r="G1275" s="15">
        <v>759990</v>
      </c>
    </row>
    <row r="1276" spans="1:7" x14ac:dyDescent="0.25">
      <c r="A1276" s="13">
        <v>46234</v>
      </c>
      <c r="B1276" s="14" t="s">
        <v>1633</v>
      </c>
      <c r="C1276" s="14" t="s">
        <v>41</v>
      </c>
      <c r="D1276" s="14" t="s">
        <v>42</v>
      </c>
      <c r="E1276" s="14" t="s">
        <v>9</v>
      </c>
      <c r="F1276" s="15">
        <v>106912.12</v>
      </c>
      <c r="G1276" s="15">
        <v>106912.12</v>
      </c>
    </row>
    <row r="1277" spans="1:7" x14ac:dyDescent="0.25">
      <c r="A1277" s="13">
        <v>46234</v>
      </c>
      <c r="B1277" s="14" t="s">
        <v>1634</v>
      </c>
      <c r="C1277" s="14" t="s">
        <v>257</v>
      </c>
      <c r="D1277" s="14" t="s">
        <v>82</v>
      </c>
      <c r="E1277" s="14" t="s">
        <v>9</v>
      </c>
      <c r="F1277" s="15">
        <v>15000</v>
      </c>
      <c r="G1277" s="15">
        <v>-15000</v>
      </c>
    </row>
    <row r="1278" spans="1:7" x14ac:dyDescent="0.25">
      <c r="A1278" s="13">
        <v>46234</v>
      </c>
      <c r="B1278" s="14" t="s">
        <v>1635</v>
      </c>
      <c r="C1278" s="14" t="s">
        <v>257</v>
      </c>
      <c r="D1278" s="14" t="s">
        <v>79</v>
      </c>
      <c r="E1278" s="14" t="s">
        <v>9</v>
      </c>
      <c r="F1278" s="15">
        <v>10516</v>
      </c>
      <c r="G1278" s="15">
        <v>10516</v>
      </c>
    </row>
    <row r="1279" spans="1:7" x14ac:dyDescent="0.25">
      <c r="A1279" s="13">
        <v>46234</v>
      </c>
      <c r="B1279" s="14" t="s">
        <v>1636</v>
      </c>
      <c r="C1279" s="14" t="s">
        <v>44</v>
      </c>
      <c r="D1279" s="14" t="s">
        <v>463</v>
      </c>
      <c r="E1279" s="14" t="s">
        <v>9</v>
      </c>
      <c r="F1279" s="15">
        <v>11328</v>
      </c>
      <c r="G1279" s="15">
        <v>11328</v>
      </c>
    </row>
    <row r="1280" spans="1:7" x14ac:dyDescent="0.25">
      <c r="A1280" s="13">
        <v>46234</v>
      </c>
      <c r="B1280" s="14" t="s">
        <v>1637</v>
      </c>
      <c r="C1280" s="14" t="s">
        <v>32</v>
      </c>
      <c r="D1280" s="14" t="s">
        <v>33</v>
      </c>
      <c r="E1280" s="14" t="s">
        <v>9</v>
      </c>
      <c r="F1280" s="15">
        <v>42198.13</v>
      </c>
      <c r="G1280" s="15">
        <v>42198.13</v>
      </c>
    </row>
    <row r="1281" spans="1:7" x14ac:dyDescent="0.25">
      <c r="A1281" s="13">
        <v>46234</v>
      </c>
      <c r="B1281" s="14" t="s">
        <v>1638</v>
      </c>
      <c r="C1281" s="14" t="s">
        <v>32</v>
      </c>
      <c r="D1281" s="14" t="s">
        <v>33</v>
      </c>
      <c r="E1281" s="14" t="s">
        <v>9</v>
      </c>
      <c r="F1281" s="15">
        <v>49969.06</v>
      </c>
      <c r="G1281" s="15">
        <v>49969.06</v>
      </c>
    </row>
    <row r="1282" spans="1:7" x14ac:dyDescent="0.25">
      <c r="A1282" s="13">
        <v>46234</v>
      </c>
      <c r="B1282" s="14" t="s">
        <v>1639</v>
      </c>
      <c r="C1282" s="14" t="s">
        <v>32</v>
      </c>
      <c r="D1282" s="14" t="s">
        <v>33</v>
      </c>
      <c r="E1282" s="14" t="s">
        <v>9</v>
      </c>
      <c r="F1282" s="15">
        <v>56403</v>
      </c>
      <c r="G1282" s="15">
        <v>56403</v>
      </c>
    </row>
    <row r="1283" spans="1:7" x14ac:dyDescent="0.25">
      <c r="A1283" s="13">
        <v>46234</v>
      </c>
      <c r="B1283" s="14" t="s">
        <v>1640</v>
      </c>
      <c r="C1283" s="14" t="s">
        <v>32</v>
      </c>
      <c r="D1283" s="14" t="s">
        <v>33</v>
      </c>
      <c r="E1283" s="14" t="s">
        <v>9</v>
      </c>
      <c r="F1283" s="15">
        <v>57392.84</v>
      </c>
      <c r="G1283" s="15">
        <v>57392.84</v>
      </c>
    </row>
    <row r="1284" spans="1:7" x14ac:dyDescent="0.25">
      <c r="A1284" s="13">
        <v>46234</v>
      </c>
      <c r="B1284" s="14" t="s">
        <v>1641</v>
      </c>
      <c r="C1284" s="14" t="s">
        <v>32</v>
      </c>
      <c r="D1284" s="14" t="s">
        <v>33</v>
      </c>
      <c r="E1284" s="14" t="s">
        <v>9</v>
      </c>
      <c r="F1284" s="15">
        <v>57817.05</v>
      </c>
      <c r="G1284" s="15">
        <v>57817.05</v>
      </c>
    </row>
    <row r="1285" spans="1:7" x14ac:dyDescent="0.25">
      <c r="A1285" s="13">
        <v>46234</v>
      </c>
      <c r="B1285" s="14" t="s">
        <v>1642</v>
      </c>
      <c r="C1285" s="14" t="s">
        <v>32</v>
      </c>
      <c r="D1285" s="14" t="s">
        <v>33</v>
      </c>
      <c r="E1285" s="14" t="s">
        <v>9</v>
      </c>
      <c r="F1285" s="15">
        <v>58152.88</v>
      </c>
      <c r="G1285" s="15">
        <v>58152.88</v>
      </c>
    </row>
    <row r="1286" spans="1:7" x14ac:dyDescent="0.25">
      <c r="A1286" s="13">
        <v>46234</v>
      </c>
      <c r="B1286" s="14" t="s">
        <v>1643</v>
      </c>
      <c r="C1286" s="14" t="s">
        <v>32</v>
      </c>
      <c r="D1286" s="14" t="s">
        <v>33</v>
      </c>
      <c r="E1286" s="14" t="s">
        <v>9</v>
      </c>
      <c r="F1286" s="15">
        <v>58471.06</v>
      </c>
      <c r="G1286" s="15">
        <v>58471.06</v>
      </c>
    </row>
    <row r="1287" spans="1:7" x14ac:dyDescent="0.25">
      <c r="A1287" s="13">
        <v>46234</v>
      </c>
      <c r="B1287" s="14" t="s">
        <v>1644</v>
      </c>
      <c r="C1287" s="14" t="s">
        <v>32</v>
      </c>
      <c r="D1287" s="14" t="s">
        <v>33</v>
      </c>
      <c r="E1287" s="14" t="s">
        <v>9</v>
      </c>
      <c r="F1287" s="15">
        <v>60397.69</v>
      </c>
      <c r="G1287" s="15">
        <v>60397.69</v>
      </c>
    </row>
    <row r="1288" spans="1:7" x14ac:dyDescent="0.25">
      <c r="A1288" s="13">
        <v>46234</v>
      </c>
      <c r="B1288" s="14" t="s">
        <v>1645</v>
      </c>
      <c r="C1288" s="14" t="s">
        <v>32</v>
      </c>
      <c r="D1288" s="14" t="s">
        <v>33</v>
      </c>
      <c r="E1288" s="14" t="s">
        <v>9</v>
      </c>
      <c r="F1288" s="15">
        <v>55271.76</v>
      </c>
      <c r="G1288" s="15">
        <v>55271.76</v>
      </c>
    </row>
    <row r="1289" spans="1:7" x14ac:dyDescent="0.25">
      <c r="A1289" s="13">
        <v>46234</v>
      </c>
      <c r="B1289" s="14" t="s">
        <v>1646</v>
      </c>
      <c r="C1289" s="14" t="s">
        <v>32</v>
      </c>
      <c r="D1289" s="14" t="s">
        <v>33</v>
      </c>
      <c r="E1289" s="14" t="s">
        <v>9</v>
      </c>
      <c r="F1289" s="15">
        <v>56031.81</v>
      </c>
      <c r="G1289" s="15">
        <v>56031.81</v>
      </c>
    </row>
    <row r="1290" spans="1:7" x14ac:dyDescent="0.25">
      <c r="A1290" s="13">
        <v>46234</v>
      </c>
      <c r="B1290" s="14" t="s">
        <v>1647</v>
      </c>
      <c r="C1290" s="14" t="s">
        <v>32</v>
      </c>
      <c r="D1290" s="14" t="s">
        <v>33</v>
      </c>
      <c r="E1290" s="14" t="s">
        <v>9</v>
      </c>
      <c r="F1290" s="15">
        <v>72011.55</v>
      </c>
      <c r="G1290" s="15">
        <v>72011.55</v>
      </c>
    </row>
    <row r="1291" spans="1:7" x14ac:dyDescent="0.25">
      <c r="A1291" s="13">
        <v>46234</v>
      </c>
      <c r="B1291" s="14" t="s">
        <v>1648</v>
      </c>
      <c r="C1291" s="14" t="s">
        <v>32</v>
      </c>
      <c r="D1291" s="14" t="s">
        <v>33</v>
      </c>
      <c r="E1291" s="14" t="s">
        <v>9</v>
      </c>
      <c r="F1291" s="15">
        <v>71665.850000000006</v>
      </c>
      <c r="G1291" s="15">
        <v>71665.850000000006</v>
      </c>
    </row>
    <row r="1292" spans="1:7" x14ac:dyDescent="0.25">
      <c r="A1292" s="13">
        <v>46234</v>
      </c>
      <c r="B1292" s="14" t="s">
        <v>1649</v>
      </c>
      <c r="C1292" s="14" t="s">
        <v>32</v>
      </c>
      <c r="D1292" s="14" t="s">
        <v>33</v>
      </c>
      <c r="E1292" s="14" t="s">
        <v>9</v>
      </c>
      <c r="F1292" s="15">
        <v>56703.49</v>
      </c>
      <c r="G1292" s="15">
        <v>56703.49</v>
      </c>
    </row>
    <row r="1293" spans="1:7" x14ac:dyDescent="0.25">
      <c r="A1293" s="13">
        <v>46234</v>
      </c>
      <c r="B1293" s="14" t="s">
        <v>1650</v>
      </c>
      <c r="C1293" s="14" t="s">
        <v>32</v>
      </c>
      <c r="D1293" s="14" t="s">
        <v>33</v>
      </c>
      <c r="E1293" s="14" t="s">
        <v>9</v>
      </c>
      <c r="F1293" s="15">
        <v>54334.94</v>
      </c>
      <c r="G1293" s="15">
        <v>54334.94</v>
      </c>
    </row>
    <row r="1294" spans="1:7" x14ac:dyDescent="0.25">
      <c r="A1294" s="13">
        <v>46234</v>
      </c>
      <c r="B1294" s="14" t="s">
        <v>1651</v>
      </c>
      <c r="C1294" s="14" t="s">
        <v>32</v>
      </c>
      <c r="D1294" s="14" t="s">
        <v>33</v>
      </c>
      <c r="E1294" s="14" t="s">
        <v>9</v>
      </c>
      <c r="F1294" s="15">
        <v>58842.239999999998</v>
      </c>
      <c r="G1294" s="15">
        <v>58842.239999999998</v>
      </c>
    </row>
    <row r="1295" spans="1:7" x14ac:dyDescent="0.25">
      <c r="A1295" s="13">
        <v>46234</v>
      </c>
      <c r="B1295" s="14" t="s">
        <v>1652</v>
      </c>
      <c r="C1295" s="14" t="s">
        <v>32</v>
      </c>
      <c r="D1295" s="14" t="s">
        <v>33</v>
      </c>
      <c r="E1295" s="14" t="s">
        <v>9</v>
      </c>
      <c r="F1295" s="15">
        <v>48802.47</v>
      </c>
      <c r="G1295" s="15">
        <v>48802.47</v>
      </c>
    </row>
    <row r="1296" spans="1:7" x14ac:dyDescent="0.25">
      <c r="A1296" s="13">
        <v>46234</v>
      </c>
      <c r="B1296" s="14" t="s">
        <v>1653</v>
      </c>
      <c r="C1296" s="14" t="s">
        <v>32</v>
      </c>
      <c r="D1296" s="14" t="s">
        <v>33</v>
      </c>
      <c r="E1296" s="14" t="s">
        <v>9</v>
      </c>
      <c r="F1296" s="15">
        <v>57657.98</v>
      </c>
      <c r="G1296" s="15">
        <v>57657.98</v>
      </c>
    </row>
    <row r="1297" spans="1:7" x14ac:dyDescent="0.25">
      <c r="A1297" s="13">
        <v>46234</v>
      </c>
      <c r="B1297" s="14" t="s">
        <v>1654</v>
      </c>
      <c r="C1297" s="14" t="s">
        <v>32</v>
      </c>
      <c r="D1297" s="14" t="s">
        <v>33</v>
      </c>
      <c r="E1297" s="14" t="s">
        <v>9</v>
      </c>
      <c r="F1297" s="15">
        <v>38028.35</v>
      </c>
      <c r="G1297" s="15">
        <v>38028.35</v>
      </c>
    </row>
    <row r="1298" spans="1:7" x14ac:dyDescent="0.25">
      <c r="A1298" s="13">
        <v>46234</v>
      </c>
      <c r="B1298" s="14" t="s">
        <v>1655</v>
      </c>
      <c r="C1298" s="14" t="s">
        <v>32</v>
      </c>
      <c r="D1298" s="14" t="s">
        <v>33</v>
      </c>
      <c r="E1298" s="14" t="s">
        <v>9</v>
      </c>
      <c r="F1298" s="15">
        <v>56438.35</v>
      </c>
      <c r="G1298" s="15">
        <v>56438.35</v>
      </c>
    </row>
    <row r="1299" spans="1:7" x14ac:dyDescent="0.25">
      <c r="A1299" s="13">
        <v>46234</v>
      </c>
      <c r="B1299" s="14" t="s">
        <v>1656</v>
      </c>
      <c r="C1299" s="14" t="s">
        <v>32</v>
      </c>
      <c r="D1299" s="14" t="s">
        <v>33</v>
      </c>
      <c r="E1299" s="14" t="s">
        <v>9</v>
      </c>
      <c r="F1299" s="15">
        <v>58965.97</v>
      </c>
      <c r="G1299" s="15">
        <v>58965.97</v>
      </c>
    </row>
    <row r="1300" spans="1:7" x14ac:dyDescent="0.25">
      <c r="A1300" s="13">
        <v>46234</v>
      </c>
      <c r="B1300" s="14" t="s">
        <v>1657</v>
      </c>
      <c r="C1300" s="14" t="s">
        <v>32</v>
      </c>
      <c r="D1300" s="14" t="s">
        <v>33</v>
      </c>
      <c r="E1300" s="14" t="s">
        <v>9</v>
      </c>
      <c r="F1300" s="15">
        <v>55660.63</v>
      </c>
      <c r="G1300" s="15">
        <v>55660.63</v>
      </c>
    </row>
    <row r="1301" spans="1:7" x14ac:dyDescent="0.25">
      <c r="A1301" s="13">
        <v>46234</v>
      </c>
      <c r="B1301" s="14" t="s">
        <v>1658</v>
      </c>
      <c r="C1301" s="14" t="s">
        <v>32</v>
      </c>
      <c r="D1301" s="14" t="s">
        <v>33</v>
      </c>
      <c r="E1301" s="14" t="s">
        <v>9</v>
      </c>
      <c r="F1301" s="15">
        <v>49774.63</v>
      </c>
      <c r="G1301" s="15">
        <v>49774.63</v>
      </c>
    </row>
    <row r="1302" spans="1:7" x14ac:dyDescent="0.25">
      <c r="A1302" s="13">
        <v>46234</v>
      </c>
      <c r="B1302" s="14" t="s">
        <v>1659</v>
      </c>
      <c r="C1302" s="14" t="s">
        <v>32</v>
      </c>
      <c r="D1302" s="14" t="s">
        <v>33</v>
      </c>
      <c r="E1302" s="14" t="s">
        <v>9</v>
      </c>
      <c r="F1302" s="15">
        <v>58152.88</v>
      </c>
      <c r="G1302" s="15">
        <v>58152.88</v>
      </c>
    </row>
    <row r="1303" spans="1:7" x14ac:dyDescent="0.25">
      <c r="A1303" s="13">
        <v>46234</v>
      </c>
      <c r="B1303" s="14" t="s">
        <v>1660</v>
      </c>
      <c r="C1303" s="14" t="s">
        <v>32</v>
      </c>
      <c r="D1303" s="14" t="s">
        <v>33</v>
      </c>
      <c r="E1303" s="14" t="s">
        <v>9</v>
      </c>
      <c r="F1303" s="15">
        <v>59425.53</v>
      </c>
      <c r="G1303" s="15">
        <v>59425.53</v>
      </c>
    </row>
    <row r="1304" spans="1:7" x14ac:dyDescent="0.25">
      <c r="A1304" s="13">
        <v>46234</v>
      </c>
      <c r="B1304" s="14" t="s">
        <v>1661</v>
      </c>
      <c r="C1304" s="14" t="s">
        <v>32</v>
      </c>
      <c r="D1304" s="14" t="s">
        <v>33</v>
      </c>
      <c r="E1304" s="14" t="s">
        <v>9</v>
      </c>
      <c r="F1304" s="15">
        <v>59672.99</v>
      </c>
      <c r="G1304" s="15">
        <v>59672.99</v>
      </c>
    </row>
    <row r="1305" spans="1:7" x14ac:dyDescent="0.25">
      <c r="A1305" s="13">
        <v>46234</v>
      </c>
      <c r="B1305" s="14" t="s">
        <v>1662</v>
      </c>
      <c r="C1305" s="14" t="s">
        <v>32</v>
      </c>
      <c r="D1305" s="14" t="s">
        <v>33</v>
      </c>
      <c r="E1305" s="14" t="s">
        <v>9</v>
      </c>
      <c r="F1305" s="15">
        <v>38445.33</v>
      </c>
      <c r="G1305" s="15">
        <v>38445.33</v>
      </c>
    </row>
    <row r="1306" spans="1:7" x14ac:dyDescent="0.25">
      <c r="A1306" s="13">
        <v>46234</v>
      </c>
      <c r="B1306" s="14" t="s">
        <v>1663</v>
      </c>
      <c r="C1306" s="14" t="s">
        <v>32</v>
      </c>
      <c r="D1306" s="14" t="s">
        <v>33</v>
      </c>
      <c r="E1306" s="14" t="s">
        <v>9</v>
      </c>
      <c r="F1306" s="15">
        <v>56933.279999999999</v>
      </c>
      <c r="G1306" s="15">
        <v>56933.279999999999</v>
      </c>
    </row>
    <row r="1307" spans="1:7" x14ac:dyDescent="0.25">
      <c r="A1307" s="13">
        <v>46234</v>
      </c>
      <c r="B1307" s="14" t="s">
        <v>1664</v>
      </c>
      <c r="C1307" s="14" t="s">
        <v>32</v>
      </c>
      <c r="D1307" s="14" t="s">
        <v>33</v>
      </c>
      <c r="E1307" s="14" t="s">
        <v>9</v>
      </c>
      <c r="F1307" s="15">
        <v>57357.49</v>
      </c>
      <c r="G1307" s="15">
        <v>57357.49</v>
      </c>
    </row>
    <row r="1308" spans="1:7" x14ac:dyDescent="0.25">
      <c r="A1308" s="13">
        <v>46234</v>
      </c>
      <c r="B1308" s="14" t="s">
        <v>1665</v>
      </c>
      <c r="C1308" s="14" t="s">
        <v>259</v>
      </c>
      <c r="D1308" s="14" t="s">
        <v>42</v>
      </c>
      <c r="E1308" s="14" t="s">
        <v>9</v>
      </c>
      <c r="F1308" s="15">
        <v>400000</v>
      </c>
      <c r="G1308" s="15">
        <v>-400000</v>
      </c>
    </row>
    <row r="1309" spans="1:7" x14ac:dyDescent="0.25">
      <c r="A1309" s="13">
        <v>46234</v>
      </c>
      <c r="B1309" s="14" t="s">
        <v>1666</v>
      </c>
      <c r="C1309" s="14" t="s">
        <v>36</v>
      </c>
      <c r="D1309" s="14" t="s">
        <v>33</v>
      </c>
      <c r="E1309" s="14" t="s">
        <v>9</v>
      </c>
      <c r="F1309" s="15">
        <v>125381.56</v>
      </c>
      <c r="G1309" s="15">
        <v>125381.56</v>
      </c>
    </row>
    <row r="1310" spans="1:7" x14ac:dyDescent="0.25">
      <c r="A1310" s="13">
        <v>46234</v>
      </c>
      <c r="B1310" s="14" t="s">
        <v>1667</v>
      </c>
      <c r="C1310" s="14" t="s">
        <v>36</v>
      </c>
      <c r="D1310" s="14" t="s">
        <v>33</v>
      </c>
      <c r="E1310" s="14" t="s">
        <v>9</v>
      </c>
      <c r="F1310" s="15">
        <v>120144.16</v>
      </c>
      <c r="G1310" s="15">
        <v>120144.16</v>
      </c>
    </row>
    <row r="1311" spans="1:7" x14ac:dyDescent="0.25">
      <c r="A1311" s="13">
        <v>46234</v>
      </c>
      <c r="B1311" s="14" t="s">
        <v>1668</v>
      </c>
      <c r="C1311" s="14" t="s">
        <v>48</v>
      </c>
      <c r="D1311" s="14" t="s">
        <v>49</v>
      </c>
      <c r="E1311" s="14" t="s">
        <v>9</v>
      </c>
      <c r="F1311" s="15">
        <v>3000</v>
      </c>
      <c r="G1311" s="15">
        <v>3000</v>
      </c>
    </row>
    <row r="1312" spans="1:7" x14ac:dyDescent="0.25">
      <c r="A1312" s="13">
        <v>46234</v>
      </c>
      <c r="B1312" s="14" t="s">
        <v>1669</v>
      </c>
      <c r="C1312" s="14" t="s">
        <v>37</v>
      </c>
      <c r="D1312" s="14" t="s">
        <v>33</v>
      </c>
      <c r="E1312" s="14" t="s">
        <v>9</v>
      </c>
      <c r="F1312" s="15">
        <v>56095.28</v>
      </c>
      <c r="G1312" s="15">
        <v>56095.28</v>
      </c>
    </row>
    <row r="1313" spans="1:7" x14ac:dyDescent="0.25">
      <c r="A1313" s="13">
        <v>46234</v>
      </c>
      <c r="B1313" s="14" t="s">
        <v>1670</v>
      </c>
      <c r="C1313" s="14" t="s">
        <v>37</v>
      </c>
      <c r="D1313" s="14" t="s">
        <v>33</v>
      </c>
      <c r="E1313" s="14" t="s">
        <v>9</v>
      </c>
      <c r="F1313" s="15">
        <v>55244.81</v>
      </c>
      <c r="G1313" s="15">
        <v>55244.81</v>
      </c>
    </row>
    <row r="1314" spans="1:7" x14ac:dyDescent="0.25">
      <c r="A1314" s="13">
        <v>46234</v>
      </c>
      <c r="B1314" s="14" t="s">
        <v>1671</v>
      </c>
      <c r="C1314" s="14" t="s">
        <v>53</v>
      </c>
      <c r="D1314" s="14" t="s">
        <v>33</v>
      </c>
      <c r="E1314" s="14" t="s">
        <v>9</v>
      </c>
      <c r="F1314" s="15">
        <v>88087.69</v>
      </c>
      <c r="G1314" s="15">
        <v>88087.69</v>
      </c>
    </row>
    <row r="1315" spans="1:7" x14ac:dyDescent="0.25">
      <c r="A1315" s="13">
        <v>46234</v>
      </c>
      <c r="B1315" s="14" t="s">
        <v>1672</v>
      </c>
      <c r="C1315" s="14" t="s">
        <v>53</v>
      </c>
      <c r="D1315" s="14" t="s">
        <v>42</v>
      </c>
      <c r="E1315" s="14" t="s">
        <v>9</v>
      </c>
      <c r="F1315" s="15">
        <v>1448059.32</v>
      </c>
      <c r="G1315" s="15">
        <v>1448059.32</v>
      </c>
    </row>
    <row r="1316" spans="1:7" x14ac:dyDescent="0.25">
      <c r="A1316" s="13">
        <v>46234</v>
      </c>
      <c r="B1316" s="14" t="s">
        <v>1673</v>
      </c>
      <c r="C1316" s="14" t="s">
        <v>38</v>
      </c>
      <c r="D1316" s="14" t="s">
        <v>39</v>
      </c>
      <c r="E1316" s="14" t="s">
        <v>9</v>
      </c>
      <c r="F1316" s="15">
        <v>33434.68</v>
      </c>
      <c r="G1316" s="15">
        <v>33434.68</v>
      </c>
    </row>
    <row r="1317" spans="1:7" x14ac:dyDescent="0.25">
      <c r="A1317" s="13">
        <v>46234</v>
      </c>
      <c r="B1317" s="14" t="s">
        <v>793</v>
      </c>
      <c r="C1317" s="14" t="s">
        <v>65</v>
      </c>
      <c r="D1317" s="14" t="s">
        <v>66</v>
      </c>
      <c r="E1317" s="14" t="s">
        <v>9</v>
      </c>
      <c r="F1317" s="15">
        <v>340200</v>
      </c>
      <c r="G1317" s="15">
        <v>340200</v>
      </c>
    </row>
    <row r="1318" spans="1:7" x14ac:dyDescent="0.25">
      <c r="A1318" s="13">
        <v>46234</v>
      </c>
      <c r="B1318" s="14" t="s">
        <v>797</v>
      </c>
      <c r="C1318" s="14" t="s">
        <v>65</v>
      </c>
      <c r="D1318" s="14" t="s">
        <v>463</v>
      </c>
      <c r="E1318" s="14" t="s">
        <v>9</v>
      </c>
      <c r="F1318" s="15">
        <v>73224</v>
      </c>
      <c r="G1318" s="15">
        <v>73224</v>
      </c>
    </row>
    <row r="1319" spans="1:7" x14ac:dyDescent="0.25">
      <c r="A1319" s="13">
        <v>46234</v>
      </c>
      <c r="B1319" s="14" t="s">
        <v>1674</v>
      </c>
      <c r="C1319" s="14" t="s">
        <v>67</v>
      </c>
      <c r="D1319" s="14" t="s">
        <v>451</v>
      </c>
      <c r="E1319" s="14" t="s">
        <v>9</v>
      </c>
      <c r="F1319" s="15">
        <v>9762.76</v>
      </c>
      <c r="G1319" s="15">
        <v>9762.76</v>
      </c>
    </row>
    <row r="1320" spans="1:7" x14ac:dyDescent="0.25">
      <c r="A1320" s="13">
        <v>46234</v>
      </c>
      <c r="B1320" s="14" t="s">
        <v>1675</v>
      </c>
      <c r="C1320" s="14" t="s">
        <v>68</v>
      </c>
      <c r="D1320" s="14" t="s">
        <v>33</v>
      </c>
      <c r="E1320" s="14" t="s">
        <v>9</v>
      </c>
      <c r="F1320" s="15">
        <v>82846.259999999995</v>
      </c>
      <c r="G1320" s="15">
        <v>82846.259999999995</v>
      </c>
    </row>
    <row r="1321" spans="1:7" x14ac:dyDescent="0.25">
      <c r="A1321" s="13">
        <v>46234</v>
      </c>
      <c r="B1321" s="14" t="s">
        <v>1676</v>
      </c>
      <c r="C1321" s="14" t="s">
        <v>68</v>
      </c>
      <c r="D1321" s="14" t="s">
        <v>33</v>
      </c>
      <c r="E1321" s="14" t="s">
        <v>9</v>
      </c>
      <c r="F1321" s="15">
        <v>228358.9</v>
      </c>
      <c r="G1321" s="15">
        <v>228358.9</v>
      </c>
    </row>
    <row r="1322" spans="1:7" x14ac:dyDescent="0.25">
      <c r="A1322" s="13">
        <v>46234</v>
      </c>
      <c r="B1322" s="14" t="s">
        <v>1677</v>
      </c>
      <c r="C1322" s="14" t="s">
        <v>72</v>
      </c>
      <c r="D1322" s="14" t="s">
        <v>49</v>
      </c>
      <c r="E1322" s="14" t="s">
        <v>9</v>
      </c>
      <c r="F1322" s="15">
        <v>20300</v>
      </c>
      <c r="G1322" s="15">
        <v>20300</v>
      </c>
    </row>
    <row r="1323" spans="1:7" x14ac:dyDescent="0.25">
      <c r="A1323" s="13">
        <v>46234</v>
      </c>
      <c r="B1323" s="14" t="s">
        <v>1678</v>
      </c>
      <c r="C1323" s="14" t="s">
        <v>72</v>
      </c>
      <c r="D1323" s="14" t="s">
        <v>42</v>
      </c>
      <c r="E1323" s="14" t="s">
        <v>9</v>
      </c>
      <c r="F1323" s="15">
        <v>21750</v>
      </c>
      <c r="G1323" s="15">
        <v>21750</v>
      </c>
    </row>
    <row r="1324" spans="1:7" x14ac:dyDescent="0.25">
      <c r="A1324" s="13">
        <v>46234</v>
      </c>
      <c r="B1324" s="14" t="s">
        <v>1679</v>
      </c>
      <c r="C1324" s="14" t="s">
        <v>72</v>
      </c>
      <c r="D1324" s="14" t="s">
        <v>451</v>
      </c>
      <c r="E1324" s="14" t="s">
        <v>9</v>
      </c>
      <c r="F1324" s="15">
        <v>20300</v>
      </c>
      <c r="G1324" s="15">
        <v>20300</v>
      </c>
    </row>
    <row r="1325" spans="1:7" x14ac:dyDescent="0.25">
      <c r="A1325" s="13">
        <v>46234</v>
      </c>
      <c r="B1325" s="14" t="s">
        <v>1680</v>
      </c>
      <c r="C1325" s="14" t="s">
        <v>72</v>
      </c>
      <c r="D1325" s="14" t="s">
        <v>20</v>
      </c>
      <c r="E1325" s="14" t="s">
        <v>9</v>
      </c>
      <c r="F1325" s="15">
        <v>2590.1</v>
      </c>
      <c r="G1325" s="15">
        <v>2590.1</v>
      </c>
    </row>
    <row r="1326" spans="1:7" x14ac:dyDescent="0.25">
      <c r="A1326" s="13">
        <v>46234</v>
      </c>
      <c r="B1326" s="14" t="s">
        <v>1681</v>
      </c>
      <c r="C1326" s="14" t="s">
        <v>62</v>
      </c>
      <c r="D1326" s="14" t="s">
        <v>731</v>
      </c>
      <c r="E1326" s="14" t="s">
        <v>9</v>
      </c>
      <c r="F1326" s="15">
        <v>70278</v>
      </c>
      <c r="G1326" s="15">
        <v>70278</v>
      </c>
    </row>
    <row r="1327" spans="1:7" x14ac:dyDescent="0.25">
      <c r="A1327" s="13">
        <v>46234</v>
      </c>
      <c r="B1327" s="14" t="s">
        <v>1682</v>
      </c>
      <c r="C1327" s="14" t="s">
        <v>62</v>
      </c>
      <c r="D1327" s="14" t="s">
        <v>731</v>
      </c>
      <c r="E1327" s="14" t="s">
        <v>9</v>
      </c>
      <c r="F1327" s="15">
        <v>371171.14</v>
      </c>
      <c r="G1327" s="15">
        <v>371171.14</v>
      </c>
    </row>
    <row r="1328" spans="1:7" x14ac:dyDescent="0.25">
      <c r="A1328" s="13">
        <v>46234</v>
      </c>
      <c r="B1328" s="14" t="s">
        <v>1668</v>
      </c>
      <c r="C1328" s="14" t="s">
        <v>73</v>
      </c>
      <c r="D1328" s="14" t="s">
        <v>49</v>
      </c>
      <c r="E1328" s="14" t="s">
        <v>9</v>
      </c>
      <c r="F1328" s="15">
        <v>4500</v>
      </c>
      <c r="G1328" s="15">
        <v>4500</v>
      </c>
    </row>
    <row r="1329" spans="1:7" x14ac:dyDescent="0.25">
      <c r="A1329" s="13">
        <v>46234</v>
      </c>
      <c r="B1329" s="14" t="s">
        <v>1683</v>
      </c>
      <c r="C1329" s="14" t="s">
        <v>63</v>
      </c>
      <c r="D1329" s="14" t="s">
        <v>731</v>
      </c>
      <c r="E1329" s="14" t="s">
        <v>9</v>
      </c>
      <c r="F1329" s="15">
        <v>28072</v>
      </c>
      <c r="G1329" s="15">
        <v>28072</v>
      </c>
    </row>
    <row r="1330" spans="1:7" x14ac:dyDescent="0.25">
      <c r="A1330" s="13">
        <v>46234</v>
      </c>
      <c r="B1330" s="14" t="s">
        <v>1684</v>
      </c>
      <c r="C1330" s="14" t="s">
        <v>75</v>
      </c>
      <c r="D1330" s="14" t="s">
        <v>66</v>
      </c>
      <c r="E1330" s="14" t="s">
        <v>9</v>
      </c>
      <c r="F1330" s="15">
        <v>60900</v>
      </c>
      <c r="G1330" s="15">
        <v>60900</v>
      </c>
    </row>
    <row r="1331" spans="1:7" x14ac:dyDescent="0.25">
      <c r="A1331" s="13">
        <v>46234</v>
      </c>
      <c r="B1331" s="14" t="s">
        <v>1685</v>
      </c>
      <c r="C1331" s="14" t="s">
        <v>75</v>
      </c>
      <c r="D1331" s="14" t="s">
        <v>49</v>
      </c>
      <c r="E1331" s="14" t="s">
        <v>9</v>
      </c>
      <c r="F1331" s="15">
        <v>80620</v>
      </c>
      <c r="G1331" s="15">
        <v>80620</v>
      </c>
    </row>
    <row r="1332" spans="1:7" x14ac:dyDescent="0.25">
      <c r="A1332" s="13">
        <v>46234</v>
      </c>
      <c r="B1332" s="14" t="s">
        <v>1686</v>
      </c>
      <c r="C1332" s="14" t="s">
        <v>75</v>
      </c>
      <c r="D1332" s="14" t="s">
        <v>49</v>
      </c>
      <c r="E1332" s="14" t="s">
        <v>9</v>
      </c>
      <c r="F1332" s="15">
        <v>76560</v>
      </c>
      <c r="G1332" s="15">
        <v>76560</v>
      </c>
    </row>
    <row r="1333" spans="1:7" x14ac:dyDescent="0.25">
      <c r="A1333" s="13">
        <v>46234</v>
      </c>
      <c r="B1333" s="14" t="s">
        <v>1687</v>
      </c>
      <c r="C1333" s="14" t="s">
        <v>75</v>
      </c>
      <c r="D1333" s="14" t="s">
        <v>49</v>
      </c>
      <c r="E1333" s="14" t="s">
        <v>9</v>
      </c>
      <c r="F1333" s="15">
        <v>114840</v>
      </c>
      <c r="G1333" s="15">
        <v>114840</v>
      </c>
    </row>
    <row r="1334" spans="1:7" x14ac:dyDescent="0.25">
      <c r="A1334" s="13">
        <v>46234</v>
      </c>
      <c r="B1334" s="14" t="s">
        <v>1688</v>
      </c>
      <c r="C1334" s="14" t="s">
        <v>75</v>
      </c>
      <c r="D1334" s="14" t="s">
        <v>49</v>
      </c>
      <c r="E1334" s="14" t="s">
        <v>9</v>
      </c>
      <c r="F1334" s="15">
        <v>76560</v>
      </c>
      <c r="G1334" s="15">
        <v>76560</v>
      </c>
    </row>
    <row r="1335" spans="1:7" x14ac:dyDescent="0.25">
      <c r="A1335" s="13">
        <v>46234</v>
      </c>
      <c r="B1335" s="14" t="s">
        <v>1689</v>
      </c>
      <c r="C1335" s="14" t="s">
        <v>94</v>
      </c>
      <c r="D1335" s="14" t="s">
        <v>82</v>
      </c>
      <c r="E1335" s="14" t="s">
        <v>9</v>
      </c>
      <c r="F1335" s="15">
        <v>756000</v>
      </c>
      <c r="G1335" s="15">
        <v>756000</v>
      </c>
    </row>
    <row r="1336" spans="1:7" x14ac:dyDescent="0.25">
      <c r="A1336" s="13">
        <v>46234</v>
      </c>
      <c r="B1336" s="14" t="s">
        <v>1690</v>
      </c>
      <c r="C1336" s="14" t="s">
        <v>95</v>
      </c>
      <c r="D1336" s="14"/>
      <c r="E1336" s="14" t="s">
        <v>9</v>
      </c>
      <c r="F1336" s="15">
        <v>4830.49</v>
      </c>
      <c r="G1336" s="15">
        <v>4830.49</v>
      </c>
    </row>
    <row r="1337" spans="1:7" x14ac:dyDescent="0.25">
      <c r="A1337" s="13">
        <v>46234</v>
      </c>
      <c r="B1337" s="14" t="s">
        <v>1691</v>
      </c>
      <c r="C1337" s="14" t="s">
        <v>87</v>
      </c>
      <c r="D1337" s="14" t="s">
        <v>49</v>
      </c>
      <c r="E1337" s="14" t="s">
        <v>9</v>
      </c>
      <c r="F1337" s="15">
        <v>45611.199999999997</v>
      </c>
      <c r="G1337" s="15">
        <v>45611.199999999997</v>
      </c>
    </row>
    <row r="1338" spans="1:7" x14ac:dyDescent="0.25">
      <c r="A1338" s="13">
        <v>46234</v>
      </c>
      <c r="B1338" s="14" t="s">
        <v>1692</v>
      </c>
      <c r="C1338" s="14" t="s">
        <v>97</v>
      </c>
      <c r="D1338" s="14" t="s">
        <v>57</v>
      </c>
      <c r="E1338" s="14" t="s">
        <v>9</v>
      </c>
      <c r="F1338" s="15">
        <v>462079.8</v>
      </c>
      <c r="G1338" s="15">
        <v>462079.8</v>
      </c>
    </row>
    <row r="1339" spans="1:7" x14ac:dyDescent="0.25">
      <c r="A1339" s="13">
        <v>46234</v>
      </c>
      <c r="B1339" s="14" t="s">
        <v>1693</v>
      </c>
      <c r="C1339" s="14" t="s">
        <v>91</v>
      </c>
      <c r="D1339" s="14" t="s">
        <v>731</v>
      </c>
      <c r="E1339" s="14" t="s">
        <v>9</v>
      </c>
      <c r="F1339" s="15">
        <v>337500</v>
      </c>
      <c r="G1339" s="15">
        <v>337500</v>
      </c>
    </row>
    <row r="1340" spans="1:7" x14ac:dyDescent="0.25">
      <c r="A1340" s="13">
        <v>46234</v>
      </c>
      <c r="B1340" s="14" t="s">
        <v>1694</v>
      </c>
      <c r="C1340" s="14" t="s">
        <v>91</v>
      </c>
      <c r="D1340" s="14" t="s">
        <v>33</v>
      </c>
      <c r="E1340" s="14" t="s">
        <v>9</v>
      </c>
      <c r="F1340" s="15">
        <v>472500</v>
      </c>
      <c r="G1340" s="15">
        <v>472500</v>
      </c>
    </row>
    <row r="1341" spans="1:7" x14ac:dyDescent="0.25">
      <c r="A1341" s="13">
        <v>46234</v>
      </c>
      <c r="B1341" s="14" t="s">
        <v>1695</v>
      </c>
      <c r="C1341" s="14" t="s">
        <v>91</v>
      </c>
      <c r="D1341" s="14" t="s">
        <v>731</v>
      </c>
      <c r="E1341" s="14" t="s">
        <v>9</v>
      </c>
      <c r="F1341" s="15">
        <v>326052</v>
      </c>
      <c r="G1341" s="15">
        <v>326052</v>
      </c>
    </row>
    <row r="1342" spans="1:7" x14ac:dyDescent="0.25">
      <c r="A1342" s="13">
        <v>46234</v>
      </c>
      <c r="B1342" s="14" t="s">
        <v>1696</v>
      </c>
      <c r="C1342" s="14" t="s">
        <v>91</v>
      </c>
      <c r="D1342" s="14" t="s">
        <v>451</v>
      </c>
      <c r="E1342" s="14" t="s">
        <v>9</v>
      </c>
      <c r="F1342" s="15">
        <v>42164</v>
      </c>
      <c r="G1342" s="15">
        <v>42164</v>
      </c>
    </row>
    <row r="1343" spans="1:7" x14ac:dyDescent="0.25">
      <c r="A1343" s="13">
        <v>46234</v>
      </c>
      <c r="B1343" s="14" t="s">
        <v>1697</v>
      </c>
      <c r="C1343" s="14" t="s">
        <v>91</v>
      </c>
      <c r="D1343" s="14" t="s">
        <v>451</v>
      </c>
      <c r="E1343" s="14" t="s">
        <v>9</v>
      </c>
      <c r="F1343" s="15">
        <v>33380</v>
      </c>
      <c r="G1343" s="15">
        <v>33380</v>
      </c>
    </row>
    <row r="1344" spans="1:7" x14ac:dyDescent="0.25">
      <c r="A1344" s="13">
        <v>46234</v>
      </c>
      <c r="B1344" s="14" t="s">
        <v>1698</v>
      </c>
      <c r="C1344" s="14" t="s">
        <v>91</v>
      </c>
      <c r="D1344" s="14" t="s">
        <v>731</v>
      </c>
      <c r="E1344" s="14" t="s">
        <v>9</v>
      </c>
      <c r="F1344" s="15">
        <v>63908</v>
      </c>
      <c r="G1344" s="15">
        <v>63908</v>
      </c>
    </row>
    <row r="1345" spans="1:7" x14ac:dyDescent="0.25">
      <c r="A1345" s="13">
        <v>46234</v>
      </c>
      <c r="B1345" s="14" t="s">
        <v>1699</v>
      </c>
      <c r="C1345" s="14" t="s">
        <v>91</v>
      </c>
      <c r="D1345" s="14" t="s">
        <v>79</v>
      </c>
      <c r="E1345" s="14" t="s">
        <v>9</v>
      </c>
      <c r="F1345" s="15">
        <v>89472</v>
      </c>
      <c r="G1345" s="15">
        <v>89472</v>
      </c>
    </row>
    <row r="1346" spans="1:7" x14ac:dyDescent="0.25">
      <c r="A1346" s="13">
        <v>46234</v>
      </c>
      <c r="B1346" s="14" t="s">
        <v>1700</v>
      </c>
      <c r="C1346" s="14" t="s">
        <v>91</v>
      </c>
      <c r="D1346" s="14" t="s">
        <v>731</v>
      </c>
      <c r="E1346" s="14" t="s">
        <v>9</v>
      </c>
      <c r="F1346" s="15">
        <v>61825</v>
      </c>
      <c r="G1346" s="15">
        <v>61825</v>
      </c>
    </row>
    <row r="1347" spans="1:7" x14ac:dyDescent="0.25">
      <c r="A1347" s="13">
        <v>46234</v>
      </c>
      <c r="B1347" s="14" t="s">
        <v>1701</v>
      </c>
      <c r="C1347" s="14" t="s">
        <v>91</v>
      </c>
      <c r="D1347" s="14" t="s">
        <v>79</v>
      </c>
      <c r="E1347" s="14" t="s">
        <v>9</v>
      </c>
      <c r="F1347" s="15">
        <v>47369</v>
      </c>
      <c r="G1347" s="15">
        <v>47369</v>
      </c>
    </row>
    <row r="1348" spans="1:7" x14ac:dyDescent="0.25">
      <c r="A1348" s="13">
        <v>46234</v>
      </c>
      <c r="B1348" s="14" t="s">
        <v>1702</v>
      </c>
      <c r="C1348" s="14" t="s">
        <v>268</v>
      </c>
      <c r="D1348" s="14" t="s">
        <v>42</v>
      </c>
      <c r="E1348" s="14" t="s">
        <v>9</v>
      </c>
      <c r="F1348" s="15">
        <v>54000</v>
      </c>
      <c r="G1348" s="15">
        <v>54000</v>
      </c>
    </row>
    <row r="1349" spans="1:7" x14ac:dyDescent="0.25">
      <c r="A1349" s="13">
        <v>46234</v>
      </c>
      <c r="B1349" s="14" t="s">
        <v>1703</v>
      </c>
      <c r="C1349" s="14" t="s">
        <v>268</v>
      </c>
      <c r="D1349" s="14" t="s">
        <v>463</v>
      </c>
      <c r="E1349" s="14" t="s">
        <v>9</v>
      </c>
      <c r="F1349" s="15">
        <v>50000</v>
      </c>
      <c r="G1349" s="15">
        <v>50000</v>
      </c>
    </row>
    <row r="1350" spans="1:7" x14ac:dyDescent="0.25">
      <c r="A1350" s="13">
        <v>46234</v>
      </c>
      <c r="B1350" s="14" t="s">
        <v>1704</v>
      </c>
      <c r="C1350" s="14" t="s">
        <v>268</v>
      </c>
      <c r="D1350" s="14" t="s">
        <v>463</v>
      </c>
      <c r="E1350" s="14" t="s">
        <v>9</v>
      </c>
      <c r="F1350" s="15">
        <v>272000</v>
      </c>
      <c r="G1350" s="15">
        <v>272000</v>
      </c>
    </row>
    <row r="1351" spans="1:7" x14ac:dyDescent="0.25">
      <c r="A1351" s="13">
        <v>46234</v>
      </c>
      <c r="B1351" s="14" t="s">
        <v>1696</v>
      </c>
      <c r="C1351" s="14" t="s">
        <v>272</v>
      </c>
      <c r="D1351" s="14" t="s">
        <v>451</v>
      </c>
      <c r="E1351" s="14" t="s">
        <v>9</v>
      </c>
      <c r="F1351" s="15">
        <v>42164</v>
      </c>
      <c r="G1351" s="15">
        <v>-42164</v>
      </c>
    </row>
    <row r="1352" spans="1:7" x14ac:dyDescent="0.25">
      <c r="A1352" s="13">
        <v>46234</v>
      </c>
      <c r="B1352" s="14" t="s">
        <v>1697</v>
      </c>
      <c r="C1352" s="14" t="s">
        <v>272</v>
      </c>
      <c r="D1352" s="14" t="s">
        <v>451</v>
      </c>
      <c r="E1352" s="14" t="s">
        <v>9</v>
      </c>
      <c r="F1352" s="15">
        <v>33380</v>
      </c>
      <c r="G1352" s="15">
        <v>-33380</v>
      </c>
    </row>
    <row r="1353" spans="1:7" x14ac:dyDescent="0.25">
      <c r="A1353" s="13">
        <v>46234</v>
      </c>
      <c r="B1353" s="14" t="s">
        <v>1701</v>
      </c>
      <c r="C1353" s="14" t="s">
        <v>272</v>
      </c>
      <c r="D1353" s="14" t="s">
        <v>79</v>
      </c>
      <c r="E1353" s="14" t="s">
        <v>9</v>
      </c>
      <c r="F1353" s="15">
        <v>47369</v>
      </c>
      <c r="G1353" s="15">
        <v>-47369</v>
      </c>
    </row>
    <row r="1354" spans="1:7" x14ac:dyDescent="0.25">
      <c r="A1354" s="13">
        <v>46234</v>
      </c>
      <c r="B1354" s="14" t="s">
        <v>1705</v>
      </c>
      <c r="C1354" s="14" t="s">
        <v>272</v>
      </c>
      <c r="D1354" s="14" t="s">
        <v>451</v>
      </c>
      <c r="E1354" s="14" t="s">
        <v>9</v>
      </c>
      <c r="F1354" s="15">
        <v>42164</v>
      </c>
      <c r="G1354" s="15">
        <v>42164</v>
      </c>
    </row>
    <row r="1355" spans="1:7" x14ac:dyDescent="0.25">
      <c r="A1355" s="13">
        <v>46234</v>
      </c>
      <c r="B1355" s="14" t="s">
        <v>1706</v>
      </c>
      <c r="C1355" s="14" t="s">
        <v>272</v>
      </c>
      <c r="D1355" s="14" t="s">
        <v>451</v>
      </c>
      <c r="E1355" s="14" t="s">
        <v>9</v>
      </c>
      <c r="F1355" s="15">
        <v>33380</v>
      </c>
      <c r="G1355" s="15">
        <v>33380</v>
      </c>
    </row>
    <row r="1356" spans="1:7" x14ac:dyDescent="0.25">
      <c r="A1356" s="13">
        <v>46234</v>
      </c>
      <c r="B1356" s="14" t="s">
        <v>1707</v>
      </c>
      <c r="C1356" s="14" t="s">
        <v>272</v>
      </c>
      <c r="D1356" s="14" t="s">
        <v>79</v>
      </c>
      <c r="E1356" s="14" t="s">
        <v>9</v>
      </c>
      <c r="F1356" s="15">
        <v>47369</v>
      </c>
      <c r="G1356" s="15">
        <v>47369</v>
      </c>
    </row>
    <row r="1357" spans="1:7" x14ac:dyDescent="0.25">
      <c r="A1357" s="13">
        <v>46234</v>
      </c>
      <c r="B1357" s="14" t="s">
        <v>1708</v>
      </c>
      <c r="C1357" s="14" t="s">
        <v>103</v>
      </c>
      <c r="D1357" s="14" t="s">
        <v>463</v>
      </c>
      <c r="E1357" s="14" t="s">
        <v>9</v>
      </c>
      <c r="F1357" s="15">
        <v>48720</v>
      </c>
      <c r="G1357" s="15">
        <v>48720</v>
      </c>
    </row>
    <row r="1358" spans="1:7" x14ac:dyDescent="0.25">
      <c r="A1358" s="13">
        <v>46234</v>
      </c>
      <c r="B1358" s="14" t="s">
        <v>1709</v>
      </c>
      <c r="C1358" s="14" t="s">
        <v>105</v>
      </c>
      <c r="D1358" s="14" t="s">
        <v>42</v>
      </c>
      <c r="E1358" s="14" t="s">
        <v>9</v>
      </c>
      <c r="F1358" s="15">
        <v>62475</v>
      </c>
      <c r="G1358" s="15">
        <v>62475</v>
      </c>
    </row>
    <row r="1359" spans="1:7" x14ac:dyDescent="0.25">
      <c r="A1359" s="13">
        <v>46234</v>
      </c>
      <c r="B1359" s="14" t="s">
        <v>1710</v>
      </c>
      <c r="C1359" s="14" t="s">
        <v>105</v>
      </c>
      <c r="D1359" s="14" t="s">
        <v>451</v>
      </c>
      <c r="E1359" s="14" t="s">
        <v>9</v>
      </c>
      <c r="F1359" s="15">
        <v>91327.5</v>
      </c>
      <c r="G1359" s="15">
        <v>91327.5</v>
      </c>
    </row>
    <row r="1360" spans="1:7" x14ac:dyDescent="0.25">
      <c r="A1360" s="13">
        <v>46234</v>
      </c>
      <c r="B1360" s="14" t="s">
        <v>1711</v>
      </c>
      <c r="C1360" s="14" t="s">
        <v>111</v>
      </c>
      <c r="D1360" s="14" t="s">
        <v>82</v>
      </c>
      <c r="E1360" s="14" t="s">
        <v>9</v>
      </c>
      <c r="F1360" s="15">
        <v>629100</v>
      </c>
      <c r="G1360" s="15">
        <v>629100</v>
      </c>
    </row>
    <row r="1361" spans="1:7" x14ac:dyDescent="0.25">
      <c r="A1361" s="13">
        <v>46234</v>
      </c>
      <c r="B1361" s="14" t="s">
        <v>1712</v>
      </c>
      <c r="C1361" s="14" t="s">
        <v>111</v>
      </c>
      <c r="D1361" s="14" t="s">
        <v>82</v>
      </c>
      <c r="E1361" s="14" t="s">
        <v>9</v>
      </c>
      <c r="F1361" s="15">
        <v>344995.2</v>
      </c>
      <c r="G1361" s="15">
        <v>344995.2</v>
      </c>
    </row>
    <row r="1362" spans="1:7" x14ac:dyDescent="0.25">
      <c r="A1362" s="13">
        <v>46234</v>
      </c>
      <c r="B1362" s="14" t="s">
        <v>1713</v>
      </c>
      <c r="C1362" s="14" t="s">
        <v>112</v>
      </c>
      <c r="D1362" s="14" t="s">
        <v>451</v>
      </c>
      <c r="E1362" s="14" t="s">
        <v>9</v>
      </c>
      <c r="F1362" s="15">
        <v>60336.57</v>
      </c>
      <c r="G1362" s="15">
        <v>60336.57</v>
      </c>
    </row>
    <row r="1363" spans="1:7" x14ac:dyDescent="0.25">
      <c r="A1363" s="13">
        <v>46234</v>
      </c>
      <c r="B1363" s="14" t="s">
        <v>1714</v>
      </c>
      <c r="C1363" s="14" t="s">
        <v>275</v>
      </c>
      <c r="D1363" s="14" t="s">
        <v>731</v>
      </c>
      <c r="E1363" s="14" t="s">
        <v>9</v>
      </c>
      <c r="F1363" s="15">
        <v>20579</v>
      </c>
      <c r="G1363" s="15">
        <v>20579</v>
      </c>
    </row>
    <row r="1364" spans="1:7" x14ac:dyDescent="0.25">
      <c r="A1364" s="13">
        <v>46234</v>
      </c>
      <c r="B1364" s="14" t="s">
        <v>1715</v>
      </c>
      <c r="C1364" s="14" t="s">
        <v>276</v>
      </c>
      <c r="D1364" s="14" t="s">
        <v>82</v>
      </c>
      <c r="E1364" s="14" t="s">
        <v>9</v>
      </c>
      <c r="F1364" s="15">
        <v>200000</v>
      </c>
      <c r="G1364" s="15">
        <v>-200000</v>
      </c>
    </row>
    <row r="1365" spans="1:7" x14ac:dyDescent="0.25">
      <c r="A1365" s="13">
        <v>46234</v>
      </c>
      <c r="B1365" s="14" t="s">
        <v>1716</v>
      </c>
      <c r="C1365" s="14" t="s">
        <v>276</v>
      </c>
      <c r="D1365" s="14" t="s">
        <v>82</v>
      </c>
      <c r="E1365" s="14" t="s">
        <v>9</v>
      </c>
      <c r="F1365" s="15">
        <v>21115.54</v>
      </c>
      <c r="G1365" s="15">
        <v>-21115.54</v>
      </c>
    </row>
    <row r="1366" spans="1:7" x14ac:dyDescent="0.25">
      <c r="A1366" s="13">
        <v>46234</v>
      </c>
      <c r="B1366" s="14" t="s">
        <v>1717</v>
      </c>
      <c r="C1366" s="14" t="s">
        <v>276</v>
      </c>
      <c r="D1366" s="14" t="s">
        <v>33</v>
      </c>
      <c r="E1366" s="14" t="s">
        <v>9</v>
      </c>
      <c r="F1366" s="15">
        <v>992004.72</v>
      </c>
      <c r="G1366" s="15">
        <v>992004.72</v>
      </c>
    </row>
    <row r="1367" spans="1:7" x14ac:dyDescent="0.25">
      <c r="A1367" s="13">
        <v>46234</v>
      </c>
      <c r="B1367" s="14" t="s">
        <v>1718</v>
      </c>
      <c r="C1367" s="14" t="s">
        <v>276</v>
      </c>
      <c r="D1367" s="14" t="s">
        <v>731</v>
      </c>
      <c r="E1367" s="14" t="s">
        <v>9</v>
      </c>
      <c r="F1367" s="15">
        <v>28924.17</v>
      </c>
      <c r="G1367" s="15">
        <v>28924.17</v>
      </c>
    </row>
    <row r="1368" spans="1:7" x14ac:dyDescent="0.25">
      <c r="A1368" s="13">
        <v>46234</v>
      </c>
      <c r="B1368" s="14" t="s">
        <v>1719</v>
      </c>
      <c r="C1368" s="14" t="s">
        <v>276</v>
      </c>
      <c r="D1368" s="14" t="s">
        <v>42</v>
      </c>
      <c r="E1368" s="14" t="s">
        <v>9</v>
      </c>
      <c r="F1368" s="15">
        <v>752631.47</v>
      </c>
      <c r="G1368" s="15">
        <v>752631.47</v>
      </c>
    </row>
    <row r="1369" spans="1:7" x14ac:dyDescent="0.25">
      <c r="A1369" s="13">
        <v>46234</v>
      </c>
      <c r="B1369" s="14" t="s">
        <v>1720</v>
      </c>
      <c r="C1369" s="14" t="s">
        <v>276</v>
      </c>
      <c r="D1369" s="14" t="s">
        <v>49</v>
      </c>
      <c r="E1369" s="14" t="s">
        <v>9</v>
      </c>
      <c r="F1369" s="15">
        <v>149458.04</v>
      </c>
      <c r="G1369" s="15">
        <v>149458.04</v>
      </c>
    </row>
    <row r="1370" spans="1:7" x14ac:dyDescent="0.25">
      <c r="A1370" s="13">
        <v>46234</v>
      </c>
      <c r="B1370" s="14" t="s">
        <v>1721</v>
      </c>
      <c r="C1370" s="14" t="s">
        <v>276</v>
      </c>
      <c r="D1370" s="14" t="s">
        <v>451</v>
      </c>
      <c r="E1370" s="14" t="s">
        <v>9</v>
      </c>
      <c r="F1370" s="15">
        <v>105166.98</v>
      </c>
      <c r="G1370" s="15">
        <v>105166.98</v>
      </c>
    </row>
    <row r="1371" spans="1:7" x14ac:dyDescent="0.25">
      <c r="A1371" s="13">
        <v>46234</v>
      </c>
      <c r="B1371" s="14" t="s">
        <v>1722</v>
      </c>
      <c r="C1371" s="14" t="s">
        <v>276</v>
      </c>
      <c r="D1371" s="14" t="s">
        <v>463</v>
      </c>
      <c r="E1371" s="14" t="s">
        <v>9</v>
      </c>
      <c r="F1371" s="15">
        <v>3124635.55</v>
      </c>
      <c r="G1371" s="15">
        <v>3124635.55</v>
      </c>
    </row>
    <row r="1372" spans="1:7" x14ac:dyDescent="0.25">
      <c r="A1372" s="13">
        <v>46234</v>
      </c>
      <c r="B1372" s="14" t="s">
        <v>1723</v>
      </c>
      <c r="C1372" s="14" t="s">
        <v>115</v>
      </c>
      <c r="D1372" s="14" t="s">
        <v>49</v>
      </c>
      <c r="E1372" s="14" t="s">
        <v>9</v>
      </c>
      <c r="F1372" s="15">
        <v>84478.28</v>
      </c>
      <c r="G1372" s="15">
        <v>84478.28</v>
      </c>
    </row>
    <row r="1373" spans="1:7" x14ac:dyDescent="0.25">
      <c r="A1373" s="13">
        <v>46234</v>
      </c>
      <c r="B1373" s="14" t="s">
        <v>1724</v>
      </c>
      <c r="C1373" s="14" t="s">
        <v>115</v>
      </c>
      <c r="D1373" s="14" t="s">
        <v>49</v>
      </c>
      <c r="E1373" s="14" t="s">
        <v>9</v>
      </c>
      <c r="F1373" s="15">
        <v>98483.18</v>
      </c>
      <c r="G1373" s="15">
        <v>98483.18</v>
      </c>
    </row>
    <row r="1374" spans="1:7" x14ac:dyDescent="0.25">
      <c r="A1374" s="13">
        <v>46234</v>
      </c>
      <c r="B1374" s="14" t="s">
        <v>1725</v>
      </c>
      <c r="C1374" s="14" t="s">
        <v>115</v>
      </c>
      <c r="D1374" s="14" t="s">
        <v>49</v>
      </c>
      <c r="E1374" s="14" t="s">
        <v>9</v>
      </c>
      <c r="F1374" s="15">
        <v>96957</v>
      </c>
      <c r="G1374" s="15">
        <v>96957</v>
      </c>
    </row>
    <row r="1375" spans="1:7" x14ac:dyDescent="0.25">
      <c r="A1375" s="13">
        <v>46234</v>
      </c>
      <c r="B1375" s="14" t="s">
        <v>1726</v>
      </c>
      <c r="C1375" s="14" t="s">
        <v>116</v>
      </c>
      <c r="D1375" s="14" t="s">
        <v>451</v>
      </c>
      <c r="E1375" s="14" t="s">
        <v>9</v>
      </c>
      <c r="F1375" s="15">
        <v>323143.23</v>
      </c>
      <c r="G1375" s="15">
        <v>323143.23</v>
      </c>
    </row>
    <row r="1376" spans="1:7" x14ac:dyDescent="0.25">
      <c r="A1376" s="13">
        <v>46234</v>
      </c>
      <c r="B1376" s="14" t="s">
        <v>1727</v>
      </c>
      <c r="C1376" s="14" t="s">
        <v>116</v>
      </c>
      <c r="D1376" s="14" t="s">
        <v>451</v>
      </c>
      <c r="E1376" s="14" t="s">
        <v>9</v>
      </c>
      <c r="F1376" s="15">
        <v>506292.7</v>
      </c>
      <c r="G1376" s="15">
        <v>506292.7</v>
      </c>
    </row>
    <row r="1377" spans="1:7" x14ac:dyDescent="0.25">
      <c r="A1377" s="13">
        <v>46234</v>
      </c>
      <c r="B1377" s="14" t="s">
        <v>1728</v>
      </c>
      <c r="C1377" s="14" t="s">
        <v>116</v>
      </c>
      <c r="D1377" s="14" t="s">
        <v>451</v>
      </c>
      <c r="E1377" s="14" t="s">
        <v>9</v>
      </c>
      <c r="F1377" s="15">
        <v>388731.33</v>
      </c>
      <c r="G1377" s="15">
        <v>388731.33</v>
      </c>
    </row>
    <row r="1378" spans="1:7" x14ac:dyDescent="0.25">
      <c r="A1378" s="13">
        <v>46234</v>
      </c>
      <c r="B1378" s="14" t="s">
        <v>1729</v>
      </c>
      <c r="C1378" s="14" t="s">
        <v>122</v>
      </c>
      <c r="D1378" s="14" t="s">
        <v>66</v>
      </c>
      <c r="E1378" s="14" t="s">
        <v>9</v>
      </c>
      <c r="F1378" s="15">
        <v>150000</v>
      </c>
      <c r="G1378" s="15">
        <v>150000</v>
      </c>
    </row>
    <row r="1379" spans="1:7" x14ac:dyDescent="0.25">
      <c r="A1379" s="13">
        <v>46234</v>
      </c>
      <c r="B1379" s="14" t="s">
        <v>1730</v>
      </c>
      <c r="C1379" s="14" t="s">
        <v>128</v>
      </c>
      <c r="D1379" s="14" t="s">
        <v>463</v>
      </c>
      <c r="E1379" s="14" t="s">
        <v>9</v>
      </c>
      <c r="F1379" s="15">
        <v>332497.48</v>
      </c>
      <c r="G1379" s="15">
        <v>332497.48</v>
      </c>
    </row>
    <row r="1380" spans="1:7" x14ac:dyDescent="0.25">
      <c r="A1380" s="13">
        <v>46234</v>
      </c>
      <c r="B1380" s="14" t="s">
        <v>1731</v>
      </c>
      <c r="C1380" s="14" t="s">
        <v>124</v>
      </c>
      <c r="D1380" s="14" t="s">
        <v>451</v>
      </c>
      <c r="E1380" s="14" t="s">
        <v>9</v>
      </c>
      <c r="F1380" s="15">
        <v>34630.199999999997</v>
      </c>
      <c r="G1380" s="15">
        <v>34630.199999999997</v>
      </c>
    </row>
    <row r="1381" spans="1:7" x14ac:dyDescent="0.25">
      <c r="A1381" s="13">
        <v>46234</v>
      </c>
      <c r="B1381" s="14" t="s">
        <v>1732</v>
      </c>
      <c r="C1381" s="14" t="s">
        <v>125</v>
      </c>
      <c r="D1381" s="14" t="s">
        <v>451</v>
      </c>
      <c r="E1381" s="14" t="s">
        <v>9</v>
      </c>
      <c r="F1381" s="15">
        <v>5495</v>
      </c>
      <c r="G1381" s="15">
        <v>5495</v>
      </c>
    </row>
    <row r="1382" spans="1:7" x14ac:dyDescent="0.25">
      <c r="A1382" s="13">
        <v>46234</v>
      </c>
      <c r="B1382" s="14" t="s">
        <v>1733</v>
      </c>
      <c r="C1382" s="14" t="s">
        <v>123</v>
      </c>
      <c r="D1382" s="14" t="s">
        <v>33</v>
      </c>
      <c r="E1382" s="14" t="s">
        <v>9</v>
      </c>
      <c r="F1382" s="15">
        <v>85983.91</v>
      </c>
      <c r="G1382" s="15">
        <v>85983.91</v>
      </c>
    </row>
    <row r="1383" spans="1:7" x14ac:dyDescent="0.25">
      <c r="A1383" s="13">
        <v>46234</v>
      </c>
      <c r="B1383" s="14" t="s">
        <v>1734</v>
      </c>
      <c r="C1383" s="14" t="s">
        <v>123</v>
      </c>
      <c r="D1383" s="14" t="s">
        <v>33</v>
      </c>
      <c r="E1383" s="14" t="s">
        <v>9</v>
      </c>
      <c r="F1383" s="15">
        <v>95472.11</v>
      </c>
      <c r="G1383" s="15">
        <v>95472.11</v>
      </c>
    </row>
    <row r="1384" spans="1:7" x14ac:dyDescent="0.25">
      <c r="A1384" s="13">
        <v>46234</v>
      </c>
      <c r="B1384" s="14" t="s">
        <v>1735</v>
      </c>
      <c r="C1384" s="14" t="s">
        <v>131</v>
      </c>
      <c r="D1384" s="14" t="s">
        <v>42</v>
      </c>
      <c r="E1384" s="14" t="s">
        <v>9</v>
      </c>
      <c r="F1384" s="15">
        <v>2478</v>
      </c>
      <c r="G1384" s="15">
        <v>2478</v>
      </c>
    </row>
    <row r="1385" spans="1:7" x14ac:dyDescent="0.25">
      <c r="A1385" s="13">
        <v>46234</v>
      </c>
      <c r="B1385" s="14" t="s">
        <v>1736</v>
      </c>
      <c r="C1385" s="14" t="s">
        <v>132</v>
      </c>
      <c r="D1385" s="14" t="s">
        <v>731</v>
      </c>
      <c r="E1385" s="14" t="s">
        <v>9</v>
      </c>
      <c r="F1385" s="15">
        <v>18000</v>
      </c>
      <c r="G1385" s="15">
        <v>18000</v>
      </c>
    </row>
    <row r="1386" spans="1:7" x14ac:dyDescent="0.25">
      <c r="A1386" s="13">
        <v>46234</v>
      </c>
      <c r="B1386" s="14" t="s">
        <v>1737</v>
      </c>
      <c r="C1386" s="14" t="s">
        <v>133</v>
      </c>
      <c r="D1386" s="14" t="s">
        <v>731</v>
      </c>
      <c r="E1386" s="14" t="s">
        <v>9</v>
      </c>
      <c r="F1386" s="15">
        <v>37000</v>
      </c>
      <c r="G1386" s="15">
        <v>37000</v>
      </c>
    </row>
    <row r="1387" spans="1:7" x14ac:dyDescent="0.25">
      <c r="A1387" s="13">
        <v>46234</v>
      </c>
      <c r="B1387" s="14" t="s">
        <v>1484</v>
      </c>
      <c r="C1387" s="14" t="s">
        <v>144</v>
      </c>
      <c r="D1387" s="14" t="s">
        <v>49</v>
      </c>
      <c r="E1387" s="14" t="s">
        <v>9</v>
      </c>
      <c r="F1387" s="15">
        <v>71551.710000000006</v>
      </c>
      <c r="G1387" s="15">
        <v>71551.710000000006</v>
      </c>
    </row>
    <row r="1388" spans="1:7" x14ac:dyDescent="0.25">
      <c r="A1388" s="13">
        <v>46234</v>
      </c>
      <c r="B1388" s="14" t="s">
        <v>1738</v>
      </c>
      <c r="C1388" s="14" t="s">
        <v>289</v>
      </c>
      <c r="D1388" s="14" t="s">
        <v>42</v>
      </c>
      <c r="E1388" s="14" t="s">
        <v>9</v>
      </c>
      <c r="F1388" s="15">
        <v>353700</v>
      </c>
      <c r="G1388" s="15">
        <v>353700</v>
      </c>
    </row>
    <row r="1389" spans="1:7" x14ac:dyDescent="0.25">
      <c r="A1389" s="13">
        <v>46234</v>
      </c>
      <c r="B1389" s="14" t="s">
        <v>1739</v>
      </c>
      <c r="C1389" s="14" t="s">
        <v>145</v>
      </c>
      <c r="D1389" s="14" t="s">
        <v>451</v>
      </c>
      <c r="E1389" s="14" t="s">
        <v>9</v>
      </c>
      <c r="F1389" s="15">
        <v>32564.68</v>
      </c>
      <c r="G1389" s="15">
        <v>-32564.68</v>
      </c>
    </row>
    <row r="1390" spans="1:7" x14ac:dyDescent="0.25">
      <c r="A1390" s="13">
        <v>46234</v>
      </c>
      <c r="B1390" s="14" t="s">
        <v>1740</v>
      </c>
      <c r="C1390" s="14" t="s">
        <v>145</v>
      </c>
      <c r="D1390" s="14" t="s">
        <v>42</v>
      </c>
      <c r="E1390" s="14" t="s">
        <v>9</v>
      </c>
      <c r="F1390" s="15">
        <v>87081.44</v>
      </c>
      <c r="G1390" s="15">
        <v>87081.44</v>
      </c>
    </row>
    <row r="1391" spans="1:7" x14ac:dyDescent="0.25">
      <c r="A1391" s="13">
        <v>46234</v>
      </c>
      <c r="B1391" s="14" t="s">
        <v>1741</v>
      </c>
      <c r="C1391" s="14" t="s">
        <v>137</v>
      </c>
      <c r="D1391" s="14" t="s">
        <v>731</v>
      </c>
      <c r="E1391" s="14" t="s">
        <v>9</v>
      </c>
      <c r="F1391" s="15">
        <v>81011.199999999997</v>
      </c>
      <c r="G1391" s="15">
        <v>81011.199999999997</v>
      </c>
    </row>
    <row r="1392" spans="1:7" x14ac:dyDescent="0.25">
      <c r="A1392" s="13">
        <v>46234</v>
      </c>
      <c r="B1392" s="14" t="s">
        <v>1742</v>
      </c>
      <c r="C1392" s="14" t="s">
        <v>138</v>
      </c>
      <c r="D1392" s="14" t="s">
        <v>463</v>
      </c>
      <c r="E1392" s="14" t="s">
        <v>9</v>
      </c>
      <c r="F1392" s="15">
        <v>2339857.2400000002</v>
      </c>
      <c r="G1392" s="15">
        <v>2339857.2400000002</v>
      </c>
    </row>
    <row r="1393" spans="1:7" x14ac:dyDescent="0.25">
      <c r="A1393" s="13">
        <v>46234</v>
      </c>
      <c r="B1393" s="14" t="s">
        <v>1743</v>
      </c>
      <c r="C1393" s="14" t="s">
        <v>147</v>
      </c>
      <c r="D1393" s="14" t="s">
        <v>463</v>
      </c>
      <c r="E1393" s="14" t="s">
        <v>9</v>
      </c>
      <c r="F1393" s="15">
        <v>352640</v>
      </c>
      <c r="G1393" s="15">
        <v>352640</v>
      </c>
    </row>
    <row r="1394" spans="1:7" x14ac:dyDescent="0.25">
      <c r="A1394" s="13">
        <v>46234</v>
      </c>
      <c r="B1394" s="14" t="s">
        <v>1744</v>
      </c>
      <c r="C1394" s="14" t="s">
        <v>141</v>
      </c>
      <c r="D1394" s="14" t="s">
        <v>49</v>
      </c>
      <c r="E1394" s="14" t="s">
        <v>9</v>
      </c>
      <c r="F1394" s="15">
        <v>626430</v>
      </c>
      <c r="G1394" s="15">
        <v>626430</v>
      </c>
    </row>
    <row r="1395" spans="1:7" x14ac:dyDescent="0.25">
      <c r="A1395" s="13">
        <v>46234</v>
      </c>
      <c r="B1395" s="14" t="s">
        <v>1745</v>
      </c>
      <c r="C1395" s="14" t="s">
        <v>140</v>
      </c>
      <c r="D1395" s="14" t="s">
        <v>463</v>
      </c>
      <c r="E1395" s="14" t="s">
        <v>9</v>
      </c>
      <c r="F1395" s="15">
        <v>42175</v>
      </c>
      <c r="G1395" s="15">
        <v>42175</v>
      </c>
    </row>
    <row r="1396" spans="1:7" x14ac:dyDescent="0.25">
      <c r="A1396" s="13">
        <v>46234</v>
      </c>
      <c r="B1396" s="14" t="s">
        <v>1746</v>
      </c>
      <c r="C1396" s="14" t="s">
        <v>140</v>
      </c>
      <c r="D1396" s="14" t="s">
        <v>463</v>
      </c>
      <c r="E1396" s="14" t="s">
        <v>9</v>
      </c>
      <c r="F1396" s="15">
        <v>87125</v>
      </c>
      <c r="G1396" s="15">
        <v>87125</v>
      </c>
    </row>
    <row r="1397" spans="1:7" x14ac:dyDescent="0.25">
      <c r="A1397" s="13">
        <v>46234</v>
      </c>
      <c r="B1397" s="14" t="s">
        <v>1747</v>
      </c>
      <c r="C1397" s="14" t="s">
        <v>140</v>
      </c>
      <c r="D1397" s="14" t="s">
        <v>463</v>
      </c>
      <c r="E1397" s="14" t="s">
        <v>9</v>
      </c>
      <c r="F1397" s="15">
        <v>43430</v>
      </c>
      <c r="G1397" s="15">
        <v>43430</v>
      </c>
    </row>
    <row r="1398" spans="1:7" x14ac:dyDescent="0.25">
      <c r="A1398" s="13">
        <v>46234</v>
      </c>
      <c r="B1398" s="14" t="s">
        <v>1748</v>
      </c>
      <c r="C1398" s="14" t="s">
        <v>140</v>
      </c>
      <c r="D1398" s="14" t="s">
        <v>463</v>
      </c>
      <c r="E1398" s="14" t="s">
        <v>9</v>
      </c>
      <c r="F1398" s="15">
        <v>87841</v>
      </c>
      <c r="G1398" s="15">
        <v>87841</v>
      </c>
    </row>
    <row r="1399" spans="1:7" x14ac:dyDescent="0.25">
      <c r="A1399" s="13">
        <v>46234</v>
      </c>
      <c r="B1399" s="14" t="s">
        <v>1749</v>
      </c>
      <c r="C1399" s="14" t="s">
        <v>140</v>
      </c>
      <c r="D1399" s="14" t="s">
        <v>463</v>
      </c>
      <c r="E1399" s="14" t="s">
        <v>9</v>
      </c>
      <c r="F1399" s="15">
        <v>81031</v>
      </c>
      <c r="G1399" s="15">
        <v>81031</v>
      </c>
    </row>
    <row r="1400" spans="1:7" x14ac:dyDescent="0.25">
      <c r="A1400" s="13">
        <v>46234</v>
      </c>
      <c r="B1400" s="14" t="s">
        <v>1750</v>
      </c>
      <c r="C1400" s="14" t="s">
        <v>140</v>
      </c>
      <c r="D1400" s="14" t="s">
        <v>463</v>
      </c>
      <c r="E1400" s="14" t="s">
        <v>9</v>
      </c>
      <c r="F1400" s="15">
        <v>43144</v>
      </c>
      <c r="G1400" s="15">
        <v>43144</v>
      </c>
    </row>
    <row r="1401" spans="1:7" x14ac:dyDescent="0.25">
      <c r="A1401" s="13">
        <v>46234</v>
      </c>
      <c r="B1401" s="14" t="s">
        <v>1751</v>
      </c>
      <c r="C1401" s="14" t="s">
        <v>143</v>
      </c>
      <c r="D1401" s="14" t="s">
        <v>451</v>
      </c>
      <c r="E1401" s="14" t="s">
        <v>9</v>
      </c>
      <c r="F1401" s="15">
        <v>38443.72</v>
      </c>
      <c r="G1401" s="15">
        <v>38443.72</v>
      </c>
    </row>
    <row r="1402" spans="1:7" x14ac:dyDescent="0.25">
      <c r="A1402" s="13">
        <v>46234</v>
      </c>
      <c r="B1402" s="14" t="s">
        <v>1215</v>
      </c>
      <c r="C1402" s="14" t="s">
        <v>143</v>
      </c>
      <c r="D1402" s="14" t="s">
        <v>451</v>
      </c>
      <c r="E1402" s="14" t="s">
        <v>9</v>
      </c>
      <c r="F1402" s="15">
        <v>63963</v>
      </c>
      <c r="G1402" s="15">
        <v>63963</v>
      </c>
    </row>
    <row r="1403" spans="1:7" x14ac:dyDescent="0.25">
      <c r="A1403" s="13">
        <v>46234</v>
      </c>
      <c r="B1403" s="14" t="s">
        <v>1752</v>
      </c>
      <c r="C1403" s="14" t="s">
        <v>143</v>
      </c>
      <c r="D1403" s="14" t="s">
        <v>451</v>
      </c>
      <c r="E1403" s="14" t="s">
        <v>9</v>
      </c>
      <c r="F1403" s="15">
        <v>7107</v>
      </c>
      <c r="G1403" s="15">
        <v>7107</v>
      </c>
    </row>
    <row r="1404" spans="1:7" x14ac:dyDescent="0.25">
      <c r="A1404" s="13">
        <v>46234</v>
      </c>
      <c r="B1404" s="14" t="s">
        <v>1753</v>
      </c>
      <c r="C1404" s="14" t="s">
        <v>151</v>
      </c>
      <c r="D1404" s="14" t="s">
        <v>39</v>
      </c>
      <c r="E1404" s="14" t="s">
        <v>9</v>
      </c>
      <c r="F1404" s="15">
        <v>27225</v>
      </c>
      <c r="G1404" s="15">
        <v>27225</v>
      </c>
    </row>
    <row r="1405" spans="1:7" x14ac:dyDescent="0.25">
      <c r="A1405" s="13">
        <v>46234</v>
      </c>
      <c r="B1405" s="14" t="s">
        <v>1754</v>
      </c>
      <c r="C1405" s="14" t="s">
        <v>153</v>
      </c>
      <c r="D1405" s="14" t="s">
        <v>57</v>
      </c>
      <c r="E1405" s="14" t="s">
        <v>9</v>
      </c>
      <c r="F1405" s="15">
        <v>176333.3</v>
      </c>
      <c r="G1405" s="15">
        <v>176333.3</v>
      </c>
    </row>
    <row r="1406" spans="1:7" x14ac:dyDescent="0.25">
      <c r="A1406" s="13">
        <v>46234</v>
      </c>
      <c r="B1406" s="14" t="s">
        <v>1578</v>
      </c>
      <c r="C1406" s="14" t="s">
        <v>153</v>
      </c>
      <c r="D1406" s="14" t="s">
        <v>57</v>
      </c>
      <c r="E1406" s="14" t="s">
        <v>9</v>
      </c>
      <c r="F1406" s="15">
        <v>139594</v>
      </c>
      <c r="G1406" s="15">
        <v>139594</v>
      </c>
    </row>
    <row r="1407" spans="1:7" x14ac:dyDescent="0.25">
      <c r="A1407" s="13">
        <v>46234</v>
      </c>
      <c r="B1407" s="14" t="s">
        <v>1755</v>
      </c>
      <c r="C1407" s="14" t="s">
        <v>155</v>
      </c>
      <c r="D1407" s="14" t="s">
        <v>33</v>
      </c>
      <c r="E1407" s="14" t="s">
        <v>9</v>
      </c>
      <c r="F1407" s="15">
        <v>116516.92</v>
      </c>
      <c r="G1407" s="15">
        <v>116516.92</v>
      </c>
    </row>
    <row r="1408" spans="1:7" x14ac:dyDescent="0.25">
      <c r="A1408" s="13">
        <v>46234</v>
      </c>
      <c r="B1408" s="14" t="s">
        <v>1756</v>
      </c>
      <c r="C1408" s="14" t="s">
        <v>155</v>
      </c>
      <c r="D1408" s="14" t="s">
        <v>33</v>
      </c>
      <c r="E1408" s="14" t="s">
        <v>9</v>
      </c>
      <c r="F1408" s="15">
        <v>104114.99</v>
      </c>
      <c r="G1408" s="15">
        <v>104114.99</v>
      </c>
    </row>
    <row r="1409" spans="1:7" x14ac:dyDescent="0.25">
      <c r="A1409" s="13">
        <v>46234</v>
      </c>
      <c r="B1409" s="14" t="s">
        <v>1757</v>
      </c>
      <c r="C1409" s="14" t="s">
        <v>155</v>
      </c>
      <c r="D1409" s="14" t="s">
        <v>33</v>
      </c>
      <c r="E1409" s="14" t="s">
        <v>9</v>
      </c>
      <c r="F1409" s="15">
        <v>109196.32</v>
      </c>
      <c r="G1409" s="15">
        <v>109196.32</v>
      </c>
    </row>
    <row r="1410" spans="1:7" x14ac:dyDescent="0.25">
      <c r="A1410" s="13">
        <v>46234</v>
      </c>
      <c r="B1410" s="14" t="s">
        <v>1751</v>
      </c>
      <c r="C1410" s="14" t="s">
        <v>159</v>
      </c>
      <c r="D1410" s="14" t="s">
        <v>451</v>
      </c>
      <c r="E1410" s="14" t="s">
        <v>9</v>
      </c>
      <c r="F1410" s="15">
        <v>9807</v>
      </c>
      <c r="G1410" s="15">
        <v>9807</v>
      </c>
    </row>
    <row r="1411" spans="1:7" x14ac:dyDescent="0.25">
      <c r="A1411" s="13">
        <v>46234</v>
      </c>
      <c r="B1411" s="14" t="s">
        <v>1758</v>
      </c>
      <c r="C1411" s="14" t="s">
        <v>164</v>
      </c>
      <c r="D1411" s="14" t="s">
        <v>731</v>
      </c>
      <c r="E1411" s="14" t="s">
        <v>9</v>
      </c>
      <c r="F1411" s="15">
        <v>100949</v>
      </c>
      <c r="G1411" s="15">
        <v>100949</v>
      </c>
    </row>
    <row r="1412" spans="1:7" x14ac:dyDescent="0.25">
      <c r="A1412" s="13">
        <v>46234</v>
      </c>
      <c r="B1412" s="14" t="s">
        <v>1759</v>
      </c>
      <c r="C1412" s="14" t="s">
        <v>160</v>
      </c>
      <c r="D1412" s="14" t="s">
        <v>49</v>
      </c>
      <c r="E1412" s="14" t="s">
        <v>9</v>
      </c>
      <c r="F1412" s="15">
        <v>237392.4</v>
      </c>
      <c r="G1412" s="15">
        <v>237392.4</v>
      </c>
    </row>
    <row r="1413" spans="1:7" x14ac:dyDescent="0.25">
      <c r="A1413" s="13">
        <v>46234</v>
      </c>
      <c r="B1413" s="14" t="s">
        <v>1583</v>
      </c>
      <c r="C1413" s="14" t="s">
        <v>165</v>
      </c>
      <c r="D1413" s="14" t="s">
        <v>49</v>
      </c>
      <c r="E1413" s="14" t="s">
        <v>9</v>
      </c>
      <c r="F1413" s="15">
        <v>34684</v>
      </c>
      <c r="G1413" s="15">
        <v>34684</v>
      </c>
    </row>
    <row r="1414" spans="1:7" x14ac:dyDescent="0.25">
      <c r="A1414" s="13">
        <v>46234</v>
      </c>
      <c r="B1414" s="14" t="s">
        <v>1760</v>
      </c>
      <c r="C1414" s="14" t="s">
        <v>162</v>
      </c>
      <c r="D1414" s="14" t="s">
        <v>463</v>
      </c>
      <c r="E1414" s="14" t="s">
        <v>9</v>
      </c>
      <c r="F1414" s="15">
        <v>256299</v>
      </c>
      <c r="G1414" s="15">
        <v>256299</v>
      </c>
    </row>
    <row r="1415" spans="1:7" x14ac:dyDescent="0.25">
      <c r="A1415" s="13">
        <v>46234</v>
      </c>
      <c r="B1415" s="14" t="s">
        <v>1761</v>
      </c>
      <c r="C1415" s="14" t="s">
        <v>168</v>
      </c>
      <c r="D1415" s="14" t="s">
        <v>731</v>
      </c>
      <c r="E1415" s="14" t="s">
        <v>9</v>
      </c>
      <c r="F1415" s="15">
        <v>18000</v>
      </c>
      <c r="G1415" s="15">
        <v>18000</v>
      </c>
    </row>
    <row r="1416" spans="1:7" x14ac:dyDescent="0.25">
      <c r="A1416" s="13">
        <v>46234</v>
      </c>
      <c r="B1416" s="14" t="s">
        <v>1762</v>
      </c>
      <c r="C1416" s="14" t="s">
        <v>179</v>
      </c>
      <c r="D1416" s="14" t="s">
        <v>49</v>
      </c>
      <c r="E1416" s="14" t="s">
        <v>9</v>
      </c>
      <c r="F1416" s="15">
        <v>3136</v>
      </c>
      <c r="G1416" s="15">
        <v>3136</v>
      </c>
    </row>
    <row r="1417" spans="1:7" x14ac:dyDescent="0.25">
      <c r="A1417" s="13">
        <v>46234</v>
      </c>
      <c r="B1417" s="14" t="s">
        <v>1763</v>
      </c>
      <c r="C1417" s="14" t="s">
        <v>357</v>
      </c>
      <c r="D1417" s="14" t="s">
        <v>731</v>
      </c>
      <c r="E1417" s="14" t="s">
        <v>9</v>
      </c>
      <c r="F1417" s="15">
        <v>81375</v>
      </c>
      <c r="G1417" s="15">
        <v>81375</v>
      </c>
    </row>
    <row r="1418" spans="1:7" x14ac:dyDescent="0.25">
      <c r="A1418" s="13">
        <v>46234</v>
      </c>
      <c r="B1418" s="14" t="s">
        <v>1764</v>
      </c>
      <c r="C1418" s="14" t="s">
        <v>171</v>
      </c>
      <c r="D1418" s="14" t="s">
        <v>82</v>
      </c>
      <c r="E1418" s="14" t="s">
        <v>9</v>
      </c>
      <c r="F1418" s="15">
        <v>600</v>
      </c>
      <c r="G1418" s="15">
        <v>600</v>
      </c>
    </row>
    <row r="1419" spans="1:7" x14ac:dyDescent="0.25">
      <c r="A1419" s="13">
        <v>46234</v>
      </c>
      <c r="B1419" s="14" t="s">
        <v>1765</v>
      </c>
      <c r="C1419" s="14" t="s">
        <v>334</v>
      </c>
      <c r="D1419" s="14" t="s">
        <v>82</v>
      </c>
      <c r="E1419" s="14" t="s">
        <v>9</v>
      </c>
      <c r="F1419" s="15">
        <v>373860</v>
      </c>
      <c r="G1419" s="15">
        <v>373860</v>
      </c>
    </row>
    <row r="1420" spans="1:7" x14ac:dyDescent="0.25">
      <c r="A1420" s="13">
        <v>46234</v>
      </c>
      <c r="B1420" s="14" t="s">
        <v>1766</v>
      </c>
      <c r="C1420" s="14" t="s">
        <v>335</v>
      </c>
      <c r="D1420" s="14" t="s">
        <v>463</v>
      </c>
      <c r="E1420" s="14" t="s">
        <v>9</v>
      </c>
      <c r="F1420" s="15">
        <v>22680</v>
      </c>
      <c r="G1420" s="15">
        <v>22680</v>
      </c>
    </row>
    <row r="1421" spans="1:7" x14ac:dyDescent="0.25">
      <c r="A1421" s="13">
        <v>46234</v>
      </c>
      <c r="B1421" s="14" t="s">
        <v>1767</v>
      </c>
      <c r="C1421" s="14" t="s">
        <v>335</v>
      </c>
      <c r="D1421" s="14" t="s">
        <v>463</v>
      </c>
      <c r="E1421" s="14" t="s">
        <v>9</v>
      </c>
      <c r="F1421" s="15">
        <v>2441077.96</v>
      </c>
      <c r="G1421" s="15">
        <v>2441077.96</v>
      </c>
    </row>
    <row r="1422" spans="1:7" x14ac:dyDescent="0.25">
      <c r="A1422" s="13">
        <v>46234</v>
      </c>
      <c r="B1422" s="14" t="s">
        <v>1768</v>
      </c>
      <c r="C1422" s="14" t="s">
        <v>335</v>
      </c>
      <c r="D1422" s="14" t="s">
        <v>463</v>
      </c>
      <c r="E1422" s="14" t="s">
        <v>9</v>
      </c>
      <c r="F1422" s="15">
        <v>470229.6</v>
      </c>
      <c r="G1422" s="15">
        <v>470229.6</v>
      </c>
    </row>
    <row r="1423" spans="1:7" x14ac:dyDescent="0.25">
      <c r="A1423" s="13">
        <v>46234</v>
      </c>
      <c r="B1423" s="14" t="s">
        <v>1769</v>
      </c>
      <c r="C1423" s="14" t="s">
        <v>323</v>
      </c>
      <c r="D1423" s="14" t="s">
        <v>451</v>
      </c>
      <c r="E1423" s="14" t="s">
        <v>9</v>
      </c>
      <c r="F1423" s="15">
        <v>22815.75</v>
      </c>
      <c r="G1423" s="15">
        <v>22815.75</v>
      </c>
    </row>
    <row r="1424" spans="1:7" x14ac:dyDescent="0.25">
      <c r="A1424" s="13">
        <v>46234</v>
      </c>
      <c r="B1424" s="14" t="s">
        <v>1770</v>
      </c>
      <c r="C1424" s="14" t="s">
        <v>329</v>
      </c>
      <c r="D1424" s="14" t="s">
        <v>239</v>
      </c>
      <c r="E1424" s="14" t="s">
        <v>9</v>
      </c>
      <c r="F1424" s="15">
        <v>142664</v>
      </c>
      <c r="G1424" s="15">
        <v>142664</v>
      </c>
    </row>
    <row r="1425" spans="1:7" x14ac:dyDescent="0.25">
      <c r="A1425" s="13">
        <v>46234</v>
      </c>
      <c r="B1425" s="14" t="s">
        <v>1771</v>
      </c>
      <c r="C1425" s="14" t="s">
        <v>169</v>
      </c>
      <c r="D1425" s="14" t="s">
        <v>42</v>
      </c>
      <c r="E1425" s="14" t="s">
        <v>9</v>
      </c>
      <c r="F1425" s="15">
        <v>571313.69999999995</v>
      </c>
      <c r="G1425" s="15">
        <v>571313.69999999995</v>
      </c>
    </row>
    <row r="1426" spans="1:7" x14ac:dyDescent="0.25">
      <c r="A1426" s="13">
        <v>46234</v>
      </c>
      <c r="B1426" s="14" t="s">
        <v>1772</v>
      </c>
      <c r="C1426" s="14" t="s">
        <v>169</v>
      </c>
      <c r="D1426" s="14" t="s">
        <v>42</v>
      </c>
      <c r="E1426" s="14" t="s">
        <v>9</v>
      </c>
      <c r="F1426" s="15">
        <v>1324490.5</v>
      </c>
      <c r="G1426" s="15">
        <v>1324490.5</v>
      </c>
    </row>
    <row r="1427" spans="1:7" x14ac:dyDescent="0.25">
      <c r="A1427" s="13">
        <v>46234</v>
      </c>
      <c r="B1427" s="14" t="s">
        <v>1773</v>
      </c>
      <c r="C1427" s="14" t="s">
        <v>181</v>
      </c>
      <c r="D1427" s="14" t="s">
        <v>33</v>
      </c>
      <c r="E1427" s="14" t="s">
        <v>9</v>
      </c>
      <c r="F1427" s="15">
        <v>113273.12</v>
      </c>
      <c r="G1427" s="15">
        <v>113273.12</v>
      </c>
    </row>
    <row r="1428" spans="1:7" x14ac:dyDescent="0.25">
      <c r="A1428" s="13">
        <v>46234</v>
      </c>
      <c r="B1428" s="14" t="s">
        <v>1774</v>
      </c>
      <c r="C1428" s="14" t="s">
        <v>201</v>
      </c>
      <c r="D1428" s="14" t="s">
        <v>33</v>
      </c>
      <c r="E1428" s="14" t="s">
        <v>9</v>
      </c>
      <c r="F1428" s="15">
        <v>100977.93</v>
      </c>
      <c r="G1428" s="15">
        <v>100977.93</v>
      </c>
    </row>
    <row r="1429" spans="1:7" x14ac:dyDescent="0.25">
      <c r="A1429" s="13">
        <v>46234</v>
      </c>
      <c r="B1429" s="14" t="s">
        <v>1775</v>
      </c>
      <c r="C1429" s="14" t="s">
        <v>201</v>
      </c>
      <c r="D1429" s="14" t="s">
        <v>33</v>
      </c>
      <c r="E1429" s="14" t="s">
        <v>9</v>
      </c>
      <c r="F1429" s="15">
        <v>58071.21</v>
      </c>
      <c r="G1429" s="15">
        <v>58071.21</v>
      </c>
    </row>
    <row r="1430" spans="1:7" x14ac:dyDescent="0.25">
      <c r="A1430" s="13">
        <v>46234</v>
      </c>
      <c r="B1430" s="14" t="s">
        <v>1776</v>
      </c>
      <c r="C1430" s="14" t="s">
        <v>201</v>
      </c>
      <c r="D1430" s="14" t="s">
        <v>33</v>
      </c>
      <c r="E1430" s="14" t="s">
        <v>9</v>
      </c>
      <c r="F1430" s="15">
        <v>56845.62</v>
      </c>
      <c r="G1430" s="15">
        <v>56845.62</v>
      </c>
    </row>
    <row r="1431" spans="1:7" x14ac:dyDescent="0.25">
      <c r="A1431" s="13">
        <v>46234</v>
      </c>
      <c r="B1431" s="14" t="s">
        <v>1777</v>
      </c>
      <c r="C1431" s="14" t="s">
        <v>201</v>
      </c>
      <c r="D1431" s="14" t="s">
        <v>33</v>
      </c>
      <c r="E1431" s="14" t="s">
        <v>9</v>
      </c>
      <c r="F1431" s="15">
        <v>140988.51</v>
      </c>
      <c r="G1431" s="15">
        <v>140988.51</v>
      </c>
    </row>
    <row r="1432" spans="1:7" x14ac:dyDescent="0.25">
      <c r="A1432" s="13">
        <v>46234</v>
      </c>
      <c r="B1432" s="14" t="s">
        <v>1778</v>
      </c>
      <c r="C1432" s="14" t="s">
        <v>201</v>
      </c>
      <c r="D1432" s="14" t="s">
        <v>33</v>
      </c>
      <c r="E1432" s="14" t="s">
        <v>9</v>
      </c>
      <c r="F1432" s="15">
        <v>18591.189999999999</v>
      </c>
      <c r="G1432" s="15">
        <v>18591.189999999999</v>
      </c>
    </row>
    <row r="1433" spans="1:7" x14ac:dyDescent="0.25">
      <c r="A1433" s="13">
        <v>46234</v>
      </c>
      <c r="B1433" s="14" t="s">
        <v>1779</v>
      </c>
      <c r="C1433" s="14" t="s">
        <v>202</v>
      </c>
      <c r="D1433" s="14" t="s">
        <v>451</v>
      </c>
      <c r="E1433" s="14" t="s">
        <v>9</v>
      </c>
      <c r="F1433" s="15">
        <v>410912.37</v>
      </c>
      <c r="G1433" s="15">
        <v>410912.37</v>
      </c>
    </row>
    <row r="1434" spans="1:7" x14ac:dyDescent="0.25">
      <c r="A1434" s="13">
        <v>46234</v>
      </c>
      <c r="B1434" s="14" t="s">
        <v>1780</v>
      </c>
      <c r="C1434" s="14" t="s">
        <v>184</v>
      </c>
      <c r="D1434" s="14" t="s">
        <v>49</v>
      </c>
      <c r="E1434" s="14" t="s">
        <v>9</v>
      </c>
      <c r="F1434" s="15">
        <v>33320</v>
      </c>
      <c r="G1434" s="15">
        <v>33320</v>
      </c>
    </row>
    <row r="1435" spans="1:7" x14ac:dyDescent="0.25">
      <c r="A1435" s="13">
        <v>46234</v>
      </c>
      <c r="B1435" s="14" t="s">
        <v>1781</v>
      </c>
      <c r="C1435" s="14" t="s">
        <v>203</v>
      </c>
      <c r="D1435" s="14" t="s">
        <v>66</v>
      </c>
      <c r="E1435" s="14" t="s">
        <v>9</v>
      </c>
      <c r="F1435" s="15">
        <v>396165</v>
      </c>
      <c r="G1435" s="15">
        <v>396165</v>
      </c>
    </row>
    <row r="1436" spans="1:7" x14ac:dyDescent="0.25">
      <c r="A1436" s="13">
        <v>46234</v>
      </c>
      <c r="B1436" s="14" t="s">
        <v>1782</v>
      </c>
      <c r="C1436" s="14" t="s">
        <v>203</v>
      </c>
      <c r="D1436" s="14" t="s">
        <v>66</v>
      </c>
      <c r="E1436" s="14" t="s">
        <v>9</v>
      </c>
      <c r="F1436" s="15">
        <v>121520</v>
      </c>
      <c r="G1436" s="15">
        <v>121520</v>
      </c>
    </row>
    <row r="1437" spans="1:7" x14ac:dyDescent="0.25">
      <c r="A1437" s="13">
        <v>46234</v>
      </c>
      <c r="B1437" s="14" t="s">
        <v>1783</v>
      </c>
      <c r="C1437" s="14" t="s">
        <v>203</v>
      </c>
      <c r="D1437" s="14" t="s">
        <v>66</v>
      </c>
      <c r="E1437" s="14" t="s">
        <v>9</v>
      </c>
      <c r="F1437" s="15">
        <v>135240</v>
      </c>
      <c r="G1437" s="15">
        <v>135240</v>
      </c>
    </row>
    <row r="1438" spans="1:7" x14ac:dyDescent="0.25">
      <c r="A1438" s="13">
        <v>46234</v>
      </c>
      <c r="B1438" s="14" t="s">
        <v>1784</v>
      </c>
      <c r="C1438" s="14" t="s">
        <v>203</v>
      </c>
      <c r="D1438" s="14" t="s">
        <v>49</v>
      </c>
      <c r="E1438" s="14" t="s">
        <v>9</v>
      </c>
      <c r="F1438" s="15">
        <v>97020</v>
      </c>
      <c r="G1438" s="15">
        <v>97020</v>
      </c>
    </row>
    <row r="1439" spans="1:7" x14ac:dyDescent="0.25">
      <c r="A1439" s="13">
        <v>46234</v>
      </c>
      <c r="B1439" s="14" t="s">
        <v>1785</v>
      </c>
      <c r="C1439" s="14" t="s">
        <v>203</v>
      </c>
      <c r="D1439" s="14" t="s">
        <v>49</v>
      </c>
      <c r="E1439" s="14" t="s">
        <v>9</v>
      </c>
      <c r="F1439" s="15">
        <v>4900</v>
      </c>
      <c r="G1439" s="15">
        <v>4900</v>
      </c>
    </row>
    <row r="1440" spans="1:7" x14ac:dyDescent="0.25">
      <c r="A1440" s="13">
        <v>46234</v>
      </c>
      <c r="B1440" s="14" t="s">
        <v>1786</v>
      </c>
      <c r="C1440" s="14" t="s">
        <v>203</v>
      </c>
      <c r="D1440" s="14" t="s">
        <v>49</v>
      </c>
      <c r="E1440" s="14" t="s">
        <v>9</v>
      </c>
      <c r="F1440" s="15">
        <v>48020</v>
      </c>
      <c r="G1440" s="15">
        <v>48020</v>
      </c>
    </row>
    <row r="1441" spans="1:7" x14ac:dyDescent="0.25">
      <c r="A1441" s="13">
        <v>46234</v>
      </c>
      <c r="B1441" s="14" t="s">
        <v>1787</v>
      </c>
      <c r="C1441" s="14" t="s">
        <v>203</v>
      </c>
      <c r="D1441" s="14" t="s">
        <v>49</v>
      </c>
      <c r="E1441" s="14" t="s">
        <v>9</v>
      </c>
      <c r="F1441" s="15">
        <v>111720</v>
      </c>
      <c r="G1441" s="15">
        <v>111720</v>
      </c>
    </row>
    <row r="1442" spans="1:7" x14ac:dyDescent="0.25">
      <c r="A1442" s="13">
        <v>46234</v>
      </c>
      <c r="B1442" s="14" t="s">
        <v>1788</v>
      </c>
      <c r="C1442" s="14" t="s">
        <v>185</v>
      </c>
      <c r="D1442" s="14" t="s">
        <v>42</v>
      </c>
      <c r="E1442" s="14" t="s">
        <v>9</v>
      </c>
      <c r="F1442" s="15">
        <v>150800</v>
      </c>
      <c r="G1442" s="15">
        <v>150800</v>
      </c>
    </row>
    <row r="1443" spans="1:7" x14ac:dyDescent="0.25">
      <c r="A1443" s="13">
        <v>46234</v>
      </c>
      <c r="B1443" s="14" t="s">
        <v>1789</v>
      </c>
      <c r="C1443" s="14" t="s">
        <v>306</v>
      </c>
      <c r="D1443" s="14" t="s">
        <v>82</v>
      </c>
      <c r="E1443" s="14" t="s">
        <v>9</v>
      </c>
      <c r="F1443" s="15">
        <v>3000</v>
      </c>
      <c r="G1443" s="15">
        <v>3000</v>
      </c>
    </row>
    <row r="1444" spans="1:7" x14ac:dyDescent="0.25">
      <c r="A1444" s="13">
        <v>46234</v>
      </c>
      <c r="B1444" s="14" t="s">
        <v>1790</v>
      </c>
      <c r="C1444" s="14" t="s">
        <v>186</v>
      </c>
      <c r="D1444" s="14" t="s">
        <v>154</v>
      </c>
      <c r="E1444" s="14" t="s">
        <v>9</v>
      </c>
      <c r="F1444" s="15">
        <v>89173</v>
      </c>
      <c r="G1444" s="15">
        <v>89173</v>
      </c>
    </row>
    <row r="1445" spans="1:7" x14ac:dyDescent="0.25">
      <c r="A1445" s="13">
        <v>46234</v>
      </c>
      <c r="B1445" s="14" t="s">
        <v>1791</v>
      </c>
      <c r="C1445" s="14" t="s">
        <v>186</v>
      </c>
      <c r="D1445" s="14" t="s">
        <v>154</v>
      </c>
      <c r="E1445" s="14" t="s">
        <v>9</v>
      </c>
      <c r="F1445" s="15">
        <v>136890</v>
      </c>
      <c r="G1445" s="15">
        <v>136890</v>
      </c>
    </row>
    <row r="1446" spans="1:7" x14ac:dyDescent="0.25">
      <c r="A1446" s="13">
        <v>46234</v>
      </c>
      <c r="B1446" s="14" t="s">
        <v>1792</v>
      </c>
      <c r="C1446" s="14" t="s">
        <v>186</v>
      </c>
      <c r="D1446" s="14" t="s">
        <v>49</v>
      </c>
      <c r="E1446" s="14" t="s">
        <v>9</v>
      </c>
      <c r="F1446" s="15">
        <v>104400</v>
      </c>
      <c r="G1446" s="15">
        <v>104400</v>
      </c>
    </row>
    <row r="1447" spans="1:7" x14ac:dyDescent="0.25">
      <c r="A1447" s="13">
        <v>46234</v>
      </c>
      <c r="B1447" s="14" t="s">
        <v>1793</v>
      </c>
      <c r="C1447" s="14" t="s">
        <v>187</v>
      </c>
      <c r="D1447" s="14" t="s">
        <v>33</v>
      </c>
      <c r="E1447" s="14" t="s">
        <v>9</v>
      </c>
      <c r="F1447" s="15">
        <v>123651.92</v>
      </c>
      <c r="G1447" s="15">
        <v>123651.92</v>
      </c>
    </row>
    <row r="1448" spans="1:7" x14ac:dyDescent="0.25">
      <c r="A1448" s="13">
        <v>46234</v>
      </c>
      <c r="B1448" s="14" t="s">
        <v>1794</v>
      </c>
      <c r="C1448" s="14" t="s">
        <v>187</v>
      </c>
      <c r="D1448" s="14" t="s">
        <v>33</v>
      </c>
      <c r="E1448" s="14" t="s">
        <v>9</v>
      </c>
      <c r="F1448" s="15">
        <v>115136.14</v>
      </c>
      <c r="G1448" s="15">
        <v>115136.14</v>
      </c>
    </row>
    <row r="1449" spans="1:7" x14ac:dyDescent="0.25">
      <c r="A1449" s="13">
        <v>46234</v>
      </c>
      <c r="B1449" s="14" t="s">
        <v>1795</v>
      </c>
      <c r="C1449" s="14" t="s">
        <v>187</v>
      </c>
      <c r="D1449" s="14" t="s">
        <v>33</v>
      </c>
      <c r="E1449" s="14" t="s">
        <v>9</v>
      </c>
      <c r="F1449" s="15">
        <v>129190.64</v>
      </c>
      <c r="G1449" s="15">
        <v>129190.64</v>
      </c>
    </row>
    <row r="1450" spans="1:7" x14ac:dyDescent="0.25">
      <c r="A1450" s="13">
        <v>46234</v>
      </c>
      <c r="B1450" s="14" t="s">
        <v>1796</v>
      </c>
      <c r="C1450" s="14" t="s">
        <v>187</v>
      </c>
      <c r="D1450" s="14" t="s">
        <v>33</v>
      </c>
      <c r="E1450" s="14" t="s">
        <v>9</v>
      </c>
      <c r="F1450" s="15">
        <v>116728.52</v>
      </c>
      <c r="G1450" s="15">
        <v>116728.52</v>
      </c>
    </row>
    <row r="1451" spans="1:7" x14ac:dyDescent="0.25">
      <c r="A1451" s="13">
        <v>46234</v>
      </c>
      <c r="B1451" s="14" t="s">
        <v>1797</v>
      </c>
      <c r="C1451" s="14" t="s">
        <v>187</v>
      </c>
      <c r="D1451" s="14" t="s">
        <v>33</v>
      </c>
      <c r="E1451" s="14" t="s">
        <v>9</v>
      </c>
      <c r="F1451" s="15">
        <v>112551.41</v>
      </c>
      <c r="G1451" s="15">
        <v>112551.41</v>
      </c>
    </row>
    <row r="1452" spans="1:7" x14ac:dyDescent="0.25">
      <c r="A1452" s="13">
        <v>46234</v>
      </c>
      <c r="B1452" s="14" t="s">
        <v>1798</v>
      </c>
      <c r="C1452" s="14" t="s">
        <v>187</v>
      </c>
      <c r="D1452" s="14" t="s">
        <v>33</v>
      </c>
      <c r="E1452" s="14" t="s">
        <v>9</v>
      </c>
      <c r="F1452" s="15">
        <v>134383.19</v>
      </c>
      <c r="G1452" s="15">
        <v>134383.19</v>
      </c>
    </row>
    <row r="1453" spans="1:7" x14ac:dyDescent="0.25">
      <c r="A1453" s="13">
        <v>46234</v>
      </c>
      <c r="B1453" s="14" t="s">
        <v>1799</v>
      </c>
      <c r="C1453" s="14" t="s">
        <v>187</v>
      </c>
      <c r="D1453" s="14" t="s">
        <v>33</v>
      </c>
      <c r="E1453" s="14" t="s">
        <v>9</v>
      </c>
      <c r="F1453" s="15">
        <v>131544.6</v>
      </c>
      <c r="G1453" s="15">
        <v>131544.6</v>
      </c>
    </row>
    <row r="1454" spans="1:7" x14ac:dyDescent="0.25">
      <c r="A1454" s="13">
        <v>46234</v>
      </c>
      <c r="B1454" s="14" t="s">
        <v>1800</v>
      </c>
      <c r="C1454" s="14" t="s">
        <v>187</v>
      </c>
      <c r="D1454" s="14" t="s">
        <v>33</v>
      </c>
      <c r="E1454" s="14" t="s">
        <v>9</v>
      </c>
      <c r="F1454" s="15">
        <v>120190.22</v>
      </c>
      <c r="G1454" s="15">
        <v>120190.22</v>
      </c>
    </row>
    <row r="1455" spans="1:7" x14ac:dyDescent="0.25">
      <c r="A1455" s="13">
        <v>46234</v>
      </c>
      <c r="B1455" s="14" t="s">
        <v>1801</v>
      </c>
      <c r="C1455" s="14" t="s">
        <v>207</v>
      </c>
      <c r="D1455" s="14" t="s">
        <v>731</v>
      </c>
      <c r="E1455" s="14" t="s">
        <v>9</v>
      </c>
      <c r="F1455" s="15">
        <v>196980</v>
      </c>
      <c r="G1455" s="15">
        <v>196980</v>
      </c>
    </row>
    <row r="1456" spans="1:7" x14ac:dyDescent="0.25">
      <c r="A1456" s="13">
        <v>46234</v>
      </c>
      <c r="B1456" s="14" t="s">
        <v>1802</v>
      </c>
      <c r="C1456" s="14" t="s">
        <v>207</v>
      </c>
      <c r="D1456" s="14" t="s">
        <v>731</v>
      </c>
      <c r="E1456" s="14" t="s">
        <v>9</v>
      </c>
      <c r="F1456" s="15">
        <v>999855</v>
      </c>
      <c r="G1456" s="15">
        <v>999855</v>
      </c>
    </row>
    <row r="1457" spans="1:7" x14ac:dyDescent="0.25">
      <c r="A1457" s="13">
        <v>46234</v>
      </c>
      <c r="B1457" s="14" t="s">
        <v>1803</v>
      </c>
      <c r="C1457" s="14" t="s">
        <v>210</v>
      </c>
      <c r="D1457" s="14" t="s">
        <v>451</v>
      </c>
      <c r="E1457" s="14" t="s">
        <v>9</v>
      </c>
      <c r="F1457" s="15">
        <v>233415</v>
      </c>
      <c r="G1457" s="15">
        <v>233415</v>
      </c>
    </row>
    <row r="1458" spans="1:7" x14ac:dyDescent="0.25">
      <c r="A1458" s="13">
        <v>46234</v>
      </c>
      <c r="B1458" s="14" t="s">
        <v>1804</v>
      </c>
      <c r="C1458" s="14" t="s">
        <v>211</v>
      </c>
      <c r="D1458" s="14" t="s">
        <v>42</v>
      </c>
      <c r="E1458" s="14" t="s">
        <v>9</v>
      </c>
      <c r="F1458" s="15">
        <v>79199.399999999994</v>
      </c>
      <c r="G1458" s="15">
        <v>79199.399999999994</v>
      </c>
    </row>
    <row r="1459" spans="1:7" x14ac:dyDescent="0.25">
      <c r="A1459" s="13">
        <v>46234</v>
      </c>
      <c r="B1459" s="14" t="s">
        <v>1805</v>
      </c>
      <c r="C1459" s="14" t="s">
        <v>190</v>
      </c>
      <c r="D1459" s="14" t="s">
        <v>42</v>
      </c>
      <c r="E1459" s="14" t="s">
        <v>9</v>
      </c>
      <c r="F1459" s="15">
        <v>5039.1000000000004</v>
      </c>
      <c r="G1459" s="15">
        <v>5039.1000000000004</v>
      </c>
    </row>
    <row r="1460" spans="1:7" x14ac:dyDescent="0.25">
      <c r="A1460" s="13">
        <v>46234</v>
      </c>
      <c r="B1460" s="14" t="s">
        <v>1806</v>
      </c>
      <c r="C1460" s="14" t="s">
        <v>182</v>
      </c>
      <c r="D1460" s="14" t="s">
        <v>463</v>
      </c>
      <c r="E1460" s="14" t="s">
        <v>9</v>
      </c>
      <c r="F1460" s="15">
        <v>189540</v>
      </c>
      <c r="G1460" s="15">
        <v>189540</v>
      </c>
    </row>
    <row r="1461" spans="1:7" x14ac:dyDescent="0.25">
      <c r="A1461" s="13">
        <v>46234</v>
      </c>
      <c r="B1461" s="14" t="s">
        <v>1807</v>
      </c>
      <c r="C1461" s="14" t="s">
        <v>182</v>
      </c>
      <c r="D1461" s="14" t="s">
        <v>463</v>
      </c>
      <c r="E1461" s="14" t="s">
        <v>9</v>
      </c>
      <c r="F1461" s="15">
        <v>269109</v>
      </c>
      <c r="G1461" s="15">
        <v>269109</v>
      </c>
    </row>
    <row r="1462" spans="1:7" x14ac:dyDescent="0.25">
      <c r="A1462" s="13">
        <v>46234</v>
      </c>
      <c r="B1462" s="14" t="s">
        <v>1808</v>
      </c>
      <c r="C1462" s="14" t="s">
        <v>193</v>
      </c>
      <c r="D1462" s="14" t="s">
        <v>463</v>
      </c>
      <c r="E1462" s="14" t="s">
        <v>9</v>
      </c>
      <c r="F1462" s="15">
        <v>82792.98</v>
      </c>
      <c r="G1462" s="15">
        <v>82792.98</v>
      </c>
    </row>
    <row r="1463" spans="1:7" x14ac:dyDescent="0.25">
      <c r="A1463" s="13">
        <v>46234</v>
      </c>
      <c r="B1463" s="14" t="s">
        <v>1809</v>
      </c>
      <c r="C1463" s="14" t="s">
        <v>193</v>
      </c>
      <c r="D1463" s="14" t="s">
        <v>463</v>
      </c>
      <c r="E1463" s="14" t="s">
        <v>9</v>
      </c>
      <c r="F1463" s="15">
        <v>6508.05</v>
      </c>
      <c r="G1463" s="15">
        <v>6508.05</v>
      </c>
    </row>
    <row r="1464" spans="1:7" x14ac:dyDescent="0.25">
      <c r="A1464" s="13">
        <v>46234</v>
      </c>
      <c r="B1464" s="14" t="s">
        <v>1810</v>
      </c>
      <c r="C1464" s="14" t="s">
        <v>193</v>
      </c>
      <c r="D1464" s="14" t="s">
        <v>42</v>
      </c>
      <c r="E1464" s="14" t="s">
        <v>9</v>
      </c>
      <c r="F1464" s="15">
        <v>2977.48</v>
      </c>
      <c r="G1464" s="15">
        <v>2977.48</v>
      </c>
    </row>
    <row r="1465" spans="1:7" x14ac:dyDescent="0.25">
      <c r="A1465" s="13">
        <v>46234</v>
      </c>
      <c r="B1465" s="14" t="s">
        <v>1811</v>
      </c>
      <c r="C1465" s="14" t="s">
        <v>193</v>
      </c>
      <c r="D1465" s="14" t="s">
        <v>42</v>
      </c>
      <c r="E1465" s="14" t="s">
        <v>9</v>
      </c>
      <c r="F1465" s="15">
        <v>23863.42</v>
      </c>
      <c r="G1465" s="15">
        <v>23863.42</v>
      </c>
    </row>
    <row r="1466" spans="1:7" x14ac:dyDescent="0.25">
      <c r="A1466" s="13">
        <v>46234</v>
      </c>
      <c r="B1466" s="14" t="s">
        <v>1812</v>
      </c>
      <c r="C1466" s="14" t="s">
        <v>193</v>
      </c>
      <c r="D1466" s="14" t="s">
        <v>42</v>
      </c>
      <c r="E1466" s="14" t="s">
        <v>9</v>
      </c>
      <c r="F1466" s="15">
        <v>5910.7</v>
      </c>
      <c r="G1466" s="15">
        <v>5910.7</v>
      </c>
    </row>
    <row r="1467" spans="1:7" x14ac:dyDescent="0.25">
      <c r="A1467" s="13">
        <v>46234</v>
      </c>
      <c r="B1467" s="14" t="s">
        <v>1813</v>
      </c>
      <c r="C1467" s="14" t="s">
        <v>330</v>
      </c>
      <c r="D1467" s="14" t="s">
        <v>42</v>
      </c>
      <c r="E1467" s="14" t="s">
        <v>9</v>
      </c>
      <c r="F1467" s="15">
        <v>412960</v>
      </c>
      <c r="G1467" s="15">
        <v>412960</v>
      </c>
    </row>
    <row r="1468" spans="1:7" x14ac:dyDescent="0.25">
      <c r="A1468" s="13">
        <v>46234</v>
      </c>
      <c r="B1468" s="14" t="s">
        <v>1814</v>
      </c>
      <c r="C1468" s="14" t="s">
        <v>216</v>
      </c>
      <c r="D1468" s="14"/>
      <c r="E1468" s="14" t="s">
        <v>9</v>
      </c>
      <c r="F1468" s="15">
        <v>2692</v>
      </c>
      <c r="G1468" s="15">
        <v>2692</v>
      </c>
    </row>
    <row r="1469" spans="1:7" x14ac:dyDescent="0.25">
      <c r="A1469" s="13">
        <v>46234</v>
      </c>
      <c r="B1469" s="14" t="s">
        <v>1815</v>
      </c>
      <c r="C1469" s="14" t="s">
        <v>196</v>
      </c>
      <c r="D1469" s="14" t="s">
        <v>451</v>
      </c>
      <c r="E1469" s="14" t="s">
        <v>9</v>
      </c>
      <c r="F1469" s="15">
        <v>197490.15</v>
      </c>
      <c r="G1469" s="15">
        <v>197490.15</v>
      </c>
    </row>
    <row r="1470" spans="1:7" x14ac:dyDescent="0.25">
      <c r="A1470" s="13">
        <v>46234</v>
      </c>
      <c r="B1470" s="14" t="s">
        <v>1816</v>
      </c>
      <c r="C1470" s="14" t="s">
        <v>196</v>
      </c>
      <c r="D1470" s="14" t="s">
        <v>451</v>
      </c>
      <c r="E1470" s="14" t="s">
        <v>9</v>
      </c>
      <c r="F1470" s="15">
        <v>66232.320000000007</v>
      </c>
      <c r="G1470" s="15">
        <v>66232.320000000007</v>
      </c>
    </row>
    <row r="1471" spans="1:7" x14ac:dyDescent="0.25">
      <c r="A1471" s="13">
        <v>46234</v>
      </c>
      <c r="B1471" s="14" t="s">
        <v>1817</v>
      </c>
      <c r="C1471" s="14" t="s">
        <v>219</v>
      </c>
      <c r="D1471" s="14" t="s">
        <v>731</v>
      </c>
      <c r="E1471" s="14" t="s">
        <v>9</v>
      </c>
      <c r="F1471" s="15">
        <v>37000</v>
      </c>
      <c r="G1471" s="15">
        <v>37000</v>
      </c>
    </row>
    <row r="1472" spans="1:7" x14ac:dyDescent="0.25">
      <c r="A1472" s="13">
        <v>46234</v>
      </c>
      <c r="B1472" s="14" t="s">
        <v>1818</v>
      </c>
      <c r="C1472" s="14" t="s">
        <v>220</v>
      </c>
      <c r="D1472" s="14" t="s">
        <v>20</v>
      </c>
      <c r="E1472" s="14" t="s">
        <v>9</v>
      </c>
      <c r="F1472" s="15">
        <v>6000</v>
      </c>
      <c r="G1472" s="15">
        <v>6000</v>
      </c>
    </row>
    <row r="1473" spans="1:7" x14ac:dyDescent="0.25">
      <c r="A1473" s="13">
        <v>46234</v>
      </c>
      <c r="B1473" s="14" t="s">
        <v>1819</v>
      </c>
      <c r="C1473" s="14" t="s">
        <v>221</v>
      </c>
      <c r="D1473" s="14" t="s">
        <v>79</v>
      </c>
      <c r="E1473" s="14" t="s">
        <v>9</v>
      </c>
      <c r="F1473" s="15">
        <v>147200</v>
      </c>
      <c r="G1473" s="15">
        <v>147200</v>
      </c>
    </row>
    <row r="1474" spans="1:7" x14ac:dyDescent="0.25">
      <c r="A1474" s="13">
        <v>46234</v>
      </c>
      <c r="B1474" s="14" t="s">
        <v>1820</v>
      </c>
      <c r="C1474" s="14" t="s">
        <v>221</v>
      </c>
      <c r="D1474" s="14" t="s">
        <v>731</v>
      </c>
      <c r="E1474" s="14" t="s">
        <v>9</v>
      </c>
      <c r="F1474" s="15">
        <v>55700</v>
      </c>
      <c r="G1474" s="15">
        <v>55700</v>
      </c>
    </row>
    <row r="1475" spans="1:7" x14ac:dyDescent="0.25">
      <c r="A1475" s="13">
        <v>46234</v>
      </c>
      <c r="B1475" s="14" t="s">
        <v>1821</v>
      </c>
      <c r="C1475" s="14" t="s">
        <v>221</v>
      </c>
      <c r="D1475" s="14" t="s">
        <v>731</v>
      </c>
      <c r="E1475" s="14" t="s">
        <v>9</v>
      </c>
      <c r="F1475" s="15">
        <v>55700</v>
      </c>
      <c r="G1475" s="15">
        <v>55700</v>
      </c>
    </row>
    <row r="1476" spans="1:7" x14ac:dyDescent="0.25">
      <c r="A1476" s="13">
        <v>46234</v>
      </c>
      <c r="B1476" s="14" t="s">
        <v>1822</v>
      </c>
      <c r="C1476" s="14" t="s">
        <v>221</v>
      </c>
      <c r="D1476" s="14" t="s">
        <v>79</v>
      </c>
      <c r="E1476" s="14" t="s">
        <v>9</v>
      </c>
      <c r="F1476" s="15">
        <v>143200</v>
      </c>
      <c r="G1476" s="15">
        <v>143200</v>
      </c>
    </row>
    <row r="1477" spans="1:7" x14ac:dyDescent="0.25">
      <c r="A1477" s="13">
        <v>46234</v>
      </c>
      <c r="B1477" s="14" t="s">
        <v>1823</v>
      </c>
      <c r="C1477" s="14" t="s">
        <v>229</v>
      </c>
      <c r="D1477" s="14" t="s">
        <v>731</v>
      </c>
      <c r="E1477" s="14" t="s">
        <v>9</v>
      </c>
      <c r="F1477" s="15">
        <v>240019.08</v>
      </c>
      <c r="G1477" s="15">
        <v>240019.08</v>
      </c>
    </row>
    <row r="1478" spans="1:7" x14ac:dyDescent="0.25">
      <c r="A1478" s="13">
        <v>46234</v>
      </c>
      <c r="B1478" s="14" t="s">
        <v>1824</v>
      </c>
      <c r="C1478" s="14" t="s">
        <v>230</v>
      </c>
      <c r="D1478" s="14" t="s">
        <v>731</v>
      </c>
      <c r="E1478" s="14" t="s">
        <v>9</v>
      </c>
      <c r="F1478" s="15">
        <v>0.09</v>
      </c>
      <c r="G1478" s="15">
        <v>-0.09</v>
      </c>
    </row>
    <row r="1479" spans="1:7" x14ac:dyDescent="0.25">
      <c r="A1479" s="13">
        <v>46234</v>
      </c>
      <c r="B1479" s="14" t="s">
        <v>1825</v>
      </c>
      <c r="C1479" s="14" t="s">
        <v>230</v>
      </c>
      <c r="D1479" s="14" t="s">
        <v>731</v>
      </c>
      <c r="E1479" s="14" t="s">
        <v>9</v>
      </c>
      <c r="F1479" s="15">
        <v>35669</v>
      </c>
      <c r="G1479" s="15">
        <v>35669</v>
      </c>
    </row>
    <row r="1480" spans="1:7" x14ac:dyDescent="0.25">
      <c r="A1480" s="13">
        <v>46234</v>
      </c>
      <c r="B1480" s="14" t="s">
        <v>1826</v>
      </c>
      <c r="C1480" s="14" t="s">
        <v>231</v>
      </c>
      <c r="D1480" s="14" t="s">
        <v>731</v>
      </c>
      <c r="E1480" s="14" t="s">
        <v>9</v>
      </c>
      <c r="F1480" s="15">
        <v>241532.23</v>
      </c>
      <c r="G1480" s="15">
        <v>241532.23</v>
      </c>
    </row>
    <row r="1481" spans="1:7" x14ac:dyDescent="0.25">
      <c r="A1481" s="13">
        <v>46234</v>
      </c>
      <c r="B1481" s="14" t="s">
        <v>1827</v>
      </c>
      <c r="C1481" s="14" t="s">
        <v>231</v>
      </c>
      <c r="D1481" s="14" t="s">
        <v>731</v>
      </c>
      <c r="E1481" s="14" t="s">
        <v>9</v>
      </c>
      <c r="F1481" s="15">
        <v>260521.03</v>
      </c>
      <c r="G1481" s="15">
        <v>260521.03</v>
      </c>
    </row>
    <row r="1482" spans="1:7" x14ac:dyDescent="0.25">
      <c r="A1482" s="13">
        <v>46234</v>
      </c>
      <c r="B1482" s="14" t="s">
        <v>1828</v>
      </c>
      <c r="C1482" s="14" t="s">
        <v>231</v>
      </c>
      <c r="D1482" s="14" t="s">
        <v>731</v>
      </c>
      <c r="E1482" s="14" t="s">
        <v>9</v>
      </c>
      <c r="F1482" s="15">
        <v>66011.38</v>
      </c>
      <c r="G1482" s="15">
        <v>66011.38</v>
      </c>
    </row>
    <row r="1483" spans="1:7" x14ac:dyDescent="0.25">
      <c r="A1483" s="13">
        <v>46234</v>
      </c>
      <c r="B1483" s="14" t="s">
        <v>1829</v>
      </c>
      <c r="C1483" s="14" t="s">
        <v>231</v>
      </c>
      <c r="D1483" s="14" t="s">
        <v>731</v>
      </c>
      <c r="E1483" s="14" t="s">
        <v>9</v>
      </c>
      <c r="F1483" s="15">
        <v>82763.62</v>
      </c>
      <c r="G1483" s="15">
        <v>82763.62</v>
      </c>
    </row>
    <row r="1484" spans="1:7" x14ac:dyDescent="0.25">
      <c r="A1484" s="13">
        <v>46234</v>
      </c>
      <c r="B1484" s="14" t="s">
        <v>1830</v>
      </c>
      <c r="C1484" s="14" t="s">
        <v>231</v>
      </c>
      <c r="D1484" s="14" t="s">
        <v>731</v>
      </c>
      <c r="E1484" s="14" t="s">
        <v>9</v>
      </c>
      <c r="F1484" s="15">
        <v>50077.98</v>
      </c>
      <c r="G1484" s="15">
        <v>50077.98</v>
      </c>
    </row>
    <row r="1485" spans="1:7" x14ac:dyDescent="0.25">
      <c r="A1485" s="13">
        <v>46234</v>
      </c>
      <c r="B1485" s="14" t="s">
        <v>733</v>
      </c>
      <c r="C1485" s="14" t="s">
        <v>227</v>
      </c>
      <c r="D1485" s="14" t="s">
        <v>42</v>
      </c>
      <c r="E1485" s="14" t="s">
        <v>9</v>
      </c>
      <c r="F1485" s="15">
        <v>418515.24</v>
      </c>
      <c r="G1485" s="15">
        <v>418515.24</v>
      </c>
    </row>
    <row r="1486" spans="1:7" x14ac:dyDescent="0.25">
      <c r="A1486" s="13">
        <v>46234</v>
      </c>
      <c r="B1486" s="14" t="s">
        <v>1831</v>
      </c>
      <c r="C1486" s="14" t="s">
        <v>309</v>
      </c>
      <c r="D1486" s="14" t="s">
        <v>49</v>
      </c>
      <c r="E1486" s="14" t="s">
        <v>9</v>
      </c>
      <c r="F1486" s="15">
        <v>146997.79</v>
      </c>
      <c r="G1486" s="15">
        <v>-146997.79</v>
      </c>
    </row>
    <row r="1487" spans="1:7" x14ac:dyDescent="0.25">
      <c r="A1487" s="13">
        <v>46234</v>
      </c>
      <c r="B1487" s="14" t="s">
        <v>1832</v>
      </c>
      <c r="C1487" s="14" t="s">
        <v>236</v>
      </c>
      <c r="D1487" s="14" t="s">
        <v>451</v>
      </c>
      <c r="E1487" s="14" t="s">
        <v>9</v>
      </c>
      <c r="F1487" s="15">
        <v>22744.12</v>
      </c>
      <c r="G1487" s="15">
        <v>22744.12</v>
      </c>
    </row>
    <row r="1488" spans="1:7" x14ac:dyDescent="0.25">
      <c r="A1488" s="13">
        <v>46234</v>
      </c>
      <c r="B1488" s="14" t="s">
        <v>1833</v>
      </c>
      <c r="C1488" s="14" t="s">
        <v>236</v>
      </c>
      <c r="D1488" s="14" t="s">
        <v>451</v>
      </c>
      <c r="E1488" s="14" t="s">
        <v>9</v>
      </c>
      <c r="F1488" s="15">
        <v>69600</v>
      </c>
      <c r="G1488" s="15">
        <v>69600</v>
      </c>
    </row>
    <row r="1489" spans="1:7" x14ac:dyDescent="0.25">
      <c r="A1489" s="13">
        <v>46234</v>
      </c>
      <c r="B1489" s="14" t="s">
        <v>1834</v>
      </c>
      <c r="C1489" s="14" t="s">
        <v>236</v>
      </c>
      <c r="D1489" s="14" t="s">
        <v>451</v>
      </c>
      <c r="E1489" s="14" t="s">
        <v>9</v>
      </c>
      <c r="F1489" s="15">
        <v>139200</v>
      </c>
      <c r="G1489" s="15">
        <v>139200</v>
      </c>
    </row>
    <row r="1490" spans="1:7" x14ac:dyDescent="0.25">
      <c r="A1490" s="13">
        <v>46234</v>
      </c>
      <c r="B1490" s="14" t="s">
        <v>1752</v>
      </c>
      <c r="C1490" s="14" t="s">
        <v>242</v>
      </c>
      <c r="D1490" s="14" t="s">
        <v>451</v>
      </c>
      <c r="E1490" s="14" t="s">
        <v>9</v>
      </c>
      <c r="F1490" s="15">
        <v>105160.26</v>
      </c>
      <c r="G1490" s="15">
        <v>105160.26</v>
      </c>
    </row>
    <row r="1491" spans="1:7" x14ac:dyDescent="0.25">
      <c r="A1491" s="13">
        <v>46234</v>
      </c>
      <c r="B1491" s="14" t="s">
        <v>1835</v>
      </c>
      <c r="C1491" s="14" t="s">
        <v>243</v>
      </c>
      <c r="D1491" s="14" t="s">
        <v>463</v>
      </c>
      <c r="E1491" s="14" t="s">
        <v>9</v>
      </c>
      <c r="F1491" s="15">
        <v>438891</v>
      </c>
      <c r="G1491" s="15">
        <v>438891</v>
      </c>
    </row>
    <row r="1492" spans="1:7" x14ac:dyDescent="0.25">
      <c r="A1492" s="13">
        <v>46234</v>
      </c>
      <c r="B1492" s="14" t="s">
        <v>1836</v>
      </c>
      <c r="C1492" s="14" t="s">
        <v>247</v>
      </c>
      <c r="D1492" s="14" t="s">
        <v>49</v>
      </c>
      <c r="E1492" s="14" t="s">
        <v>9</v>
      </c>
      <c r="F1492" s="15">
        <v>4516</v>
      </c>
      <c r="G1492" s="15">
        <v>4516</v>
      </c>
    </row>
    <row r="1493" spans="1:7" x14ac:dyDescent="0.25">
      <c r="A1493" s="13">
        <v>46234</v>
      </c>
      <c r="B1493" s="14" t="s">
        <v>1837</v>
      </c>
      <c r="C1493" s="14" t="s">
        <v>250</v>
      </c>
      <c r="D1493" s="14" t="s">
        <v>42</v>
      </c>
      <c r="E1493" s="14" t="s">
        <v>9</v>
      </c>
      <c r="F1493" s="15">
        <v>57575</v>
      </c>
      <c r="G1493" s="15">
        <v>57575</v>
      </c>
    </row>
    <row r="1494" spans="1:7" x14ac:dyDescent="0.25">
      <c r="A1494" s="13">
        <v>46234</v>
      </c>
      <c r="B1494" s="14" t="s">
        <v>1838</v>
      </c>
      <c r="C1494" s="14" t="s">
        <v>250</v>
      </c>
      <c r="D1494" s="14" t="s">
        <v>42</v>
      </c>
      <c r="E1494" s="14" t="s">
        <v>9</v>
      </c>
      <c r="F1494" s="15">
        <v>95550</v>
      </c>
      <c r="G1494" s="15">
        <v>95550</v>
      </c>
    </row>
    <row r="1495" spans="1:7" x14ac:dyDescent="0.25">
      <c r="A1495" s="13">
        <v>46234</v>
      </c>
      <c r="B1495" s="14" t="s">
        <v>1839</v>
      </c>
      <c r="C1495" s="14" t="s">
        <v>250</v>
      </c>
      <c r="D1495" s="14" t="s">
        <v>42</v>
      </c>
      <c r="E1495" s="14" t="s">
        <v>9</v>
      </c>
      <c r="F1495" s="15">
        <v>95550</v>
      </c>
      <c r="G1495" s="15">
        <v>95550</v>
      </c>
    </row>
    <row r="1496" spans="1:7" x14ac:dyDescent="0.25">
      <c r="A1496" s="13">
        <v>46234</v>
      </c>
      <c r="B1496" s="14" t="s">
        <v>1840</v>
      </c>
      <c r="C1496" s="14" t="s">
        <v>250</v>
      </c>
      <c r="D1496" s="14" t="s">
        <v>42</v>
      </c>
      <c r="E1496" s="14" t="s">
        <v>9</v>
      </c>
      <c r="F1496" s="15">
        <v>95550</v>
      </c>
      <c r="G1496" s="15">
        <v>95550</v>
      </c>
    </row>
    <row r="1497" spans="1:7" x14ac:dyDescent="0.25">
      <c r="A1497" s="13">
        <v>46234</v>
      </c>
      <c r="B1497" s="14" t="s">
        <v>1841</v>
      </c>
      <c r="C1497" s="14" t="s">
        <v>250</v>
      </c>
      <c r="D1497" s="14" t="s">
        <v>451</v>
      </c>
      <c r="E1497" s="14" t="s">
        <v>9</v>
      </c>
      <c r="F1497" s="15">
        <v>11564</v>
      </c>
      <c r="G1497" s="15">
        <v>11564</v>
      </c>
    </row>
    <row r="1498" spans="1:7" x14ac:dyDescent="0.25">
      <c r="A1498" s="13">
        <v>46234</v>
      </c>
      <c r="B1498" s="14" t="s">
        <v>1842</v>
      </c>
      <c r="C1498" s="14" t="s">
        <v>250</v>
      </c>
      <c r="D1498" s="14" t="s">
        <v>451</v>
      </c>
      <c r="E1498" s="14" t="s">
        <v>9</v>
      </c>
      <c r="F1498" s="15">
        <v>11564</v>
      </c>
      <c r="G1498" s="15">
        <v>11564</v>
      </c>
    </row>
    <row r="1499" spans="1:7" x14ac:dyDescent="0.25">
      <c r="A1499" s="13">
        <v>46234</v>
      </c>
      <c r="B1499" s="14" t="s">
        <v>1843</v>
      </c>
      <c r="C1499" s="14" t="s">
        <v>250</v>
      </c>
      <c r="D1499" s="14" t="s">
        <v>451</v>
      </c>
      <c r="E1499" s="14" t="s">
        <v>9</v>
      </c>
      <c r="F1499" s="15">
        <v>11564</v>
      </c>
      <c r="G1499" s="15">
        <v>11564</v>
      </c>
    </row>
    <row r="1500" spans="1:7" x14ac:dyDescent="0.25">
      <c r="A1500" s="13">
        <v>46234</v>
      </c>
      <c r="B1500" s="14" t="s">
        <v>1844</v>
      </c>
      <c r="C1500" s="14" t="s">
        <v>250</v>
      </c>
      <c r="D1500" s="14" t="s">
        <v>451</v>
      </c>
      <c r="E1500" s="14" t="s">
        <v>9</v>
      </c>
      <c r="F1500" s="15">
        <v>11564</v>
      </c>
      <c r="G1500" s="15">
        <v>11564</v>
      </c>
    </row>
    <row r="1501" spans="1:7" x14ac:dyDescent="0.25">
      <c r="A1501" s="13">
        <v>46234</v>
      </c>
      <c r="B1501" s="14" t="s">
        <v>1845</v>
      </c>
      <c r="C1501" s="14" t="s">
        <v>250</v>
      </c>
      <c r="D1501" s="14" t="s">
        <v>451</v>
      </c>
      <c r="E1501" s="14" t="s">
        <v>9</v>
      </c>
      <c r="F1501" s="15">
        <v>11564</v>
      </c>
      <c r="G1501" s="15">
        <v>11564</v>
      </c>
    </row>
    <row r="1502" spans="1:7" x14ac:dyDescent="0.25">
      <c r="A1502" s="13">
        <v>46234</v>
      </c>
      <c r="B1502" s="14" t="s">
        <v>1846</v>
      </c>
      <c r="C1502" s="14" t="s">
        <v>250</v>
      </c>
      <c r="D1502" s="14" t="s">
        <v>451</v>
      </c>
      <c r="E1502" s="14" t="s">
        <v>9</v>
      </c>
      <c r="F1502" s="15">
        <v>88200</v>
      </c>
      <c r="G1502" s="15">
        <v>88200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48" customWidth="1"/>
    <col min="3" max="3" width="14" customWidth="1"/>
    <col min="4" max="4" width="16" customWidth="1"/>
    <col min="5" max="5" width="16.7109375" customWidth="1"/>
    <col min="6" max="6" width="3.7109375" hidden="1" customWidth="1"/>
    <col min="7" max="7" width="14.85546875" customWidth="1"/>
    <col min="8" max="8" width="15.7109375" style="39" customWidth="1"/>
    <col min="9" max="9" width="16" customWidth="1"/>
    <col min="10" max="17" width="15" customWidth="1"/>
    <col min="18" max="18" width="16" customWidth="1"/>
    <col min="19" max="19" width="15" customWidth="1"/>
  </cols>
  <sheetData>
    <row r="1" spans="1:19" ht="15.75" x14ac:dyDescent="0.25">
      <c r="A1" s="1" t="s">
        <v>0</v>
      </c>
    </row>
    <row r="2" spans="1:19" x14ac:dyDescent="0.25">
      <c r="A2" s="2" t="s">
        <v>1</v>
      </c>
    </row>
    <row r="3" spans="1:19" x14ac:dyDescent="0.25">
      <c r="A3" s="3"/>
      <c r="B3" s="4" t="s">
        <v>2</v>
      </c>
      <c r="C3" s="3"/>
      <c r="D3" s="3"/>
      <c r="E3" s="3"/>
      <c r="F3" s="5">
        <f t="shared" ref="F3:S3" si="0">SUM(F5:F181)</f>
        <v>32848614.460000005</v>
      </c>
      <c r="G3" s="5">
        <f t="shared" si="0"/>
        <v>139274623.54000005</v>
      </c>
      <c r="H3" s="5">
        <f t="shared" si="0"/>
        <v>18364455.420000006</v>
      </c>
      <c r="I3" s="5">
        <f t="shared" si="0"/>
        <v>157639078.96000007</v>
      </c>
      <c r="J3" s="5">
        <f t="shared" si="0"/>
        <v>65610550.969999999</v>
      </c>
      <c r="K3" s="5">
        <f t="shared" si="0"/>
        <v>34399225.890000001</v>
      </c>
      <c r="L3" s="5">
        <f t="shared" si="0"/>
        <v>17886604.450000003</v>
      </c>
      <c r="M3" s="5">
        <f t="shared" si="0"/>
        <v>6813919.7999999989</v>
      </c>
      <c r="N3" s="5">
        <f t="shared" si="0"/>
        <v>6644983.5700000003</v>
      </c>
      <c r="O3" s="5">
        <f t="shared" si="0"/>
        <v>8393120.0199999996</v>
      </c>
      <c r="P3" s="5">
        <f t="shared" si="0"/>
        <v>12331930.33</v>
      </c>
      <c r="Q3" s="5">
        <f t="shared" si="0"/>
        <v>5558082.9800000004</v>
      </c>
      <c r="R3" s="5">
        <f t="shared" si="0"/>
        <v>157638418.01000008</v>
      </c>
      <c r="S3" s="5">
        <f t="shared" si="0"/>
        <v>660.95</v>
      </c>
    </row>
    <row r="4" spans="1:19" ht="30" customHeight="1" x14ac:dyDescent="0.25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2048</v>
      </c>
      <c r="G4" s="6" t="s">
        <v>2032</v>
      </c>
      <c r="H4" s="41" t="s">
        <v>1860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</row>
    <row r="5" spans="1:19" x14ac:dyDescent="0.25">
      <c r="A5" s="7">
        <v>1</v>
      </c>
      <c r="B5" s="7" t="s">
        <v>19</v>
      </c>
      <c r="C5" s="7" t="s">
        <v>20</v>
      </c>
      <c r="D5" s="7" t="s">
        <v>21</v>
      </c>
      <c r="E5" s="7" t="s">
        <v>22</v>
      </c>
      <c r="F5" s="8">
        <f>SUM(N5:Q5)</f>
        <v>0</v>
      </c>
      <c r="G5" s="55">
        <f>I5-H5</f>
        <v>0</v>
      </c>
      <c r="H5" s="38">
        <f>SUMIF(Payments!$D$4:$D$117,'Only Creditors'!B5,Payments!$E$4:$E$130)</f>
        <v>225000</v>
      </c>
      <c r="I5" s="8">
        <v>225000</v>
      </c>
      <c r="J5" s="8">
        <v>225000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225000</v>
      </c>
      <c r="S5" s="8">
        <v>0</v>
      </c>
    </row>
    <row r="6" spans="1:19" x14ac:dyDescent="0.25">
      <c r="A6" s="7">
        <v>2</v>
      </c>
      <c r="B6" s="7" t="s">
        <v>23</v>
      </c>
      <c r="C6" s="7" t="s">
        <v>24</v>
      </c>
      <c r="D6" s="7" t="s">
        <v>25</v>
      </c>
      <c r="E6" s="7" t="s">
        <v>26</v>
      </c>
      <c r="F6" s="8">
        <f>SUM(N6:Q6)</f>
        <v>0</v>
      </c>
      <c r="G6" s="55">
        <f>I6-H6</f>
        <v>104939.38</v>
      </c>
      <c r="H6" s="38">
        <f>SUMIF(Payments!$D$4:$D$117,'Only Creditors'!B6,Payments!$E$4:$E$130)</f>
        <v>0</v>
      </c>
      <c r="I6" s="8">
        <v>104939.38</v>
      </c>
      <c r="J6" s="8">
        <v>24500</v>
      </c>
      <c r="K6" s="8">
        <v>0</v>
      </c>
      <c r="L6" s="8">
        <v>80439.38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104939.38</v>
      </c>
      <c r="S6" s="8">
        <v>0</v>
      </c>
    </row>
    <row r="7" spans="1:19" x14ac:dyDescent="0.25">
      <c r="A7" s="7">
        <v>3</v>
      </c>
      <c r="B7" s="7" t="s">
        <v>27</v>
      </c>
      <c r="C7" s="7" t="s">
        <v>28</v>
      </c>
      <c r="D7" s="7" t="s">
        <v>21</v>
      </c>
      <c r="E7" s="7" t="s">
        <v>29</v>
      </c>
      <c r="F7" s="8">
        <f>SUM(N7:Q7)</f>
        <v>0</v>
      </c>
      <c r="G7" s="55">
        <f>I7-H7</f>
        <v>731548.93</v>
      </c>
      <c r="H7" s="38">
        <f>SUMIF(Payments!$D$4:$D$117,'Only Creditors'!B7,Payments!$E$4:$E$130)</f>
        <v>0</v>
      </c>
      <c r="I7" s="8">
        <v>731548.93</v>
      </c>
      <c r="J7" s="8">
        <v>277304</v>
      </c>
      <c r="K7" s="8">
        <v>454244.93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731548.93</v>
      </c>
      <c r="S7" s="8">
        <v>0</v>
      </c>
    </row>
    <row r="8" spans="1:19" x14ac:dyDescent="0.25">
      <c r="A8" s="7">
        <v>4</v>
      </c>
      <c r="B8" s="7" t="s">
        <v>30</v>
      </c>
      <c r="C8" s="7" t="s">
        <v>28</v>
      </c>
      <c r="D8" s="7" t="s">
        <v>21</v>
      </c>
      <c r="E8" s="7" t="s">
        <v>29</v>
      </c>
      <c r="F8" s="8">
        <f>SUM(N8:Q8)</f>
        <v>0</v>
      </c>
      <c r="G8" s="55">
        <f>I8-H8</f>
        <v>29854</v>
      </c>
      <c r="H8" s="38">
        <f>SUMIF(Payments!$D$4:$D$117,'Only Creditors'!B8,Payments!$E$4:$E$130)</f>
        <v>0</v>
      </c>
      <c r="I8" s="8">
        <v>29854</v>
      </c>
      <c r="J8" s="8">
        <v>29854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29854</v>
      </c>
      <c r="S8" s="8">
        <v>0</v>
      </c>
    </row>
    <row r="9" spans="1:19" x14ac:dyDescent="0.25">
      <c r="A9" s="7">
        <v>5</v>
      </c>
      <c r="B9" s="7" t="s">
        <v>31</v>
      </c>
      <c r="C9" s="7" t="s">
        <v>28</v>
      </c>
      <c r="D9" s="7" t="s">
        <v>21</v>
      </c>
      <c r="E9" s="7" t="s">
        <v>29</v>
      </c>
      <c r="F9" s="7" t="s">
        <v>2047</v>
      </c>
      <c r="G9" s="55">
        <f>I9-H9</f>
        <v>35913.4</v>
      </c>
      <c r="H9" s="38">
        <f>SUMIF(Payments!$D$4:$D$117,'Only Creditors'!B9,Payments!$E$4:$E$130)</f>
        <v>0</v>
      </c>
      <c r="I9" s="8">
        <v>35913.4</v>
      </c>
      <c r="J9" s="8">
        <v>0</v>
      </c>
      <c r="K9" s="8">
        <v>0</v>
      </c>
      <c r="L9" s="8">
        <v>35913.4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35913.4</v>
      </c>
      <c r="S9" s="8">
        <v>0</v>
      </c>
    </row>
    <row r="10" spans="1:19" x14ac:dyDescent="0.25">
      <c r="A10" s="7">
        <v>6</v>
      </c>
      <c r="B10" s="7" t="s">
        <v>32</v>
      </c>
      <c r="C10" s="7" t="s">
        <v>33</v>
      </c>
      <c r="D10" s="7" t="s">
        <v>34</v>
      </c>
      <c r="E10" s="7" t="s">
        <v>35</v>
      </c>
      <c r="F10" s="8">
        <f>SUM(N10:Q10)</f>
        <v>0</v>
      </c>
      <c r="G10" s="55">
        <f>I10-H10</f>
        <v>8637609.4299999997</v>
      </c>
      <c r="H10" s="38">
        <f>SUMIF(Payments!$D$4:$D$117,'Only Creditors'!B10,Payments!$E$4:$E$130)</f>
        <v>1004398.3499999999</v>
      </c>
      <c r="I10" s="8">
        <v>9642007.7799999993</v>
      </c>
      <c r="J10" s="8">
        <v>5766835.1200000001</v>
      </c>
      <c r="K10" s="8">
        <v>3875172.66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9642007.7799999993</v>
      </c>
      <c r="S10" s="8">
        <v>0</v>
      </c>
    </row>
    <row r="11" spans="1:19" x14ac:dyDescent="0.25">
      <c r="A11" s="7">
        <v>7</v>
      </c>
      <c r="B11" s="7" t="s">
        <v>36</v>
      </c>
      <c r="C11" s="7" t="s">
        <v>33</v>
      </c>
      <c r="D11" s="7" t="s">
        <v>34</v>
      </c>
      <c r="E11" s="7" t="s">
        <v>35</v>
      </c>
      <c r="F11" s="8">
        <f>SUM(N11:Q11)</f>
        <v>0</v>
      </c>
      <c r="G11" s="55">
        <f>I11-H11</f>
        <v>837826.02</v>
      </c>
      <c r="H11" s="38">
        <f>SUMIF(Payments!$D$4:$D$117,'Only Creditors'!B11,Payments!$E$4:$E$130)</f>
        <v>0</v>
      </c>
      <c r="I11" s="8">
        <v>837826.02</v>
      </c>
      <c r="J11" s="8">
        <v>479696.2</v>
      </c>
      <c r="K11" s="8">
        <v>358129.82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837826.02</v>
      </c>
      <c r="S11" s="8">
        <v>0</v>
      </c>
    </row>
    <row r="12" spans="1:19" x14ac:dyDescent="0.25">
      <c r="A12" s="7">
        <v>8</v>
      </c>
      <c r="B12" s="7" t="s">
        <v>37</v>
      </c>
      <c r="C12" s="7" t="s">
        <v>33</v>
      </c>
      <c r="D12" s="7" t="s">
        <v>34</v>
      </c>
      <c r="E12" s="7" t="s">
        <v>35</v>
      </c>
      <c r="F12" s="8">
        <f>SUM(N12:Q12)</f>
        <v>6960958.04</v>
      </c>
      <c r="G12" s="55">
        <f>I12-H12</f>
        <v>8419447.2800000012</v>
      </c>
      <c r="H12" s="38">
        <f>SUMIF(Payments!$D$4:$D$117,'Only Creditors'!B12,Payments!$E$4:$E$130)</f>
        <v>561211.29</v>
      </c>
      <c r="I12" s="8">
        <v>8980658.5700000003</v>
      </c>
      <c r="J12" s="8">
        <v>340769.77</v>
      </c>
      <c r="K12" s="8">
        <v>697265.26</v>
      </c>
      <c r="L12" s="8">
        <v>529460.71</v>
      </c>
      <c r="M12" s="8">
        <v>452204.79</v>
      </c>
      <c r="N12" s="8">
        <v>1885930.53</v>
      </c>
      <c r="O12" s="8">
        <v>1621868.92</v>
      </c>
      <c r="P12" s="8">
        <v>2891947.3</v>
      </c>
      <c r="Q12" s="8">
        <v>561211.29</v>
      </c>
      <c r="R12" s="8">
        <v>8980658.5700000003</v>
      </c>
      <c r="S12" s="8">
        <v>0</v>
      </c>
    </row>
    <row r="13" spans="1:19" x14ac:dyDescent="0.25">
      <c r="A13" s="7">
        <v>9</v>
      </c>
      <c r="B13" s="7" t="s">
        <v>38</v>
      </c>
      <c r="C13" s="7" t="s">
        <v>39</v>
      </c>
      <c r="D13" s="7" t="s">
        <v>21</v>
      </c>
      <c r="E13" s="7" t="s">
        <v>40</v>
      </c>
      <c r="F13" s="8">
        <f>SUM(N13:Q13)</f>
        <v>0</v>
      </c>
      <c r="G13" s="55">
        <f>I13-H13</f>
        <v>33434.68</v>
      </c>
      <c r="H13" s="38">
        <f>SUMIF(Payments!$D$4:$D$117,'Only Creditors'!B13,Payments!$E$4:$E$130)</f>
        <v>0</v>
      </c>
      <c r="I13" s="8">
        <v>33434.68</v>
      </c>
      <c r="J13" s="8">
        <v>33434.68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33434.68</v>
      </c>
      <c r="S13" s="8">
        <v>0</v>
      </c>
    </row>
    <row r="14" spans="1:19" x14ac:dyDescent="0.25">
      <c r="A14" s="7">
        <v>10</v>
      </c>
      <c r="B14" s="7" t="s">
        <v>41</v>
      </c>
      <c r="C14" s="7" t="s">
        <v>42</v>
      </c>
      <c r="D14" s="7" t="s">
        <v>25</v>
      </c>
      <c r="E14" s="7" t="s">
        <v>26</v>
      </c>
      <c r="F14" s="8">
        <f>SUM(N14:Q14)</f>
        <v>0</v>
      </c>
      <c r="G14" s="55">
        <f>I14-H14</f>
        <v>106912.12</v>
      </c>
      <c r="H14" s="38">
        <f>SUMIF(Payments!$D$4:$D$117,'Only Creditors'!B14,Payments!$E$4:$E$130)</f>
        <v>0</v>
      </c>
      <c r="I14" s="8">
        <v>106912.12</v>
      </c>
      <c r="J14" s="8">
        <v>106912.12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106912.12</v>
      </c>
      <c r="S14" s="8">
        <v>0</v>
      </c>
    </row>
    <row r="15" spans="1:19" x14ac:dyDescent="0.25">
      <c r="A15" s="7">
        <v>11</v>
      </c>
      <c r="B15" s="7" t="s">
        <v>44</v>
      </c>
      <c r="C15" s="7" t="s">
        <v>45</v>
      </c>
      <c r="D15" s="7" t="s">
        <v>21</v>
      </c>
      <c r="E15" s="7" t="s">
        <v>46</v>
      </c>
      <c r="F15" s="7" t="s">
        <v>2047</v>
      </c>
      <c r="G15" s="55">
        <f>I15-H15</f>
        <v>0</v>
      </c>
      <c r="H15" s="38">
        <f>SUMIF(Payments!$D$4:$D$117,'Only Creditors'!B15,Payments!$E$4:$E$130)</f>
        <v>11328</v>
      </c>
      <c r="I15" s="8">
        <v>11328</v>
      </c>
      <c r="J15" s="8">
        <v>11328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11328</v>
      </c>
      <c r="S15" s="8">
        <v>0</v>
      </c>
    </row>
    <row r="16" spans="1:19" x14ac:dyDescent="0.25">
      <c r="A16" s="7">
        <v>12</v>
      </c>
      <c r="B16" s="7" t="s">
        <v>47</v>
      </c>
      <c r="C16" s="7" t="s">
        <v>45</v>
      </c>
      <c r="D16" s="7" t="s">
        <v>25</v>
      </c>
      <c r="E16" s="7" t="s">
        <v>26</v>
      </c>
      <c r="F16" s="8">
        <f>SUM(N16:Q16)</f>
        <v>300000.02</v>
      </c>
      <c r="G16" s="55">
        <f>I16-H16</f>
        <v>300000.02</v>
      </c>
      <c r="H16" s="38">
        <f>SUMIF(Payments!$D$4:$D$117,'Only Creditors'!B16,Payments!$E$4:$E$130)</f>
        <v>0</v>
      </c>
      <c r="I16" s="8">
        <v>300000.02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300000.02</v>
      </c>
      <c r="Q16" s="8">
        <v>0</v>
      </c>
      <c r="R16" s="8">
        <v>300000.02</v>
      </c>
      <c r="S16" s="8">
        <v>0</v>
      </c>
    </row>
    <row r="17" spans="1:19" x14ac:dyDescent="0.25">
      <c r="A17" s="7">
        <v>13</v>
      </c>
      <c r="B17" s="7" t="s">
        <v>48</v>
      </c>
      <c r="C17" s="7" t="s">
        <v>49</v>
      </c>
      <c r="D17" s="7" t="s">
        <v>21</v>
      </c>
      <c r="E17" s="7" t="s">
        <v>61</v>
      </c>
      <c r="F17" s="7" t="s">
        <v>2047</v>
      </c>
      <c r="G17" s="55">
        <f>I17-H17</f>
        <v>3000</v>
      </c>
      <c r="H17" s="38">
        <f>SUMIF(Payments!$D$4:$D$117,'Only Creditors'!B17,Payments!$E$4:$E$130)</f>
        <v>0</v>
      </c>
      <c r="I17" s="8">
        <v>3000</v>
      </c>
      <c r="J17" s="8">
        <v>3000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3000</v>
      </c>
      <c r="S17" s="8">
        <v>0</v>
      </c>
    </row>
    <row r="18" spans="1:19" x14ac:dyDescent="0.25">
      <c r="A18" s="7">
        <v>14</v>
      </c>
      <c r="B18" s="7" t="s">
        <v>50</v>
      </c>
      <c r="C18" s="7" t="s">
        <v>51</v>
      </c>
      <c r="D18" s="7" t="s">
        <v>52</v>
      </c>
      <c r="E18" s="7" t="s">
        <v>52</v>
      </c>
      <c r="F18" s="8">
        <f>SUM(N18:Q18)</f>
        <v>0</v>
      </c>
      <c r="G18" s="55">
        <f>I18-H18</f>
        <v>139597</v>
      </c>
      <c r="H18" s="38">
        <f>SUMIF(Payments!$D$4:$D$117,'Only Creditors'!B18,Payments!$E$4:$E$130)</f>
        <v>0</v>
      </c>
      <c r="I18" s="8">
        <v>139597</v>
      </c>
      <c r="J18" s="8">
        <v>139597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139597</v>
      </c>
      <c r="S18" s="8">
        <v>0</v>
      </c>
    </row>
    <row r="19" spans="1:19" x14ac:dyDescent="0.25">
      <c r="A19" s="7">
        <v>15</v>
      </c>
      <c r="B19" s="7" t="s">
        <v>53</v>
      </c>
      <c r="C19" s="7" t="s">
        <v>42</v>
      </c>
      <c r="D19" s="7" t="s">
        <v>25</v>
      </c>
      <c r="E19" s="7" t="s">
        <v>26</v>
      </c>
      <c r="F19" s="8">
        <f>SUM(N19:Q19)</f>
        <v>0</v>
      </c>
      <c r="G19" s="55">
        <f>I19-H19</f>
        <v>8364610.0500000007</v>
      </c>
      <c r="H19" s="38">
        <f>SUMIF(Payments!$D$4:$D$117,'Only Creditors'!B19,Payments!$E$4:$E$130)</f>
        <v>774736.17</v>
      </c>
      <c r="I19" s="8">
        <v>9139346.2200000007</v>
      </c>
      <c r="J19" s="8">
        <v>2782951.55</v>
      </c>
      <c r="K19" s="8">
        <v>2726848.25</v>
      </c>
      <c r="L19" s="8">
        <v>2054810.25</v>
      </c>
      <c r="M19" s="8">
        <v>1574736.17</v>
      </c>
      <c r="N19" s="8">
        <v>0</v>
      </c>
      <c r="O19" s="8">
        <v>0</v>
      </c>
      <c r="P19" s="8">
        <v>0</v>
      </c>
      <c r="Q19" s="8">
        <v>0</v>
      </c>
      <c r="R19" s="8">
        <v>9139346.2200000007</v>
      </c>
      <c r="S19" s="8">
        <v>0</v>
      </c>
    </row>
    <row r="20" spans="1:19" x14ac:dyDescent="0.25">
      <c r="A20" s="7">
        <v>16</v>
      </c>
      <c r="B20" s="7" t="s">
        <v>54</v>
      </c>
      <c r="C20" s="7" t="s">
        <v>45</v>
      </c>
      <c r="D20" s="7" t="s">
        <v>55</v>
      </c>
      <c r="E20" s="7" t="s">
        <v>45</v>
      </c>
      <c r="F20" s="8">
        <f>SUM(N20:Q20)</f>
        <v>0</v>
      </c>
      <c r="G20" s="55">
        <f>I20-H20</f>
        <v>47027.5</v>
      </c>
      <c r="H20" s="38">
        <f>SUMIF(Payments!$D$4:$D$117,'Only Creditors'!B20,Payments!$E$4:$E$130)</f>
        <v>0</v>
      </c>
      <c r="I20" s="8">
        <v>47027.5</v>
      </c>
      <c r="J20" s="8">
        <v>47068</v>
      </c>
      <c r="K20" s="8">
        <v>0</v>
      </c>
      <c r="L20" s="8">
        <v>-40.5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47027.5</v>
      </c>
      <c r="S20" s="8">
        <v>0</v>
      </c>
    </row>
    <row r="21" spans="1:19" x14ac:dyDescent="0.25">
      <c r="A21" s="7">
        <v>17</v>
      </c>
      <c r="B21" s="7" t="s">
        <v>56</v>
      </c>
      <c r="C21" s="7" t="s">
        <v>57</v>
      </c>
      <c r="D21" s="7" t="s">
        <v>34</v>
      </c>
      <c r="E21" s="7" t="s">
        <v>58</v>
      </c>
      <c r="F21" s="8">
        <f>SUM(N21:Q21)</f>
        <v>6562298.2000000002</v>
      </c>
      <c r="G21" s="55">
        <f>I21-H21</f>
        <v>6562298.2000000002</v>
      </c>
      <c r="H21" s="38">
        <f>SUMIF(Payments!$D$4:$D$117,'Only Creditors'!B21,Payments!$E$4:$E$130)</f>
        <v>0</v>
      </c>
      <c r="I21" s="8">
        <v>6562298.2000000002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832278</v>
      </c>
      <c r="P21" s="8">
        <v>5730020.2000000002</v>
      </c>
      <c r="Q21" s="8">
        <v>0</v>
      </c>
      <c r="R21" s="8">
        <v>6562298.2000000002</v>
      </c>
      <c r="S21" s="8">
        <v>0</v>
      </c>
    </row>
    <row r="22" spans="1:19" x14ac:dyDescent="0.25">
      <c r="A22" s="7">
        <v>18</v>
      </c>
      <c r="B22" s="7" t="s">
        <v>59</v>
      </c>
      <c r="C22" s="7" t="s">
        <v>39</v>
      </c>
      <c r="D22" s="7" t="s">
        <v>25</v>
      </c>
      <c r="E22" s="7" t="s">
        <v>26</v>
      </c>
      <c r="F22" s="8">
        <f>SUM(N22:Q22)</f>
        <v>0</v>
      </c>
      <c r="G22" s="55">
        <f>I22-H22</f>
        <v>807940</v>
      </c>
      <c r="H22" s="38">
        <f>SUMIF(Payments!$D$4:$D$117,'Only Creditors'!B22,Payments!$E$4:$E$130)</f>
        <v>0</v>
      </c>
      <c r="I22" s="8">
        <v>807940</v>
      </c>
      <c r="J22" s="8">
        <v>249690</v>
      </c>
      <c r="K22" s="8">
        <v>558250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807940</v>
      </c>
      <c r="S22" s="8">
        <v>0</v>
      </c>
    </row>
    <row r="23" spans="1:19" x14ac:dyDescent="0.25">
      <c r="A23" s="7">
        <v>19</v>
      </c>
      <c r="B23" s="7" t="s">
        <v>60</v>
      </c>
      <c r="C23" s="7" t="s">
        <v>42</v>
      </c>
      <c r="D23" s="7" t="s">
        <v>21</v>
      </c>
      <c r="E23" s="7" t="s">
        <v>61</v>
      </c>
      <c r="F23" s="8">
        <f>SUM(N23:Q23)</f>
        <v>0</v>
      </c>
      <c r="G23" s="55">
        <f>I23-H23</f>
        <v>0</v>
      </c>
      <c r="H23" s="38">
        <f>SUMIF(Payments!$D$4:$D$117,'Only Creditors'!B23,Payments!$E$4:$E$130)</f>
        <v>8000</v>
      </c>
      <c r="I23" s="8">
        <v>8000</v>
      </c>
      <c r="J23" s="8">
        <v>8000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8000</v>
      </c>
      <c r="S23" s="8">
        <v>0</v>
      </c>
    </row>
    <row r="24" spans="1:19" x14ac:dyDescent="0.25">
      <c r="A24" s="7">
        <v>20</v>
      </c>
      <c r="B24" s="7" t="s">
        <v>62</v>
      </c>
      <c r="C24" s="7" t="s">
        <v>58</v>
      </c>
      <c r="D24" s="7" t="s">
        <v>55</v>
      </c>
      <c r="E24" s="7" t="s">
        <v>45</v>
      </c>
      <c r="F24" s="8">
        <f>SUM(N24:Q24)</f>
        <v>0</v>
      </c>
      <c r="G24" s="55">
        <f>I24-H24</f>
        <v>1331796.1499999999</v>
      </c>
      <c r="H24" s="38">
        <f>SUMIF(Payments!$D$4:$D$117,'Only Creditors'!B24,Payments!$E$4:$E$130)</f>
        <v>0</v>
      </c>
      <c r="I24" s="8">
        <v>1331796.1499999999</v>
      </c>
      <c r="J24" s="8">
        <v>441449.15</v>
      </c>
      <c r="K24" s="8">
        <v>890347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1331796.1499999999</v>
      </c>
      <c r="S24" s="8">
        <v>0</v>
      </c>
    </row>
    <row r="25" spans="1:19" x14ac:dyDescent="0.25">
      <c r="A25" s="7">
        <v>21</v>
      </c>
      <c r="B25" s="7" t="s">
        <v>63</v>
      </c>
      <c r="C25" s="7" t="s">
        <v>58</v>
      </c>
      <c r="D25" s="7" t="s">
        <v>21</v>
      </c>
      <c r="E25" s="7" t="s">
        <v>26</v>
      </c>
      <c r="F25" s="7" t="s">
        <v>2047</v>
      </c>
      <c r="G25" s="55">
        <f>I25-H25</f>
        <v>28072</v>
      </c>
      <c r="H25" s="38">
        <f>SUMIF(Payments!$D$4:$D$117,'Only Creditors'!B25,Payments!$E$4:$E$130)</f>
        <v>36262.879999999997</v>
      </c>
      <c r="I25" s="8">
        <v>64334.879999999997</v>
      </c>
      <c r="J25" s="8">
        <v>28072</v>
      </c>
      <c r="K25" s="8">
        <v>36262.879999999997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64334.879999999997</v>
      </c>
      <c r="S25" s="8">
        <v>0</v>
      </c>
    </row>
    <row r="26" spans="1:19" x14ac:dyDescent="0.25">
      <c r="A26" s="7">
        <v>22</v>
      </c>
      <c r="B26" s="7" t="s">
        <v>64</v>
      </c>
      <c r="C26" s="7" t="s">
        <v>42</v>
      </c>
      <c r="D26" s="7" t="s">
        <v>25</v>
      </c>
      <c r="E26" s="7" t="s">
        <v>26</v>
      </c>
      <c r="F26" s="8">
        <f>SUM(N26:Q26)</f>
        <v>0</v>
      </c>
      <c r="G26" s="55">
        <f>I26-H26</f>
        <v>495364.28</v>
      </c>
      <c r="H26" s="38">
        <f>SUMIF(Payments!$D$4:$D$117,'Only Creditors'!B26,Payments!$E$4:$E$130)</f>
        <v>0</v>
      </c>
      <c r="I26" s="8">
        <v>495364.28</v>
      </c>
      <c r="J26" s="8">
        <v>152876.4</v>
      </c>
      <c r="K26" s="8">
        <v>342487.88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495364.28</v>
      </c>
      <c r="S26" s="8">
        <v>0</v>
      </c>
    </row>
    <row r="27" spans="1:19" x14ac:dyDescent="0.25">
      <c r="A27" s="7">
        <v>23</v>
      </c>
      <c r="B27" s="7" t="s">
        <v>65</v>
      </c>
      <c r="C27" s="7" t="s">
        <v>66</v>
      </c>
      <c r="D27" s="7" t="s">
        <v>52</v>
      </c>
      <c r="E27" s="7" t="s">
        <v>52</v>
      </c>
      <c r="F27" s="8">
        <f>SUM(N27:Q27)</f>
        <v>0</v>
      </c>
      <c r="G27" s="55">
        <f>I27-H27</f>
        <v>0</v>
      </c>
      <c r="H27" s="38">
        <f>SUMIF(Payments!$D$4:$D$117,'Only Creditors'!B27,Payments!$E$4:$E$130)</f>
        <v>413424</v>
      </c>
      <c r="I27" s="8">
        <v>413424</v>
      </c>
      <c r="J27" s="8">
        <v>413424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413424</v>
      </c>
      <c r="S27" s="8">
        <v>0</v>
      </c>
    </row>
    <row r="28" spans="1:19" x14ac:dyDescent="0.25">
      <c r="A28" s="7">
        <v>24</v>
      </c>
      <c r="B28" s="7" t="s">
        <v>67</v>
      </c>
      <c r="C28" s="7" t="s">
        <v>28</v>
      </c>
      <c r="D28" s="7" t="s">
        <v>21</v>
      </c>
      <c r="E28" s="7" t="s">
        <v>29</v>
      </c>
      <c r="F28" s="8">
        <f>SUM(N28:Q28)</f>
        <v>0</v>
      </c>
      <c r="G28" s="55">
        <f>I28-H28</f>
        <v>9762.76</v>
      </c>
      <c r="H28" s="38">
        <f>SUMIF(Payments!$D$4:$D$117,'Only Creditors'!B28,Payments!$E$4:$E$130)</f>
        <v>0</v>
      </c>
      <c r="I28" s="8">
        <v>9762.76</v>
      </c>
      <c r="J28" s="8">
        <v>9762.76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9762.76</v>
      </c>
      <c r="S28" s="8">
        <v>0</v>
      </c>
    </row>
    <row r="29" spans="1:19" x14ac:dyDescent="0.25">
      <c r="A29" s="7">
        <v>25</v>
      </c>
      <c r="B29" s="7" t="s">
        <v>68</v>
      </c>
      <c r="C29" s="7" t="s">
        <v>33</v>
      </c>
      <c r="D29" s="7" t="s">
        <v>21</v>
      </c>
      <c r="E29" s="7" t="s">
        <v>26</v>
      </c>
      <c r="F29" s="8">
        <f>SUM(N29:Q29)</f>
        <v>0</v>
      </c>
      <c r="G29" s="55">
        <f>I29-H29</f>
        <v>311205.15999999997</v>
      </c>
      <c r="H29" s="38">
        <f>SUMIF(Payments!$D$4:$D$117,'Only Creditors'!B29,Payments!$E$4:$E$130)</f>
        <v>0</v>
      </c>
      <c r="I29" s="8">
        <v>311205.15999999997</v>
      </c>
      <c r="J29" s="8">
        <v>311205.15999999997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311205.15999999997</v>
      </c>
      <c r="S29" s="8">
        <v>0</v>
      </c>
    </row>
    <row r="30" spans="1:19" x14ac:dyDescent="0.25">
      <c r="A30" s="7">
        <v>26</v>
      </c>
      <c r="B30" s="7" t="s">
        <v>69</v>
      </c>
      <c r="C30" s="7" t="s">
        <v>45</v>
      </c>
      <c r="D30" s="7" t="s">
        <v>21</v>
      </c>
      <c r="E30" s="7" t="s">
        <v>70</v>
      </c>
      <c r="F30" s="7" t="s">
        <v>2047</v>
      </c>
      <c r="G30" s="55">
        <f>I30-H30</f>
        <v>0</v>
      </c>
      <c r="H30" s="38">
        <f>SUMIF(Payments!$D$4:$D$117,'Only Creditors'!B30,Payments!$E$4:$E$130)</f>
        <v>9150</v>
      </c>
      <c r="I30" s="8">
        <v>9150</v>
      </c>
      <c r="J30" s="8">
        <v>0</v>
      </c>
      <c r="K30" s="8">
        <v>9150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9150</v>
      </c>
      <c r="S30" s="8">
        <v>0</v>
      </c>
    </row>
    <row r="31" spans="1:19" x14ac:dyDescent="0.25">
      <c r="A31" s="7">
        <v>27</v>
      </c>
      <c r="B31" s="7" t="s">
        <v>71</v>
      </c>
      <c r="C31" s="7" t="s">
        <v>42</v>
      </c>
      <c r="D31" s="7" t="s">
        <v>21</v>
      </c>
      <c r="E31" s="7" t="s">
        <v>29</v>
      </c>
      <c r="F31" s="8">
        <f>SUM(N31:Q31)</f>
        <v>0</v>
      </c>
      <c r="G31" s="55">
        <f>I31-H31</f>
        <v>503912</v>
      </c>
      <c r="H31" s="38">
        <f>SUMIF(Payments!$D$4:$D$117,'Only Creditors'!B31,Payments!$E$4:$E$130)</f>
        <v>0</v>
      </c>
      <c r="I31" s="8">
        <v>503912</v>
      </c>
      <c r="J31" s="8">
        <v>541762</v>
      </c>
      <c r="K31" s="8">
        <v>-37850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503912</v>
      </c>
      <c r="S31" s="8">
        <v>0</v>
      </c>
    </row>
    <row r="32" spans="1:19" x14ac:dyDescent="0.25">
      <c r="A32" s="7">
        <v>28</v>
      </c>
      <c r="B32" s="7" t="s">
        <v>72</v>
      </c>
      <c r="C32" s="7" t="s">
        <v>42</v>
      </c>
      <c r="D32" s="7" t="s">
        <v>21</v>
      </c>
      <c r="E32" s="7" t="s">
        <v>46</v>
      </c>
      <c r="F32" s="7" t="s">
        <v>2047</v>
      </c>
      <c r="G32" s="55">
        <f>I32-H32</f>
        <v>64940.1</v>
      </c>
      <c r="H32" s="38">
        <f>SUMIF(Payments!$D$4:$D$117,'Only Creditors'!B32,Payments!$E$4:$E$130)</f>
        <v>0</v>
      </c>
      <c r="I32" s="8">
        <v>64940.1</v>
      </c>
      <c r="J32" s="8">
        <v>64940.1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64940.1</v>
      </c>
      <c r="S32" s="8">
        <v>0</v>
      </c>
    </row>
    <row r="33" spans="1:19" x14ac:dyDescent="0.25">
      <c r="A33" s="7">
        <v>29</v>
      </c>
      <c r="B33" s="7" t="s">
        <v>73</v>
      </c>
      <c r="C33" s="7" t="s">
        <v>49</v>
      </c>
      <c r="D33" s="7" t="s">
        <v>21</v>
      </c>
      <c r="E33" s="7" t="s">
        <v>61</v>
      </c>
      <c r="F33" s="7" t="s">
        <v>2047</v>
      </c>
      <c r="G33" s="55">
        <f>I33-H33</f>
        <v>4500</v>
      </c>
      <c r="H33" s="38">
        <f>SUMIF(Payments!$D$4:$D$117,'Only Creditors'!B33,Payments!$E$4:$E$130)</f>
        <v>0</v>
      </c>
      <c r="I33" s="8">
        <v>4500</v>
      </c>
      <c r="J33" s="8">
        <v>4500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4500</v>
      </c>
      <c r="S33" s="8">
        <v>0</v>
      </c>
    </row>
    <row r="34" spans="1:19" x14ac:dyDescent="0.25">
      <c r="A34" s="7">
        <v>30</v>
      </c>
      <c r="B34" s="7" t="s">
        <v>74</v>
      </c>
      <c r="C34" s="7" t="s">
        <v>42</v>
      </c>
      <c r="D34" s="7" t="s">
        <v>21</v>
      </c>
      <c r="E34" s="7" t="s">
        <v>22</v>
      </c>
      <c r="F34" s="8">
        <f>SUM(N34:Q34)</f>
        <v>0</v>
      </c>
      <c r="G34" s="55">
        <f>I34-H34</f>
        <v>7167</v>
      </c>
      <c r="H34" s="38">
        <f>SUMIF(Payments!$D$4:$D$117,'Only Creditors'!B34,Payments!$E$4:$E$130)</f>
        <v>0</v>
      </c>
      <c r="I34" s="8">
        <v>7167</v>
      </c>
      <c r="J34" s="8">
        <v>7167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7167</v>
      </c>
      <c r="S34" s="8">
        <v>0</v>
      </c>
    </row>
    <row r="35" spans="1:19" x14ac:dyDescent="0.25">
      <c r="A35" s="7">
        <v>31</v>
      </c>
      <c r="B35" s="7" t="s">
        <v>75</v>
      </c>
      <c r="C35" s="7" t="s">
        <v>39</v>
      </c>
      <c r="D35" s="7" t="s">
        <v>25</v>
      </c>
      <c r="E35" s="7" t="s">
        <v>26</v>
      </c>
      <c r="F35" s="8">
        <f>SUM(N35:Q35)</f>
        <v>2052620</v>
      </c>
      <c r="G35" s="55">
        <f>I35-H35</f>
        <v>3978034.4</v>
      </c>
      <c r="H35" s="38">
        <f>SUMIF(Payments!$D$4:$D$117,'Only Creditors'!B35,Payments!$E$4:$E$130)</f>
        <v>0</v>
      </c>
      <c r="I35" s="8">
        <v>3978034.4</v>
      </c>
      <c r="J35" s="8">
        <v>409480</v>
      </c>
      <c r="K35" s="8">
        <v>617885.6</v>
      </c>
      <c r="L35" s="8">
        <v>781468.8</v>
      </c>
      <c r="M35" s="8">
        <v>116580</v>
      </c>
      <c r="N35" s="8">
        <v>646700</v>
      </c>
      <c r="O35" s="8">
        <v>1405920</v>
      </c>
      <c r="P35" s="8">
        <v>0</v>
      </c>
      <c r="Q35" s="8">
        <v>0</v>
      </c>
      <c r="R35" s="8">
        <v>3978034.4</v>
      </c>
      <c r="S35" s="8">
        <v>0</v>
      </c>
    </row>
    <row r="36" spans="1:19" x14ac:dyDescent="0.25">
      <c r="A36" s="7">
        <v>32</v>
      </c>
      <c r="B36" s="7" t="s">
        <v>76</v>
      </c>
      <c r="C36" s="7" t="s">
        <v>66</v>
      </c>
      <c r="D36" s="7" t="s">
        <v>55</v>
      </c>
      <c r="E36" s="7" t="s">
        <v>77</v>
      </c>
      <c r="F36" s="8">
        <f>SUM(N36:Q36)</f>
        <v>0</v>
      </c>
      <c r="G36" s="55">
        <f>I36-H36</f>
        <v>5058891.63</v>
      </c>
      <c r="H36" s="38">
        <f>SUMIF(Payments!$D$4:$D$117,'Only Creditors'!B36,Payments!$E$4:$E$130)</f>
        <v>555132</v>
      </c>
      <c r="I36" s="8">
        <v>5614023.6299999999</v>
      </c>
      <c r="J36" s="8">
        <v>3105090.63</v>
      </c>
      <c r="K36" s="8">
        <v>2508933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5614023.6299999999</v>
      </c>
      <c r="S36" s="8">
        <v>0</v>
      </c>
    </row>
    <row r="37" spans="1:19" x14ac:dyDescent="0.25">
      <c r="A37" s="7">
        <v>33</v>
      </c>
      <c r="B37" s="7" t="s">
        <v>78</v>
      </c>
      <c r="C37" s="7" t="s">
        <v>79</v>
      </c>
      <c r="D37" s="7" t="s">
        <v>34</v>
      </c>
      <c r="E37" s="7" t="s">
        <v>80</v>
      </c>
      <c r="F37" s="7" t="s">
        <v>2047</v>
      </c>
      <c r="G37" s="55">
        <f>I37-H37</f>
        <v>32191.759999999998</v>
      </c>
      <c r="H37" s="38">
        <f>SUMIF(Payments!$D$4:$D$117,'Only Creditors'!B37,Payments!$E$4:$E$130)</f>
        <v>0</v>
      </c>
      <c r="I37" s="8">
        <v>32191.759999999998</v>
      </c>
      <c r="J37" s="8">
        <v>0</v>
      </c>
      <c r="K37" s="8">
        <v>32191.759999999998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32191.759999999998</v>
      </c>
      <c r="S37" s="8">
        <v>0</v>
      </c>
    </row>
    <row r="38" spans="1:19" x14ac:dyDescent="0.25">
      <c r="A38" s="7">
        <v>34</v>
      </c>
      <c r="B38" s="7" t="s">
        <v>81</v>
      </c>
      <c r="C38" s="7" t="s">
        <v>82</v>
      </c>
      <c r="D38" s="7" t="s">
        <v>83</v>
      </c>
      <c r="E38" s="7" t="s">
        <v>83</v>
      </c>
      <c r="F38" s="7" t="s">
        <v>2047</v>
      </c>
      <c r="G38" s="55">
        <f>I38-H38</f>
        <v>3.48</v>
      </c>
      <c r="H38" s="38">
        <f>SUMIF(Payments!$D$4:$D$117,'Only Creditors'!B38,Payments!$E$4:$E$130)</f>
        <v>0</v>
      </c>
      <c r="I38" s="8">
        <v>3.48</v>
      </c>
      <c r="J38" s="8">
        <v>0</v>
      </c>
      <c r="K38" s="8">
        <v>1.24</v>
      </c>
      <c r="L38" s="8">
        <v>0</v>
      </c>
      <c r="M38" s="8">
        <v>0</v>
      </c>
      <c r="N38" s="8">
        <v>2.2400000000000002</v>
      </c>
      <c r="O38" s="8">
        <v>0</v>
      </c>
      <c r="P38" s="8">
        <v>0</v>
      </c>
      <c r="Q38" s="8">
        <v>0</v>
      </c>
      <c r="R38" s="8">
        <v>3.48</v>
      </c>
      <c r="S38" s="8">
        <v>0</v>
      </c>
    </row>
    <row r="39" spans="1:19" x14ac:dyDescent="0.25">
      <c r="A39" s="7">
        <v>35</v>
      </c>
      <c r="B39" s="7" t="s">
        <v>84</v>
      </c>
      <c r="C39" s="7" t="s">
        <v>49</v>
      </c>
      <c r="D39" s="7" t="s">
        <v>21</v>
      </c>
      <c r="E39" s="7" t="s">
        <v>85</v>
      </c>
      <c r="F39" s="7" t="s">
        <v>2047</v>
      </c>
      <c r="G39" s="55">
        <f>I39-H39</f>
        <v>0</v>
      </c>
      <c r="H39" s="38">
        <f>SUMIF(Payments!$D$4:$D$117,'Only Creditors'!B39,Payments!$E$4:$E$130)</f>
        <v>3933</v>
      </c>
      <c r="I39" s="8">
        <v>3933</v>
      </c>
      <c r="J39" s="8">
        <v>0</v>
      </c>
      <c r="K39" s="8">
        <v>0</v>
      </c>
      <c r="L39" s="8">
        <v>3933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3933</v>
      </c>
      <c r="S39" s="8">
        <v>0</v>
      </c>
    </row>
    <row r="40" spans="1:19" x14ac:dyDescent="0.25">
      <c r="A40" s="7">
        <v>36</v>
      </c>
      <c r="B40" s="7" t="s">
        <v>86</v>
      </c>
      <c r="C40" s="7" t="s">
        <v>82</v>
      </c>
      <c r="D40" s="7" t="s">
        <v>21</v>
      </c>
      <c r="E40" s="7" t="s">
        <v>46</v>
      </c>
      <c r="F40" s="7" t="s">
        <v>2047</v>
      </c>
      <c r="G40" s="55">
        <f>I40-H40</f>
        <v>0</v>
      </c>
      <c r="H40" s="38">
        <f>SUMIF(Payments!$D$4:$D$117,'Only Creditors'!B40,Payments!$E$4:$E$130)</f>
        <v>700</v>
      </c>
      <c r="I40" s="8">
        <v>700</v>
      </c>
      <c r="J40" s="8">
        <v>0</v>
      </c>
      <c r="K40" s="8">
        <v>700</v>
      </c>
      <c r="L40" s="8">
        <v>-660.95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39.049999999999997</v>
      </c>
      <c r="S40" s="8">
        <v>660.95</v>
      </c>
    </row>
    <row r="41" spans="1:19" x14ac:dyDescent="0.25">
      <c r="A41" s="7">
        <v>37</v>
      </c>
      <c r="B41" s="7" t="s">
        <v>87</v>
      </c>
      <c r="C41" s="7" t="s">
        <v>49</v>
      </c>
      <c r="D41" s="7" t="s">
        <v>21</v>
      </c>
      <c r="E41" s="7" t="s">
        <v>2030</v>
      </c>
      <c r="F41" s="7" t="s">
        <v>2047</v>
      </c>
      <c r="G41" s="55">
        <f>I41-H41</f>
        <v>0</v>
      </c>
      <c r="H41" s="38">
        <f>SUMIF(Payments!$D$4:$D$117,'Only Creditors'!B41,Payments!$E$4:$E$130)</f>
        <v>45611.199999999997</v>
      </c>
      <c r="I41" s="8">
        <v>45611.199999999997</v>
      </c>
      <c r="J41" s="8">
        <v>45611.199999999997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45611.199999999997</v>
      </c>
      <c r="S41" s="8">
        <v>0</v>
      </c>
    </row>
    <row r="42" spans="1:19" x14ac:dyDescent="0.25">
      <c r="A42" s="7">
        <v>38</v>
      </c>
      <c r="B42" s="7" t="s">
        <v>88</v>
      </c>
      <c r="C42" s="7" t="s">
        <v>49</v>
      </c>
      <c r="D42" s="7" t="s">
        <v>21</v>
      </c>
      <c r="E42" s="7" t="s">
        <v>46</v>
      </c>
      <c r="F42" s="7" t="s">
        <v>2047</v>
      </c>
      <c r="G42" s="55">
        <f>I42-H42</f>
        <v>0</v>
      </c>
      <c r="H42" s="38">
        <f>SUMIF(Payments!$D$4:$D$117,'Only Creditors'!B42,Payments!$E$4:$E$130)</f>
        <v>3000</v>
      </c>
      <c r="I42" s="8">
        <v>3000</v>
      </c>
      <c r="J42" s="8">
        <v>0</v>
      </c>
      <c r="K42" s="8">
        <v>3000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3000</v>
      </c>
      <c r="S42" s="8">
        <v>0</v>
      </c>
    </row>
    <row r="43" spans="1:19" x14ac:dyDescent="0.25">
      <c r="A43" s="7">
        <v>39</v>
      </c>
      <c r="B43" s="7" t="s">
        <v>89</v>
      </c>
      <c r="C43" s="7" t="s">
        <v>42</v>
      </c>
      <c r="D43" s="7" t="s">
        <v>90</v>
      </c>
      <c r="E43" s="7" t="s">
        <v>90</v>
      </c>
      <c r="F43" s="8">
        <f>SUM(N43:Q43)</f>
        <v>0</v>
      </c>
      <c r="G43" s="55">
        <f>I43-H43</f>
        <v>0</v>
      </c>
      <c r="H43" s="38">
        <f>SUMIF(Payments!$D$4:$D$117,'Only Creditors'!B43,Payments!$E$4:$E$130)</f>
        <v>43200</v>
      </c>
      <c r="I43" s="8">
        <v>43200</v>
      </c>
      <c r="J43" s="8">
        <v>0</v>
      </c>
      <c r="K43" s="8">
        <v>0</v>
      </c>
      <c r="L43" s="8">
        <v>43200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43200</v>
      </c>
      <c r="S43" s="8">
        <v>0</v>
      </c>
    </row>
    <row r="44" spans="1:19" x14ac:dyDescent="0.25">
      <c r="A44" s="7">
        <v>40</v>
      </c>
      <c r="B44" s="7" t="s">
        <v>91</v>
      </c>
      <c r="C44" s="7" t="s">
        <v>79</v>
      </c>
      <c r="D44" s="7" t="s">
        <v>34</v>
      </c>
      <c r="E44" s="7" t="s">
        <v>80</v>
      </c>
      <c r="F44" s="8">
        <f>SUM(N44:Q44)</f>
        <v>0</v>
      </c>
      <c r="G44" s="55">
        <f>I44-H44</f>
        <v>-1479135.5</v>
      </c>
      <c r="H44" s="38">
        <f>SUMIF(Payments!$D$4:$D$117,'Only Creditors'!B44,Payments!$E$4:$E$130)</f>
        <v>1700000</v>
      </c>
      <c r="I44" s="8">
        <v>220864.5</v>
      </c>
      <c r="J44" s="8">
        <v>2170511</v>
      </c>
      <c r="K44" s="8">
        <v>-1949646.5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220864.5</v>
      </c>
      <c r="S44" s="8">
        <v>0</v>
      </c>
    </row>
    <row r="45" spans="1:19" x14ac:dyDescent="0.25">
      <c r="A45" s="7">
        <v>41</v>
      </c>
      <c r="B45" s="7" t="s">
        <v>92</v>
      </c>
      <c r="C45" s="7" t="s">
        <v>20</v>
      </c>
      <c r="D45" s="7" t="s">
        <v>25</v>
      </c>
      <c r="E45" s="7" t="s">
        <v>26</v>
      </c>
      <c r="F45" s="7" t="s">
        <v>2047</v>
      </c>
      <c r="G45" s="55">
        <f>I45-H45</f>
        <v>0.2</v>
      </c>
      <c r="H45" s="38">
        <f>SUMIF(Payments!$D$4:$D$117,'Only Creditors'!B45,Payments!$E$4:$E$130)</f>
        <v>0</v>
      </c>
      <c r="I45" s="8">
        <v>0.2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0.2</v>
      </c>
      <c r="R45" s="8">
        <v>0.2</v>
      </c>
      <c r="S45" s="8">
        <v>0</v>
      </c>
    </row>
    <row r="46" spans="1:19" x14ac:dyDescent="0.25">
      <c r="A46" s="7">
        <v>42</v>
      </c>
      <c r="B46" s="7" t="s">
        <v>93</v>
      </c>
      <c r="C46" s="7" t="s">
        <v>45</v>
      </c>
      <c r="D46" s="7" t="s">
        <v>21</v>
      </c>
      <c r="E46" s="7" t="s">
        <v>40</v>
      </c>
      <c r="F46" s="8">
        <f>SUM(N46:Q46)</f>
        <v>0</v>
      </c>
      <c r="G46" s="55">
        <f>I46-H46</f>
        <v>113558</v>
      </c>
      <c r="H46" s="38">
        <f>SUMIF(Payments!$D$4:$D$117,'Only Creditors'!B46,Payments!$E$4:$E$130)</f>
        <v>0</v>
      </c>
      <c r="I46" s="8">
        <v>113558</v>
      </c>
      <c r="J46" s="8">
        <v>113558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113558</v>
      </c>
      <c r="S46" s="8">
        <v>0</v>
      </c>
    </row>
    <row r="47" spans="1:19" x14ac:dyDescent="0.25">
      <c r="A47" s="7">
        <v>43</v>
      </c>
      <c r="B47" s="7" t="s">
        <v>94</v>
      </c>
      <c r="C47" s="7" t="s">
        <v>82</v>
      </c>
      <c r="D47" s="7" t="s">
        <v>52</v>
      </c>
      <c r="E47" s="7" t="s">
        <v>52</v>
      </c>
      <c r="F47" s="8">
        <f>SUM(N47:Q47)</f>
        <v>0</v>
      </c>
      <c r="G47" s="55">
        <f>I47-H47</f>
        <v>0</v>
      </c>
      <c r="H47" s="38">
        <f>SUMIF(Payments!$D$4:$D$117,'Only Creditors'!B47,Payments!$E$4:$E$130)</f>
        <v>756000</v>
      </c>
      <c r="I47" s="8">
        <v>756000</v>
      </c>
      <c r="J47" s="8">
        <v>756000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756000</v>
      </c>
      <c r="S47" s="8">
        <v>0</v>
      </c>
    </row>
    <row r="48" spans="1:19" x14ac:dyDescent="0.25">
      <c r="A48" s="7">
        <v>44</v>
      </c>
      <c r="B48" s="7" t="s">
        <v>95</v>
      </c>
      <c r="C48" s="7" t="s">
        <v>24</v>
      </c>
      <c r="D48" s="7" t="s">
        <v>55</v>
      </c>
      <c r="E48" s="7" t="s">
        <v>96</v>
      </c>
      <c r="F48" s="7" t="s">
        <v>2047</v>
      </c>
      <c r="G48" s="55">
        <f>I48-H48</f>
        <v>4830.49</v>
      </c>
      <c r="H48" s="38">
        <f>SUMIF(Payments!$D$4:$D$117,'Only Creditors'!B48,Payments!$E$4:$E$130)</f>
        <v>0</v>
      </c>
      <c r="I48" s="8">
        <v>4830.49</v>
      </c>
      <c r="J48" s="8">
        <v>4830.49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4830.49</v>
      </c>
      <c r="S48" s="8">
        <v>0</v>
      </c>
    </row>
    <row r="49" spans="1:19" x14ac:dyDescent="0.25">
      <c r="A49" s="7">
        <v>45</v>
      </c>
      <c r="B49" s="7" t="s">
        <v>97</v>
      </c>
      <c r="C49" s="7" t="s">
        <v>57</v>
      </c>
      <c r="D49" s="7" t="s">
        <v>25</v>
      </c>
      <c r="E49" s="7" t="s">
        <v>26</v>
      </c>
      <c r="F49" s="8">
        <f>SUM(N49:Q49)</f>
        <v>0</v>
      </c>
      <c r="G49" s="55">
        <f>I49-H49</f>
        <v>0</v>
      </c>
      <c r="H49" s="38">
        <f>SUMIF(Payments!$D$4:$D$117,'Only Creditors'!B49,Payments!$E$4:$E$130)</f>
        <v>465366.70999999996</v>
      </c>
      <c r="I49" s="8">
        <v>465366.71</v>
      </c>
      <c r="J49" s="8">
        <v>465366.71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465366.71</v>
      </c>
      <c r="S49" s="8">
        <v>0</v>
      </c>
    </row>
    <row r="50" spans="1:19" x14ac:dyDescent="0.25">
      <c r="A50" s="7">
        <v>46</v>
      </c>
      <c r="B50" s="7" t="s">
        <v>98</v>
      </c>
      <c r="C50" s="7" t="s">
        <v>42</v>
      </c>
      <c r="D50" s="7" t="s">
        <v>21</v>
      </c>
      <c r="E50" s="7" t="s">
        <v>99</v>
      </c>
      <c r="F50" s="7" t="s">
        <v>2047</v>
      </c>
      <c r="G50" s="55">
        <f>I50-H50</f>
        <v>0.5</v>
      </c>
      <c r="H50" s="38">
        <f>SUMIF(Payments!$D$4:$D$117,'Only Creditors'!B50,Payments!$E$4:$E$130)</f>
        <v>0</v>
      </c>
      <c r="I50" s="8">
        <v>0.5</v>
      </c>
      <c r="J50" s="8">
        <v>0.5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0.5</v>
      </c>
      <c r="S50" s="8">
        <v>0</v>
      </c>
    </row>
    <row r="51" spans="1:19" x14ac:dyDescent="0.25">
      <c r="A51" s="7">
        <v>47</v>
      </c>
      <c r="B51" s="7" t="s">
        <v>100</v>
      </c>
      <c r="C51" s="7" t="s">
        <v>58</v>
      </c>
      <c r="D51" s="7" t="s">
        <v>21</v>
      </c>
      <c r="E51" s="7" t="s">
        <v>101</v>
      </c>
      <c r="F51" s="8">
        <f>SUM(N51:Q51)</f>
        <v>0</v>
      </c>
      <c r="G51" s="55">
        <f>I51-H51</f>
        <v>0</v>
      </c>
      <c r="H51" s="38">
        <f>SUMIF(Payments!$D$4:$D$117,'Only Creditors'!B51,Payments!$E$4:$E$130)</f>
        <v>36049.4</v>
      </c>
      <c r="I51" s="8">
        <v>36049.4</v>
      </c>
      <c r="J51" s="8">
        <v>0</v>
      </c>
      <c r="K51" s="8">
        <v>36049.4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36049.4</v>
      </c>
      <c r="S51" s="8">
        <v>0</v>
      </c>
    </row>
    <row r="52" spans="1:19" x14ac:dyDescent="0.25">
      <c r="A52" s="7">
        <v>48</v>
      </c>
      <c r="B52" s="7" t="s">
        <v>102</v>
      </c>
      <c r="C52" s="7" t="s">
        <v>28</v>
      </c>
      <c r="D52" s="7" t="s">
        <v>21</v>
      </c>
      <c r="E52" s="7" t="s">
        <v>101</v>
      </c>
      <c r="F52" s="7" t="s">
        <v>2047</v>
      </c>
      <c r="G52" s="55">
        <f>I52-H52</f>
        <v>74026.679999999993</v>
      </c>
      <c r="H52" s="38">
        <f>SUMIF(Payments!$D$4:$D$117,'Only Creditors'!B52,Payments!$E$4:$E$130)</f>
        <v>0</v>
      </c>
      <c r="I52" s="8">
        <v>74026.679999999993</v>
      </c>
      <c r="J52" s="8">
        <v>12056</v>
      </c>
      <c r="K52" s="8">
        <v>0</v>
      </c>
      <c r="L52" s="8">
        <v>61970.68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74026.679999999993</v>
      </c>
      <c r="S52" s="8">
        <v>0</v>
      </c>
    </row>
    <row r="53" spans="1:19" x14ac:dyDescent="0.25">
      <c r="A53" s="7">
        <v>49</v>
      </c>
      <c r="B53" s="7" t="s">
        <v>103</v>
      </c>
      <c r="C53" s="7" t="s">
        <v>45</v>
      </c>
      <c r="D53" s="7" t="s">
        <v>21</v>
      </c>
      <c r="E53" s="7" t="s">
        <v>101</v>
      </c>
      <c r="F53" s="8">
        <f>SUM(N53:Q53)</f>
        <v>0</v>
      </c>
      <c r="G53" s="55">
        <f>I53-H53</f>
        <v>601162.9</v>
      </c>
      <c r="H53" s="38">
        <f>SUMIF(Payments!$D$4:$D$117,'Only Creditors'!B53,Payments!$E$4:$E$130)</f>
        <v>0</v>
      </c>
      <c r="I53" s="8">
        <v>601162.9</v>
      </c>
      <c r="J53" s="8">
        <v>215686.66</v>
      </c>
      <c r="K53" s="8">
        <v>87361.919999999998</v>
      </c>
      <c r="L53" s="8">
        <v>298114.32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601162.9</v>
      </c>
      <c r="S53" s="8">
        <v>0</v>
      </c>
    </row>
    <row r="54" spans="1:19" x14ac:dyDescent="0.25">
      <c r="A54" s="7">
        <v>50</v>
      </c>
      <c r="B54" s="7" t="s">
        <v>104</v>
      </c>
      <c r="C54" s="7" t="s">
        <v>42</v>
      </c>
      <c r="D54" s="7" t="s">
        <v>21</v>
      </c>
      <c r="E54" s="7" t="s">
        <v>61</v>
      </c>
      <c r="F54" s="7" t="s">
        <v>2047</v>
      </c>
      <c r="G54" s="55">
        <f>I54-H54</f>
        <v>0</v>
      </c>
      <c r="H54" s="38">
        <f>SUMIF(Payments!$D$4:$D$117,'Only Creditors'!B54,Payments!$E$4:$E$130)</f>
        <v>20000</v>
      </c>
      <c r="I54" s="8">
        <v>20000</v>
      </c>
      <c r="J54" s="8">
        <v>20000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20000</v>
      </c>
      <c r="S54" s="8">
        <v>0</v>
      </c>
    </row>
    <row r="55" spans="1:19" x14ac:dyDescent="0.25">
      <c r="A55" s="7">
        <v>51</v>
      </c>
      <c r="B55" s="7" t="s">
        <v>105</v>
      </c>
      <c r="C55" s="7" t="s">
        <v>28</v>
      </c>
      <c r="D55" s="7" t="s">
        <v>25</v>
      </c>
      <c r="E55" s="7" t="s">
        <v>26</v>
      </c>
      <c r="F55" s="8">
        <f>SUM(N55:Q55)</f>
        <v>0</v>
      </c>
      <c r="G55" s="55">
        <f>I55-H55</f>
        <v>153802.5</v>
      </c>
      <c r="H55" s="38">
        <f>SUMIF(Payments!$D$4:$D$117,'Only Creditors'!B55,Payments!$E$4:$E$130)</f>
        <v>0</v>
      </c>
      <c r="I55" s="8">
        <v>153802.5</v>
      </c>
      <c r="J55" s="8">
        <v>153802.5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153802.5</v>
      </c>
      <c r="S55" s="8">
        <v>0</v>
      </c>
    </row>
    <row r="56" spans="1:19" x14ac:dyDescent="0.25">
      <c r="A56" s="7">
        <v>52</v>
      </c>
      <c r="B56" s="7" t="s">
        <v>106</v>
      </c>
      <c r="C56" s="7" t="s">
        <v>66</v>
      </c>
      <c r="D56" s="7" t="s">
        <v>21</v>
      </c>
      <c r="E56" s="7" t="s">
        <v>29</v>
      </c>
      <c r="F56" s="8">
        <f>SUM(N56:Q56)</f>
        <v>0</v>
      </c>
      <c r="G56" s="55">
        <f>I56-H56</f>
        <v>0</v>
      </c>
      <c r="H56" s="38">
        <f>SUMIF(Payments!$D$4:$D$117,'Only Creditors'!B56,Payments!$E$4:$E$130)</f>
        <v>137428</v>
      </c>
      <c r="I56" s="8">
        <v>137428</v>
      </c>
      <c r="J56" s="8">
        <v>0</v>
      </c>
      <c r="K56" s="8">
        <v>137428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137428</v>
      </c>
      <c r="S56" s="8">
        <v>0</v>
      </c>
    </row>
    <row r="57" spans="1:19" x14ac:dyDescent="0.25">
      <c r="A57" s="7">
        <v>53</v>
      </c>
      <c r="B57" s="7" t="s">
        <v>107</v>
      </c>
      <c r="C57" s="7" t="s">
        <v>57</v>
      </c>
      <c r="D57" s="7" t="s">
        <v>21</v>
      </c>
      <c r="E57" s="7" t="s">
        <v>40</v>
      </c>
      <c r="F57" s="8">
        <f>SUM(N57:Q57)</f>
        <v>1800000</v>
      </c>
      <c r="G57" s="55">
        <f>I57-H57</f>
        <v>1800000</v>
      </c>
      <c r="H57" s="38">
        <f>SUMIF(Payments!$D$4:$D$117,'Only Creditors'!B57,Payments!$E$4:$E$130)</f>
        <v>0</v>
      </c>
      <c r="I57" s="8">
        <v>1800000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1800000</v>
      </c>
      <c r="R57" s="8">
        <v>1800000</v>
      </c>
      <c r="S57" s="8">
        <v>0</v>
      </c>
    </row>
    <row r="58" spans="1:19" x14ac:dyDescent="0.25">
      <c r="A58" s="7">
        <v>54</v>
      </c>
      <c r="B58" s="7" t="s">
        <v>108</v>
      </c>
      <c r="C58" s="7" t="s">
        <v>28</v>
      </c>
      <c r="D58" s="7" t="s">
        <v>21</v>
      </c>
      <c r="E58" s="7" t="s">
        <v>29</v>
      </c>
      <c r="F58" s="8">
        <f>SUM(N58:Q58)</f>
        <v>0</v>
      </c>
      <c r="G58" s="55">
        <f>I58-H58</f>
        <v>9801.08</v>
      </c>
      <c r="H58" s="38">
        <f>SUMIF(Payments!$D$4:$D$117,'Only Creditors'!B58,Payments!$E$4:$E$130)</f>
        <v>0</v>
      </c>
      <c r="I58" s="8">
        <v>9801.08</v>
      </c>
      <c r="J58" s="8">
        <v>0</v>
      </c>
      <c r="K58" s="8">
        <v>9801.08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9801.08</v>
      </c>
      <c r="S58" s="8">
        <v>0</v>
      </c>
    </row>
    <row r="59" spans="1:19" x14ac:dyDescent="0.25">
      <c r="A59" s="7">
        <v>55</v>
      </c>
      <c r="B59" s="7" t="s">
        <v>109</v>
      </c>
      <c r="C59" s="7" t="s">
        <v>82</v>
      </c>
      <c r="D59" s="7" t="s">
        <v>21</v>
      </c>
      <c r="E59" s="7" t="s">
        <v>110</v>
      </c>
      <c r="F59" s="8">
        <f>SUM(N59:Q59)</f>
        <v>0</v>
      </c>
      <c r="G59" s="55">
        <f>I59-H59</f>
        <v>1699664</v>
      </c>
      <c r="H59" s="38">
        <f>SUMIF(Payments!$D$4:$D$117,'Only Creditors'!B59,Payments!$E$4:$E$130)</f>
        <v>0</v>
      </c>
      <c r="I59" s="8">
        <v>1699664</v>
      </c>
      <c r="J59" s="8">
        <v>-26338</v>
      </c>
      <c r="K59" s="8">
        <v>1726002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1699664</v>
      </c>
      <c r="S59" s="8">
        <v>0</v>
      </c>
    </row>
    <row r="60" spans="1:19" x14ac:dyDescent="0.25">
      <c r="A60" s="7">
        <v>56</v>
      </c>
      <c r="B60" s="7" t="s">
        <v>111</v>
      </c>
      <c r="C60" s="7" t="s">
        <v>82</v>
      </c>
      <c r="D60" s="7" t="s">
        <v>52</v>
      </c>
      <c r="E60" s="7" t="s">
        <v>52</v>
      </c>
      <c r="F60" s="8">
        <f>SUM(N60:Q60)</f>
        <v>0</v>
      </c>
      <c r="G60" s="55">
        <f>I60-H60</f>
        <v>0</v>
      </c>
      <c r="H60" s="38">
        <f>SUMIF(Payments!$D$4:$D$117,'Only Creditors'!B60,Payments!$E$4:$E$130)</f>
        <v>974095.2</v>
      </c>
      <c r="I60" s="8">
        <v>974095.2</v>
      </c>
      <c r="J60" s="8">
        <v>974095.2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974095.2</v>
      </c>
      <c r="S60" s="8">
        <v>0</v>
      </c>
    </row>
    <row r="61" spans="1:19" x14ac:dyDescent="0.25">
      <c r="A61" s="7">
        <v>57</v>
      </c>
      <c r="B61" s="7" t="s">
        <v>112</v>
      </c>
      <c r="C61" s="7" t="s">
        <v>28</v>
      </c>
      <c r="D61" s="7" t="s">
        <v>21</v>
      </c>
      <c r="E61" s="7" t="s">
        <v>40</v>
      </c>
      <c r="F61" s="7" t="s">
        <v>2047</v>
      </c>
      <c r="G61" s="55">
        <f>I61-H61</f>
        <v>60336.57</v>
      </c>
      <c r="H61" s="38">
        <f>SUMIF(Payments!$D$4:$D$117,'Only Creditors'!B61,Payments!$E$4:$E$130)</f>
        <v>0</v>
      </c>
      <c r="I61" s="8">
        <v>60336.57</v>
      </c>
      <c r="J61" s="8">
        <v>60336.57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60336.57</v>
      </c>
      <c r="S61" s="8">
        <v>0</v>
      </c>
    </row>
    <row r="62" spans="1:19" x14ac:dyDescent="0.25">
      <c r="A62" s="7">
        <v>58</v>
      </c>
      <c r="B62" s="7" t="s">
        <v>113</v>
      </c>
      <c r="C62" s="7" t="s">
        <v>49</v>
      </c>
      <c r="D62" s="7" t="s">
        <v>21</v>
      </c>
      <c r="E62" s="7" t="s">
        <v>29</v>
      </c>
      <c r="F62" s="8">
        <f>SUM(N62:Q62)</f>
        <v>0</v>
      </c>
      <c r="G62" s="55">
        <f>I62-H62</f>
        <v>2322864</v>
      </c>
      <c r="H62" s="38">
        <f>SUMIF(Payments!$D$4:$D$117,'Only Creditors'!B62,Payments!$E$4:$E$130)</f>
        <v>0</v>
      </c>
      <c r="I62" s="8">
        <v>2322864</v>
      </c>
      <c r="J62" s="8">
        <v>1786992</v>
      </c>
      <c r="K62" s="8">
        <v>0</v>
      </c>
      <c r="L62" s="8">
        <v>535872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2322864</v>
      </c>
      <c r="S62" s="8">
        <v>0</v>
      </c>
    </row>
    <row r="63" spans="1:19" x14ac:dyDescent="0.25">
      <c r="A63" s="7">
        <v>59</v>
      </c>
      <c r="B63" s="7" t="s">
        <v>114</v>
      </c>
      <c r="C63" s="7" t="s">
        <v>49</v>
      </c>
      <c r="D63" s="7" t="s">
        <v>21</v>
      </c>
      <c r="E63" s="7" t="s">
        <v>46</v>
      </c>
      <c r="F63" s="7" t="s">
        <v>2047</v>
      </c>
      <c r="G63" s="55">
        <f>I63-H63</f>
        <v>924.16</v>
      </c>
      <c r="H63" s="38">
        <f>SUMIF(Payments!$D$4:$D$117,'Only Creditors'!B63,Payments!$E$4:$E$130)</f>
        <v>0</v>
      </c>
      <c r="I63" s="8">
        <v>924.16</v>
      </c>
      <c r="J63" s="8">
        <v>924.16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924.16</v>
      </c>
      <c r="S63" s="8">
        <v>0</v>
      </c>
    </row>
    <row r="64" spans="1:19" x14ac:dyDescent="0.25">
      <c r="A64" s="7">
        <v>60</v>
      </c>
      <c r="B64" s="7" t="s">
        <v>115</v>
      </c>
      <c r="C64" s="7" t="s">
        <v>49</v>
      </c>
      <c r="D64" s="7" t="s">
        <v>34</v>
      </c>
      <c r="E64" s="7" t="s">
        <v>35</v>
      </c>
      <c r="F64" s="8">
        <f>SUM(N64:Q64)</f>
        <v>0</v>
      </c>
      <c r="G64" s="55">
        <f>I64-H64</f>
        <v>279918.46000000002</v>
      </c>
      <c r="H64" s="38">
        <f>SUMIF(Payments!$D$4:$D$117,'Only Creditors'!B64,Payments!$E$4:$E$130)</f>
        <v>0</v>
      </c>
      <c r="I64" s="8">
        <v>279918.46000000002</v>
      </c>
      <c r="J64" s="8">
        <v>279918.46000000002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279918.46000000002</v>
      </c>
      <c r="S64" s="8">
        <v>0</v>
      </c>
    </row>
    <row r="65" spans="1:19" x14ac:dyDescent="0.25">
      <c r="A65" s="7">
        <v>61</v>
      </c>
      <c r="B65" s="7" t="s">
        <v>116</v>
      </c>
      <c r="C65" s="7" t="s">
        <v>20</v>
      </c>
      <c r="D65" s="7" t="s">
        <v>25</v>
      </c>
      <c r="E65" s="7" t="s">
        <v>26</v>
      </c>
      <c r="F65" s="8">
        <f>SUM(N65:Q65)</f>
        <v>0</v>
      </c>
      <c r="G65" s="55">
        <f>I65-H65</f>
        <v>1391845.6</v>
      </c>
      <c r="H65" s="38">
        <f>SUMIF(Payments!$D$4:$D$117,'Only Creditors'!B65,Payments!$E$4:$E$130)</f>
        <v>300000</v>
      </c>
      <c r="I65" s="8">
        <v>1691845.6</v>
      </c>
      <c r="J65" s="8">
        <v>1218167.26</v>
      </c>
      <c r="K65" s="8">
        <v>473678.34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1691845.6</v>
      </c>
      <c r="S65" s="8">
        <v>0</v>
      </c>
    </row>
    <row r="66" spans="1:19" x14ac:dyDescent="0.25">
      <c r="A66" s="7">
        <v>62</v>
      </c>
      <c r="B66" s="7" t="s">
        <v>117</v>
      </c>
      <c r="C66" s="7" t="s">
        <v>39</v>
      </c>
      <c r="D66" s="7" t="s">
        <v>35</v>
      </c>
      <c r="E66" s="7" t="s">
        <v>35</v>
      </c>
      <c r="F66" s="8">
        <f>SUM(N66:Q66)</f>
        <v>0</v>
      </c>
      <c r="G66" s="55">
        <f>I66-H66</f>
        <v>249687</v>
      </c>
      <c r="H66" s="38">
        <f>SUMIF(Payments!$D$4:$D$117,'Only Creditors'!B66,Payments!$E$4:$E$130)</f>
        <v>0</v>
      </c>
      <c r="I66" s="8">
        <v>249687</v>
      </c>
      <c r="J66" s="8">
        <v>0</v>
      </c>
      <c r="K66" s="8">
        <v>249687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249687</v>
      </c>
      <c r="S66" s="8">
        <v>0</v>
      </c>
    </row>
    <row r="67" spans="1:19" x14ac:dyDescent="0.25">
      <c r="A67" s="7">
        <v>63</v>
      </c>
      <c r="B67" s="7" t="s">
        <v>118</v>
      </c>
      <c r="C67" s="7" t="s">
        <v>42</v>
      </c>
      <c r="D67" s="7" t="s">
        <v>21</v>
      </c>
      <c r="E67" s="7" t="s">
        <v>29</v>
      </c>
      <c r="F67" s="7" t="s">
        <v>2047</v>
      </c>
      <c r="G67" s="55">
        <f>I67-H67</f>
        <v>10091</v>
      </c>
      <c r="H67" s="38">
        <f>SUMIF(Payments!$D$4:$D$117,'Only Creditors'!B67,Payments!$E$4:$E$130)</f>
        <v>0</v>
      </c>
      <c r="I67" s="8">
        <v>10091</v>
      </c>
      <c r="J67" s="8">
        <v>10091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10091</v>
      </c>
      <c r="S67" s="8">
        <v>0</v>
      </c>
    </row>
    <row r="68" spans="1:19" x14ac:dyDescent="0.25">
      <c r="A68" s="7">
        <v>64</v>
      </c>
      <c r="B68" s="7" t="s">
        <v>119</v>
      </c>
      <c r="C68" s="7" t="s">
        <v>45</v>
      </c>
      <c r="D68" s="7" t="s">
        <v>21</v>
      </c>
      <c r="E68" s="7" t="s">
        <v>101</v>
      </c>
      <c r="F68" s="7" t="s">
        <v>2047</v>
      </c>
      <c r="G68" s="55">
        <f>I68-H68</f>
        <v>0</v>
      </c>
      <c r="H68" s="38">
        <f>SUMIF(Payments!$D$4:$D$117,'Only Creditors'!B68,Payments!$E$4:$E$130)</f>
        <v>10856</v>
      </c>
      <c r="I68" s="8">
        <v>10856</v>
      </c>
      <c r="J68" s="8">
        <v>10856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10856</v>
      </c>
      <c r="S68" s="8">
        <v>0</v>
      </c>
    </row>
    <row r="69" spans="1:19" x14ac:dyDescent="0.25">
      <c r="A69" s="7">
        <v>65</v>
      </c>
      <c r="B69" s="7" t="s">
        <v>120</v>
      </c>
      <c r="C69" s="7" t="s">
        <v>24</v>
      </c>
      <c r="D69" s="7" t="s">
        <v>21</v>
      </c>
      <c r="E69" s="7" t="s">
        <v>121</v>
      </c>
      <c r="F69" s="7" t="s">
        <v>2047</v>
      </c>
      <c r="G69" s="55">
        <f>I69-H69</f>
        <v>6000</v>
      </c>
      <c r="H69" s="38">
        <f>SUMIF(Payments!$D$4:$D$117,'Only Creditors'!B69,Payments!$E$4:$E$130)</f>
        <v>0</v>
      </c>
      <c r="I69" s="8">
        <v>6000</v>
      </c>
      <c r="J69" s="8">
        <v>6000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6000</v>
      </c>
      <c r="S69" s="8">
        <v>0</v>
      </c>
    </row>
    <row r="70" spans="1:19" x14ac:dyDescent="0.25">
      <c r="A70" s="7">
        <v>66</v>
      </c>
      <c r="B70" s="7" t="s">
        <v>122</v>
      </c>
      <c r="C70" s="7" t="s">
        <v>82</v>
      </c>
      <c r="D70" s="7" t="s">
        <v>52</v>
      </c>
      <c r="E70" s="7" t="s">
        <v>52</v>
      </c>
      <c r="F70" s="8">
        <f>SUM(N70:Q70)</f>
        <v>0</v>
      </c>
      <c r="G70" s="55">
        <f>I70-H70</f>
        <v>0</v>
      </c>
      <c r="H70" s="38">
        <f>SUMIF(Payments!$D$4:$D$117,'Only Creditors'!B70,Payments!$E$4:$E$130)</f>
        <v>150000</v>
      </c>
      <c r="I70" s="8">
        <v>150000</v>
      </c>
      <c r="J70" s="8">
        <v>150000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150000</v>
      </c>
      <c r="S70" s="8">
        <v>0</v>
      </c>
    </row>
    <row r="71" spans="1:19" x14ac:dyDescent="0.25">
      <c r="A71" s="7">
        <v>67</v>
      </c>
      <c r="B71" s="7" t="s">
        <v>123</v>
      </c>
      <c r="C71" s="7" t="s">
        <v>33</v>
      </c>
      <c r="D71" s="7" t="s">
        <v>35</v>
      </c>
      <c r="E71" s="7" t="s">
        <v>35</v>
      </c>
      <c r="F71" s="8">
        <f>SUM(N71:Q71)</f>
        <v>0</v>
      </c>
      <c r="G71" s="55">
        <f>I71-H71</f>
        <v>1329902.54</v>
      </c>
      <c r="H71" s="38">
        <f>SUMIF(Payments!$D$4:$D$117,'Only Creditors'!B71,Payments!$E$4:$E$130)</f>
        <v>0</v>
      </c>
      <c r="I71" s="8">
        <v>1329902.54</v>
      </c>
      <c r="J71" s="8">
        <v>367353.78</v>
      </c>
      <c r="K71" s="8">
        <v>104204.86</v>
      </c>
      <c r="L71" s="8">
        <v>858343.9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1329902.54</v>
      </c>
      <c r="S71" s="8">
        <v>0</v>
      </c>
    </row>
    <row r="72" spans="1:19" x14ac:dyDescent="0.25">
      <c r="A72" s="7">
        <v>68</v>
      </c>
      <c r="B72" s="7" t="s">
        <v>124</v>
      </c>
      <c r="C72" s="7" t="s">
        <v>28</v>
      </c>
      <c r="D72" s="7" t="s">
        <v>21</v>
      </c>
      <c r="E72" s="7" t="s">
        <v>61</v>
      </c>
      <c r="F72" s="8">
        <f>SUM(N72:Q72)</f>
        <v>0</v>
      </c>
      <c r="G72" s="55">
        <f>I72-H72</f>
        <v>0</v>
      </c>
      <c r="H72" s="38">
        <f>SUMIF(Payments!$D$4:$D$117,'Only Creditors'!B72,Payments!$E$4:$E$130)</f>
        <v>34630.199999999997</v>
      </c>
      <c r="I72" s="8">
        <v>34630.199999999997</v>
      </c>
      <c r="J72" s="8">
        <v>34630.199999999997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34630.199999999997</v>
      </c>
      <c r="S72" s="8">
        <v>0</v>
      </c>
    </row>
    <row r="73" spans="1:19" x14ac:dyDescent="0.25">
      <c r="A73" s="7">
        <v>69</v>
      </c>
      <c r="B73" s="7" t="s">
        <v>125</v>
      </c>
      <c r="C73" s="7" t="s">
        <v>28</v>
      </c>
      <c r="D73" s="7" t="s">
        <v>21</v>
      </c>
      <c r="E73" s="7" t="s">
        <v>121</v>
      </c>
      <c r="F73" s="8">
        <f>SUM(N73:Q73)</f>
        <v>0</v>
      </c>
      <c r="G73" s="55">
        <f>I73-H73</f>
        <v>5495</v>
      </c>
      <c r="H73" s="38">
        <f>SUMIF(Payments!$D$4:$D$117,'Only Creditors'!B73,Payments!$E$4:$E$130)</f>
        <v>0</v>
      </c>
      <c r="I73" s="8">
        <v>5495</v>
      </c>
      <c r="J73" s="8">
        <v>5495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5495</v>
      </c>
      <c r="S73" s="8">
        <v>0</v>
      </c>
    </row>
    <row r="74" spans="1:19" x14ac:dyDescent="0.25">
      <c r="A74" s="7">
        <v>70</v>
      </c>
      <c r="B74" s="7" t="s">
        <v>126</v>
      </c>
      <c r="C74" s="7" t="s">
        <v>20</v>
      </c>
      <c r="D74" s="7" t="s">
        <v>25</v>
      </c>
      <c r="E74" s="7" t="s">
        <v>26</v>
      </c>
      <c r="F74" s="8">
        <f>SUM(N74:Q74)</f>
        <v>0.7</v>
      </c>
      <c r="G74" s="55">
        <f>I74-H74</f>
        <v>0.7</v>
      </c>
      <c r="H74" s="38">
        <f>SUMIF(Payments!$D$4:$D$117,'Only Creditors'!B74,Payments!$E$4:$E$130)</f>
        <v>0</v>
      </c>
      <c r="I74" s="8">
        <v>0.7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0.7</v>
      </c>
      <c r="R74" s="8">
        <v>0.7</v>
      </c>
      <c r="S74" s="8">
        <v>0</v>
      </c>
    </row>
    <row r="75" spans="1:19" x14ac:dyDescent="0.25">
      <c r="A75" s="7">
        <v>71</v>
      </c>
      <c r="B75" s="7" t="s">
        <v>127</v>
      </c>
      <c r="C75" s="7" t="s">
        <v>33</v>
      </c>
      <c r="D75" s="7" t="s">
        <v>35</v>
      </c>
      <c r="E75" s="7" t="s">
        <v>35</v>
      </c>
      <c r="F75" s="8">
        <f>SUM(N75:Q75)</f>
        <v>0</v>
      </c>
      <c r="G75" s="55">
        <f>I75-H75</f>
        <v>251774.38</v>
      </c>
      <c r="H75" s="38">
        <f>SUMIF(Payments!$D$4:$D$117,'Only Creditors'!B75,Payments!$E$4:$E$130)</f>
        <v>0</v>
      </c>
      <c r="I75" s="8">
        <v>251774.38</v>
      </c>
      <c r="J75" s="8">
        <v>128158.8</v>
      </c>
      <c r="K75" s="8">
        <v>0</v>
      </c>
      <c r="L75" s="8">
        <v>123615.58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251774.38</v>
      </c>
      <c r="S75" s="8">
        <v>0</v>
      </c>
    </row>
    <row r="76" spans="1:19" x14ac:dyDescent="0.25">
      <c r="A76" s="7">
        <v>72</v>
      </c>
      <c r="B76" s="7" t="s">
        <v>128</v>
      </c>
      <c r="C76" s="7" t="s">
        <v>45</v>
      </c>
      <c r="D76" s="7" t="s">
        <v>21</v>
      </c>
      <c r="E76" s="7" t="s">
        <v>26</v>
      </c>
      <c r="F76" s="8">
        <f>SUM(N76:Q76)</f>
        <v>0</v>
      </c>
      <c r="G76" s="55">
        <f>I76-H76</f>
        <v>822181.92999999993</v>
      </c>
      <c r="H76" s="38">
        <f>SUMIF(Payments!$D$4:$D$117,'Only Creditors'!B76,Payments!$E$4:$E$130)</f>
        <v>988898.21</v>
      </c>
      <c r="I76" s="8">
        <v>1811080.14</v>
      </c>
      <c r="J76" s="8">
        <v>1811080.14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1811080.14</v>
      </c>
      <c r="S76" s="8">
        <v>0</v>
      </c>
    </row>
    <row r="77" spans="1:19" x14ac:dyDescent="0.25">
      <c r="A77" s="7">
        <v>73</v>
      </c>
      <c r="B77" s="7" t="s">
        <v>129</v>
      </c>
      <c r="C77" s="7" t="s">
        <v>42</v>
      </c>
      <c r="D77" s="7" t="s">
        <v>34</v>
      </c>
      <c r="E77" s="7" t="s">
        <v>35</v>
      </c>
      <c r="F77" s="8">
        <f>SUM(N77:Q77)</f>
        <v>0</v>
      </c>
      <c r="G77" s="55">
        <f>I77-H77</f>
        <v>455798</v>
      </c>
      <c r="H77" s="38">
        <f>SUMIF(Payments!$D$4:$D$117,'Only Creditors'!B77,Payments!$E$4:$E$130)</f>
        <v>0</v>
      </c>
      <c r="I77" s="8">
        <v>455798</v>
      </c>
      <c r="J77" s="8">
        <v>0</v>
      </c>
      <c r="K77" s="8">
        <v>455798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455798</v>
      </c>
      <c r="S77" s="8">
        <v>0</v>
      </c>
    </row>
    <row r="78" spans="1:19" x14ac:dyDescent="0.25">
      <c r="A78" s="7">
        <v>74</v>
      </c>
      <c r="B78" s="7" t="s">
        <v>130</v>
      </c>
      <c r="C78" s="7" t="s">
        <v>42</v>
      </c>
      <c r="D78" s="7" t="s">
        <v>21</v>
      </c>
      <c r="E78" s="7" t="s">
        <v>101</v>
      </c>
      <c r="F78" s="7" t="s">
        <v>2047</v>
      </c>
      <c r="G78" s="55">
        <f>I78-H78</f>
        <v>5850</v>
      </c>
      <c r="H78" s="38">
        <f>SUMIF(Payments!$D$4:$D$117,'Only Creditors'!B78,Payments!$E$4:$E$130)</f>
        <v>0</v>
      </c>
      <c r="I78" s="8">
        <v>5850</v>
      </c>
      <c r="J78" s="8">
        <v>5850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5850</v>
      </c>
      <c r="S78" s="8">
        <v>0</v>
      </c>
    </row>
    <row r="79" spans="1:19" x14ac:dyDescent="0.25">
      <c r="A79" s="7">
        <v>75</v>
      </c>
      <c r="B79" s="7" t="s">
        <v>131</v>
      </c>
      <c r="C79" s="7" t="s">
        <v>42</v>
      </c>
      <c r="D79" s="7" t="s">
        <v>21</v>
      </c>
      <c r="E79" s="7" t="s">
        <v>29</v>
      </c>
      <c r="F79" s="7" t="s">
        <v>2047</v>
      </c>
      <c r="G79" s="55">
        <f>I79-H79</f>
        <v>2478</v>
      </c>
      <c r="H79" s="38">
        <f>SUMIF(Payments!$D$4:$D$117,'Only Creditors'!B79,Payments!$E$4:$E$130)</f>
        <v>0</v>
      </c>
      <c r="I79" s="8">
        <v>2478</v>
      </c>
      <c r="J79" s="8">
        <v>2478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2478</v>
      </c>
      <c r="S79" s="8">
        <v>0</v>
      </c>
    </row>
    <row r="80" spans="1:19" x14ac:dyDescent="0.25">
      <c r="A80" s="7">
        <v>76</v>
      </c>
      <c r="B80" s="7" t="s">
        <v>132</v>
      </c>
      <c r="C80" s="7" t="s">
        <v>24</v>
      </c>
      <c r="D80" s="7" t="s">
        <v>21</v>
      </c>
      <c r="E80" s="7" t="s">
        <v>99</v>
      </c>
      <c r="F80" s="7" t="s">
        <v>2047</v>
      </c>
      <c r="G80" s="55">
        <f>I80-H80</f>
        <v>0</v>
      </c>
      <c r="H80" s="38">
        <f>SUMIF(Payments!$D$4:$D$117,'Only Creditors'!B80,Payments!$E$4:$E$130)</f>
        <v>18000</v>
      </c>
      <c r="I80" s="8">
        <v>18000</v>
      </c>
      <c r="J80" s="8">
        <v>18000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18000</v>
      </c>
      <c r="S80" s="8">
        <v>0</v>
      </c>
    </row>
    <row r="81" spans="1:19" x14ac:dyDescent="0.25">
      <c r="A81" s="7">
        <v>77</v>
      </c>
      <c r="B81" s="7" t="s">
        <v>133</v>
      </c>
      <c r="C81" s="7" t="s">
        <v>24</v>
      </c>
      <c r="D81" s="7" t="s">
        <v>21</v>
      </c>
      <c r="E81" s="7" t="s">
        <v>99</v>
      </c>
      <c r="F81" s="7" t="s">
        <v>2047</v>
      </c>
      <c r="G81" s="55">
        <f>I81-H81</f>
        <v>0</v>
      </c>
      <c r="H81" s="38">
        <f>SUMIF(Payments!$D$4:$D$117,'Only Creditors'!B81,Payments!$E$4:$E$130)</f>
        <v>37000</v>
      </c>
      <c r="I81" s="8">
        <v>37000</v>
      </c>
      <c r="J81" s="8">
        <v>37000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37000</v>
      </c>
      <c r="S81" s="8">
        <v>0</v>
      </c>
    </row>
    <row r="82" spans="1:19" x14ac:dyDescent="0.25">
      <c r="A82" s="7">
        <v>78</v>
      </c>
      <c r="B82" s="7" t="s">
        <v>134</v>
      </c>
      <c r="C82" s="7" t="s">
        <v>42</v>
      </c>
      <c r="D82" s="7" t="s">
        <v>25</v>
      </c>
      <c r="E82" s="7" t="s">
        <v>26</v>
      </c>
      <c r="F82" s="8">
        <f>SUM(N82:Q82)</f>
        <v>0</v>
      </c>
      <c r="G82" s="55">
        <f>I82-H82</f>
        <v>77420</v>
      </c>
      <c r="H82" s="38">
        <f>SUMIF(Payments!$D$4:$D$117,'Only Creditors'!B82,Payments!$E$4:$E$130)</f>
        <v>197225</v>
      </c>
      <c r="I82" s="8">
        <v>274645</v>
      </c>
      <c r="J82" s="8">
        <v>274645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274645</v>
      </c>
      <c r="S82" s="8">
        <v>0</v>
      </c>
    </row>
    <row r="83" spans="1:19" x14ac:dyDescent="0.25">
      <c r="A83" s="7">
        <v>79</v>
      </c>
      <c r="B83" s="7" t="s">
        <v>135</v>
      </c>
      <c r="C83" s="7" t="s">
        <v>20</v>
      </c>
      <c r="D83" s="7" t="s">
        <v>90</v>
      </c>
      <c r="E83" s="7" t="s">
        <v>90</v>
      </c>
      <c r="F83" s="8">
        <f>SUM(N83:Q83)</f>
        <v>786935</v>
      </c>
      <c r="G83" s="55">
        <f>I83-H83</f>
        <v>786935</v>
      </c>
      <c r="H83" s="38">
        <f>SUMIF(Payments!$D$4:$D$117,'Only Creditors'!B83,Payments!$E$4:$E$130)</f>
        <v>0</v>
      </c>
      <c r="I83" s="8">
        <v>786935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786935</v>
      </c>
      <c r="R83" s="8">
        <v>786935</v>
      </c>
      <c r="S83" s="8">
        <v>0</v>
      </c>
    </row>
    <row r="84" spans="1:19" x14ac:dyDescent="0.25">
      <c r="A84" s="7">
        <v>80</v>
      </c>
      <c r="B84" s="7" t="s">
        <v>136</v>
      </c>
      <c r="C84" s="7" t="s">
        <v>45</v>
      </c>
      <c r="D84" s="7" t="s">
        <v>21</v>
      </c>
      <c r="E84" s="7" t="s">
        <v>101</v>
      </c>
      <c r="F84" s="8">
        <f>SUM(N84:Q84)</f>
        <v>0</v>
      </c>
      <c r="G84" s="55">
        <f>I84-H84</f>
        <v>305400</v>
      </c>
      <c r="H84" s="38">
        <f>SUMIF(Payments!$D$4:$D$117,'Only Creditors'!B84,Payments!$E$4:$E$130)</f>
        <v>0</v>
      </c>
      <c r="I84" s="8">
        <v>305400</v>
      </c>
      <c r="J84" s="8">
        <v>97000</v>
      </c>
      <c r="K84" s="8">
        <v>0</v>
      </c>
      <c r="L84" s="8">
        <v>208400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305400</v>
      </c>
      <c r="S84" s="8">
        <v>0</v>
      </c>
    </row>
    <row r="85" spans="1:19" x14ac:dyDescent="0.25">
      <c r="A85" s="7">
        <v>81</v>
      </c>
      <c r="B85" s="7" t="s">
        <v>137</v>
      </c>
      <c r="C85" s="7" t="s">
        <v>24</v>
      </c>
      <c r="D85" s="7" t="s">
        <v>21</v>
      </c>
      <c r="E85" s="7" t="s">
        <v>2030</v>
      </c>
      <c r="F85" s="7" t="s">
        <v>2047</v>
      </c>
      <c r="G85" s="55">
        <f>I85-H85</f>
        <v>81011.199999999997</v>
      </c>
      <c r="H85" s="38">
        <f>SUMIF(Payments!$D$4:$D$117,'Only Creditors'!B85,Payments!$E$4:$E$130)</f>
        <v>0</v>
      </c>
      <c r="I85" s="8">
        <v>81011.199999999997</v>
      </c>
      <c r="J85" s="8">
        <v>81011.199999999997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81011.199999999997</v>
      </c>
      <c r="S85" s="8">
        <v>0</v>
      </c>
    </row>
    <row r="86" spans="1:19" x14ac:dyDescent="0.25">
      <c r="A86" s="7">
        <v>82</v>
      </c>
      <c r="B86" s="7" t="s">
        <v>138</v>
      </c>
      <c r="C86" s="7" t="s">
        <v>45</v>
      </c>
      <c r="D86" s="7" t="s">
        <v>25</v>
      </c>
      <c r="E86" s="7" t="s">
        <v>26</v>
      </c>
      <c r="F86" s="8">
        <f>SUM(N86:Q86)</f>
        <v>0.3</v>
      </c>
      <c r="G86" s="55">
        <f>I86-H86</f>
        <v>5887338.7599999998</v>
      </c>
      <c r="H86" s="38">
        <f>SUMIF(Payments!$D$4:$D$117,'Only Creditors'!B86,Payments!$E$4:$E$130)</f>
        <v>0</v>
      </c>
      <c r="I86" s="8">
        <v>5887338.7599999998</v>
      </c>
      <c r="J86" s="8">
        <v>2339857.2400000002</v>
      </c>
      <c r="K86" s="8">
        <v>1800161.34</v>
      </c>
      <c r="L86" s="8">
        <v>1747319.48</v>
      </c>
      <c r="M86" s="8">
        <v>0.4</v>
      </c>
      <c r="N86" s="8">
        <v>0.3</v>
      </c>
      <c r="O86" s="8">
        <v>0</v>
      </c>
      <c r="P86" s="8">
        <v>0</v>
      </c>
      <c r="Q86" s="8">
        <v>0</v>
      </c>
      <c r="R86" s="8">
        <v>5887338.7599999998</v>
      </c>
      <c r="S86" s="8">
        <v>0</v>
      </c>
    </row>
    <row r="87" spans="1:19" x14ac:dyDescent="0.25">
      <c r="A87" s="7">
        <v>83</v>
      </c>
      <c r="B87" s="7" t="s">
        <v>139</v>
      </c>
      <c r="C87" s="7" t="s">
        <v>58</v>
      </c>
      <c r="D87" s="7" t="s">
        <v>21</v>
      </c>
      <c r="E87" s="7" t="s">
        <v>101</v>
      </c>
      <c r="F87" s="8">
        <f>SUM(N87:Q87)</f>
        <v>944848.72</v>
      </c>
      <c r="G87" s="55">
        <f>I87-H87</f>
        <v>1763177.68</v>
      </c>
      <c r="H87" s="38">
        <f>SUMIF(Payments!$D$4:$D$117,'Only Creditors'!B87,Payments!$E$4:$E$130)</f>
        <v>0</v>
      </c>
      <c r="I87" s="8">
        <v>1763177.68</v>
      </c>
      <c r="J87" s="8">
        <v>0</v>
      </c>
      <c r="K87" s="8">
        <v>0</v>
      </c>
      <c r="L87" s="8">
        <v>0</v>
      </c>
      <c r="M87" s="8">
        <v>818328.96</v>
      </c>
      <c r="N87" s="8">
        <v>0</v>
      </c>
      <c r="O87" s="8">
        <v>0</v>
      </c>
      <c r="P87" s="8">
        <v>944848.72</v>
      </c>
      <c r="Q87" s="8">
        <v>0</v>
      </c>
      <c r="R87" s="8">
        <v>1763177.68</v>
      </c>
      <c r="S87" s="8">
        <v>0</v>
      </c>
    </row>
    <row r="88" spans="1:19" x14ac:dyDescent="0.25">
      <c r="A88" s="7">
        <v>84</v>
      </c>
      <c r="B88" s="7" t="s">
        <v>140</v>
      </c>
      <c r="C88" s="7" t="s">
        <v>45</v>
      </c>
      <c r="D88" s="7" t="s">
        <v>55</v>
      </c>
      <c r="E88" s="7" t="s">
        <v>2033</v>
      </c>
      <c r="F88" s="8">
        <f>SUM(N88:Q88)</f>
        <v>0</v>
      </c>
      <c r="G88" s="55">
        <f>I88-H88</f>
        <v>316522.28000000003</v>
      </c>
      <c r="H88" s="38">
        <f>SUMIF(Payments!$D$4:$D$117,'Only Creditors'!B88,Payments!$E$4:$E$130)</f>
        <v>988255</v>
      </c>
      <c r="I88" s="8">
        <v>1304777.28</v>
      </c>
      <c r="J88" s="8">
        <v>1304777.28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1304777.28</v>
      </c>
      <c r="S88" s="8">
        <v>0</v>
      </c>
    </row>
    <row r="89" spans="1:19" x14ac:dyDescent="0.25">
      <c r="A89" s="7">
        <v>85</v>
      </c>
      <c r="B89" s="7" t="s">
        <v>141</v>
      </c>
      <c r="C89" s="7" t="s">
        <v>49</v>
      </c>
      <c r="D89" s="7" t="s">
        <v>21</v>
      </c>
      <c r="E89" s="7" t="s">
        <v>142</v>
      </c>
      <c r="F89" s="8">
        <f>SUM(N89:Q89)</f>
        <v>0</v>
      </c>
      <c r="G89" s="55">
        <f>I89-H89</f>
        <v>0</v>
      </c>
      <c r="H89" s="38">
        <f>SUMIF(Payments!$D$4:$D$117,'Only Creditors'!B89,Payments!$E$4:$E$130)</f>
        <v>626430</v>
      </c>
      <c r="I89" s="8">
        <v>626430</v>
      </c>
      <c r="J89" s="8">
        <v>626430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626430</v>
      </c>
      <c r="S89" s="8">
        <v>0</v>
      </c>
    </row>
    <row r="90" spans="1:19" x14ac:dyDescent="0.25">
      <c r="A90" s="7">
        <v>86</v>
      </c>
      <c r="B90" s="7" t="s">
        <v>143</v>
      </c>
      <c r="C90" s="7" t="s">
        <v>49</v>
      </c>
      <c r="D90" s="7" t="s">
        <v>55</v>
      </c>
      <c r="E90" s="7" t="s">
        <v>35</v>
      </c>
      <c r="F90" s="8">
        <f>SUM(N90:Q90)</f>
        <v>0</v>
      </c>
      <c r="G90" s="55">
        <f>I90-H90</f>
        <v>657030.24</v>
      </c>
      <c r="H90" s="38">
        <f>SUMIF(Payments!$D$4:$D$117,'Only Creditors'!B90,Payments!$E$4:$E$130)</f>
        <v>0</v>
      </c>
      <c r="I90" s="8">
        <v>657030.24</v>
      </c>
      <c r="J90" s="8">
        <v>292813.11</v>
      </c>
      <c r="K90" s="8">
        <v>364217.13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657030.24</v>
      </c>
      <c r="S90" s="8">
        <v>0</v>
      </c>
    </row>
    <row r="91" spans="1:19" x14ac:dyDescent="0.25">
      <c r="A91" s="7">
        <v>87</v>
      </c>
      <c r="B91" s="7" t="s">
        <v>144</v>
      </c>
      <c r="C91" s="7" t="s">
        <v>42</v>
      </c>
      <c r="D91" s="7" t="s">
        <v>21</v>
      </c>
      <c r="E91" s="7" t="s">
        <v>26</v>
      </c>
      <c r="F91" s="8">
        <f>SUM(N91:Q91)</f>
        <v>0</v>
      </c>
      <c r="G91" s="55">
        <f>I91-H91</f>
        <v>857382.61</v>
      </c>
      <c r="H91" s="38">
        <f>SUMIF(Payments!$D$4:$D$117,'Only Creditors'!B91,Payments!$E$4:$E$130)</f>
        <v>0</v>
      </c>
      <c r="I91" s="8">
        <v>857382.61</v>
      </c>
      <c r="J91" s="8">
        <v>119436.04</v>
      </c>
      <c r="K91" s="8">
        <v>737946.57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857382.61</v>
      </c>
      <c r="S91" s="8">
        <v>0</v>
      </c>
    </row>
    <row r="92" spans="1:19" x14ac:dyDescent="0.25">
      <c r="A92" s="7">
        <v>88</v>
      </c>
      <c r="B92" s="7" t="s">
        <v>145</v>
      </c>
      <c r="C92" s="7" t="s">
        <v>42</v>
      </c>
      <c r="D92" s="7" t="s">
        <v>21</v>
      </c>
      <c r="E92" s="7" t="s">
        <v>29</v>
      </c>
      <c r="F92" s="8">
        <f>SUM(N92:Q92)</f>
        <v>0</v>
      </c>
      <c r="G92" s="55">
        <f>I92-H92</f>
        <v>54516.76</v>
      </c>
      <c r="H92" s="38">
        <f>SUMIF(Payments!$D$4:$D$117,'Only Creditors'!B92,Payments!$E$4:$E$130)</f>
        <v>0</v>
      </c>
      <c r="I92" s="8">
        <v>54516.76</v>
      </c>
      <c r="J92" s="8">
        <v>54516.76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54516.76</v>
      </c>
      <c r="S92" s="8">
        <v>0</v>
      </c>
    </row>
    <row r="93" spans="1:19" x14ac:dyDescent="0.25">
      <c r="A93" s="7">
        <v>89</v>
      </c>
      <c r="B93" s="7" t="s">
        <v>146</v>
      </c>
      <c r="C93" s="7" t="s">
        <v>49</v>
      </c>
      <c r="D93" s="7" t="s">
        <v>21</v>
      </c>
      <c r="E93" s="7" t="s">
        <v>29</v>
      </c>
      <c r="F93" s="8">
        <f>SUM(N93:Q93)</f>
        <v>0</v>
      </c>
      <c r="G93" s="55">
        <f>I93-H93</f>
        <v>517000</v>
      </c>
      <c r="H93" s="38">
        <f>SUMIF(Payments!$D$4:$D$117,'Only Creditors'!B93,Payments!$E$4:$E$130)</f>
        <v>0</v>
      </c>
      <c r="I93" s="8">
        <v>517000</v>
      </c>
      <c r="J93" s="8">
        <v>0</v>
      </c>
      <c r="K93" s="8">
        <v>274350</v>
      </c>
      <c r="L93" s="8">
        <v>242650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517000</v>
      </c>
      <c r="S93" s="8">
        <v>0</v>
      </c>
    </row>
    <row r="94" spans="1:19" x14ac:dyDescent="0.25">
      <c r="A94" s="7">
        <v>90</v>
      </c>
      <c r="B94" s="7" t="s">
        <v>147</v>
      </c>
      <c r="C94" s="7" t="s">
        <v>45</v>
      </c>
      <c r="D94" s="7" t="s">
        <v>55</v>
      </c>
      <c r="E94" s="7" t="s">
        <v>45</v>
      </c>
      <c r="F94" s="8">
        <f>SUM(N94:Q94)</f>
        <v>0</v>
      </c>
      <c r="G94" s="55">
        <f>I94-H94</f>
        <v>352640</v>
      </c>
      <c r="H94" s="38">
        <f>SUMIF(Payments!$D$4:$D$117,'Only Creditors'!B94,Payments!$E$4:$E$130)</f>
        <v>0</v>
      </c>
      <c r="I94" s="8">
        <v>352640</v>
      </c>
      <c r="J94" s="8">
        <v>352640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352640</v>
      </c>
      <c r="S94" s="8">
        <v>0</v>
      </c>
    </row>
    <row r="95" spans="1:19" x14ac:dyDescent="0.25">
      <c r="A95" s="7">
        <v>91</v>
      </c>
      <c r="B95" s="7" t="s">
        <v>148</v>
      </c>
      <c r="C95" s="7" t="s">
        <v>49</v>
      </c>
      <c r="D95" s="7" t="s">
        <v>21</v>
      </c>
      <c r="E95" s="7" t="s">
        <v>29</v>
      </c>
      <c r="F95" s="7" t="s">
        <v>2047</v>
      </c>
      <c r="G95" s="55">
        <f>I95-H95</f>
        <v>0</v>
      </c>
      <c r="H95" s="38">
        <f>SUMIF(Payments!$D$4:$D$117,'Only Creditors'!B95,Payments!$E$4:$E$130)</f>
        <v>66080</v>
      </c>
      <c r="I95" s="8">
        <v>66080</v>
      </c>
      <c r="J95" s="8">
        <v>66080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66080</v>
      </c>
      <c r="S95" s="8">
        <v>0</v>
      </c>
    </row>
    <row r="96" spans="1:19" x14ac:dyDescent="0.25">
      <c r="A96" s="7">
        <v>92</v>
      </c>
      <c r="B96" s="7" t="s">
        <v>149</v>
      </c>
      <c r="C96" s="7" t="s">
        <v>42</v>
      </c>
      <c r="D96" s="7" t="s">
        <v>90</v>
      </c>
      <c r="E96" s="7" t="s">
        <v>90</v>
      </c>
      <c r="F96" s="8">
        <f>SUM(N96:Q96)</f>
        <v>0</v>
      </c>
      <c r="G96" s="55">
        <f>I96-H96</f>
        <v>730882.4</v>
      </c>
      <c r="H96" s="38">
        <f>SUMIF(Payments!$D$4:$D$117,'Only Creditors'!B96,Payments!$E$4:$E$130)</f>
        <v>0</v>
      </c>
      <c r="I96" s="8">
        <v>730882.4</v>
      </c>
      <c r="J96" s="8">
        <v>0</v>
      </c>
      <c r="K96" s="8">
        <v>0</v>
      </c>
      <c r="L96" s="8">
        <v>730882.4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730882.4</v>
      </c>
      <c r="S96" s="8">
        <v>0</v>
      </c>
    </row>
    <row r="97" spans="1:19" x14ac:dyDescent="0.25">
      <c r="A97" s="7">
        <v>93</v>
      </c>
      <c r="B97" s="7" t="s">
        <v>150</v>
      </c>
      <c r="C97" s="7" t="s">
        <v>45</v>
      </c>
      <c r="D97" s="7" t="s">
        <v>34</v>
      </c>
      <c r="E97" s="7" t="s">
        <v>45</v>
      </c>
      <c r="F97" s="8">
        <f>SUM(N97:Q97)</f>
        <v>623635.12</v>
      </c>
      <c r="G97" s="55">
        <f>I97-H97</f>
        <v>623635.12</v>
      </c>
      <c r="H97" s="38">
        <f>SUMIF(Payments!$D$4:$D$117,'Only Creditors'!B97,Payments!$E$4:$E$130)</f>
        <v>0</v>
      </c>
      <c r="I97" s="8">
        <v>623635.12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437373.82</v>
      </c>
      <c r="P97" s="8">
        <v>186261.3</v>
      </c>
      <c r="Q97" s="8">
        <v>0</v>
      </c>
      <c r="R97" s="8">
        <v>623635.12</v>
      </c>
      <c r="S97" s="8">
        <v>0</v>
      </c>
    </row>
    <row r="98" spans="1:19" x14ac:dyDescent="0.25">
      <c r="A98" s="7">
        <v>94</v>
      </c>
      <c r="B98" s="7" t="s">
        <v>151</v>
      </c>
      <c r="C98" s="7" t="s">
        <v>39</v>
      </c>
      <c r="D98" s="7" t="s">
        <v>21</v>
      </c>
      <c r="E98" s="7" t="s">
        <v>99</v>
      </c>
      <c r="F98" s="7" t="s">
        <v>2047</v>
      </c>
      <c r="G98" s="55">
        <f>I98-H98</f>
        <v>27225</v>
      </c>
      <c r="H98" s="38">
        <f>SUMIF(Payments!$D$4:$D$117,'Only Creditors'!B98,Payments!$E$4:$E$130)</f>
        <v>0</v>
      </c>
      <c r="I98" s="8">
        <v>27225</v>
      </c>
      <c r="J98" s="8">
        <v>27225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27225</v>
      </c>
      <c r="S98" s="8">
        <v>0</v>
      </c>
    </row>
    <row r="99" spans="1:19" x14ac:dyDescent="0.25">
      <c r="A99" s="7">
        <v>95</v>
      </c>
      <c r="B99" s="7" t="s">
        <v>152</v>
      </c>
      <c r="C99" s="7" t="s">
        <v>45</v>
      </c>
      <c r="D99" s="7" t="s">
        <v>21</v>
      </c>
      <c r="E99" s="7" t="s">
        <v>101</v>
      </c>
      <c r="F99" s="7" t="s">
        <v>2047</v>
      </c>
      <c r="G99" s="55">
        <f>I99-H99</f>
        <v>0</v>
      </c>
      <c r="H99" s="38">
        <f>SUMIF(Payments!$D$4:$D$117,'Only Creditors'!B99,Payments!$E$4:$E$130)</f>
        <v>20958</v>
      </c>
      <c r="I99" s="8">
        <v>20958</v>
      </c>
      <c r="J99" s="8">
        <v>0</v>
      </c>
      <c r="K99" s="8">
        <v>10958</v>
      </c>
      <c r="L99" s="8">
        <v>10000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20958</v>
      </c>
      <c r="S99" s="8">
        <v>0</v>
      </c>
    </row>
    <row r="100" spans="1:19" x14ac:dyDescent="0.25">
      <c r="A100" s="7">
        <v>96</v>
      </c>
      <c r="B100" s="7" t="s">
        <v>153</v>
      </c>
      <c r="C100" s="7" t="s">
        <v>154</v>
      </c>
      <c r="D100" s="7" t="s">
        <v>34</v>
      </c>
      <c r="E100" s="7" t="s">
        <v>58</v>
      </c>
      <c r="F100" s="8">
        <f>SUM(N100:Q100)</f>
        <v>0</v>
      </c>
      <c r="G100" s="55">
        <f>I100-H100</f>
        <v>722437.3</v>
      </c>
      <c r="H100" s="38">
        <f>SUMIF(Payments!$D$4:$D$117,'Only Creditors'!B100,Payments!$E$4:$E$130)</f>
        <v>0</v>
      </c>
      <c r="I100" s="8">
        <v>722437.3</v>
      </c>
      <c r="J100" s="8">
        <v>315927.3</v>
      </c>
      <c r="K100" s="8">
        <v>138060</v>
      </c>
      <c r="L100" s="8">
        <v>268450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722437.3</v>
      </c>
      <c r="S100" s="8">
        <v>0</v>
      </c>
    </row>
    <row r="101" spans="1:19" x14ac:dyDescent="0.25">
      <c r="A101" s="7">
        <v>97</v>
      </c>
      <c r="B101" s="7" t="s">
        <v>155</v>
      </c>
      <c r="C101" s="7" t="s">
        <v>33</v>
      </c>
      <c r="D101" s="7" t="s">
        <v>55</v>
      </c>
      <c r="E101" s="7" t="s">
        <v>35</v>
      </c>
      <c r="F101" s="8">
        <f>SUM(N101:Q101)</f>
        <v>0</v>
      </c>
      <c r="G101" s="55">
        <f>I101-H101</f>
        <v>329828.23</v>
      </c>
      <c r="H101" s="38">
        <f>SUMIF(Payments!$D$4:$D$117,'Only Creditors'!B101,Payments!$E$4:$E$130)</f>
        <v>0</v>
      </c>
      <c r="I101" s="8">
        <v>329828.23</v>
      </c>
      <c r="J101" s="8">
        <v>329828.23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329828.23</v>
      </c>
      <c r="S101" s="8">
        <v>0</v>
      </c>
    </row>
    <row r="102" spans="1:19" x14ac:dyDescent="0.25">
      <c r="A102" s="7">
        <v>98</v>
      </c>
      <c r="B102" s="7" t="s">
        <v>156</v>
      </c>
      <c r="C102" s="7" t="s">
        <v>42</v>
      </c>
      <c r="D102" s="7" t="s">
        <v>21</v>
      </c>
      <c r="E102" s="7" t="s">
        <v>157</v>
      </c>
      <c r="F102" s="8">
        <f>SUM(N102:Q102)</f>
        <v>0</v>
      </c>
      <c r="G102" s="55">
        <f>I102-H102</f>
        <v>0</v>
      </c>
      <c r="H102" s="38">
        <f>SUMIF(Payments!$D$4:$D$117,'Only Creditors'!B102,Payments!$E$4:$E$130)</f>
        <v>479644.55</v>
      </c>
      <c r="I102" s="8">
        <v>479644.55</v>
      </c>
      <c r="J102" s="8">
        <v>479644.55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479644.55</v>
      </c>
      <c r="S102" s="8">
        <v>0</v>
      </c>
    </row>
    <row r="103" spans="1:19" x14ac:dyDescent="0.25">
      <c r="A103" s="7">
        <v>99</v>
      </c>
      <c r="B103" s="7" t="s">
        <v>158</v>
      </c>
      <c r="C103" s="7" t="s">
        <v>45</v>
      </c>
      <c r="D103" s="7" t="s">
        <v>55</v>
      </c>
      <c r="E103" s="7" t="s">
        <v>2033</v>
      </c>
      <c r="F103" s="8">
        <f>SUM(N103:Q103)</f>
        <v>0</v>
      </c>
      <c r="G103" s="55">
        <f>I103-H103</f>
        <v>416074.92</v>
      </c>
      <c r="H103" s="38">
        <f>SUMIF(Payments!$D$4:$D$117,'Only Creditors'!B103,Payments!$E$4:$E$130)</f>
        <v>0</v>
      </c>
      <c r="I103" s="8">
        <v>416074.92</v>
      </c>
      <c r="J103" s="8">
        <v>0</v>
      </c>
      <c r="K103" s="8">
        <v>0</v>
      </c>
      <c r="L103" s="8">
        <v>416074.92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416074.92</v>
      </c>
      <c r="S103" s="8">
        <v>0</v>
      </c>
    </row>
    <row r="104" spans="1:19" x14ac:dyDescent="0.25">
      <c r="A104" s="7">
        <v>100</v>
      </c>
      <c r="B104" s="7" t="s">
        <v>159</v>
      </c>
      <c r="C104" s="7" t="s">
        <v>28</v>
      </c>
      <c r="D104" s="7" t="s">
        <v>21</v>
      </c>
      <c r="E104" s="7" t="s">
        <v>121</v>
      </c>
      <c r="F104" s="7" t="s">
        <v>2047</v>
      </c>
      <c r="G104" s="55">
        <f>I104-H104</f>
        <v>9807</v>
      </c>
      <c r="H104" s="38">
        <f>SUMIF(Payments!$D$4:$D$117,'Only Creditors'!B104,Payments!$E$4:$E$130)</f>
        <v>0</v>
      </c>
      <c r="I104" s="8">
        <v>9807</v>
      </c>
      <c r="J104" s="8">
        <v>9807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9807</v>
      </c>
      <c r="S104" s="8">
        <v>0</v>
      </c>
    </row>
    <row r="105" spans="1:19" x14ac:dyDescent="0.25">
      <c r="A105" s="7">
        <v>101</v>
      </c>
      <c r="B105" s="7" t="s">
        <v>160</v>
      </c>
      <c r="C105" s="7" t="s">
        <v>161</v>
      </c>
      <c r="D105" s="7" t="s">
        <v>21</v>
      </c>
      <c r="E105" s="7" t="s">
        <v>101</v>
      </c>
      <c r="F105" s="8">
        <f>SUM(N105:Q105)</f>
        <v>231733</v>
      </c>
      <c r="G105" s="55">
        <f>I105-H105</f>
        <v>2415538.4</v>
      </c>
      <c r="H105" s="38">
        <f>SUMIF(Payments!$D$4:$D$117,'Only Creditors'!B105,Payments!$E$4:$E$130)</f>
        <v>0</v>
      </c>
      <c r="I105" s="8">
        <v>2415538.4</v>
      </c>
      <c r="J105" s="8">
        <v>237392.4</v>
      </c>
      <c r="K105" s="8">
        <v>1946413</v>
      </c>
      <c r="L105" s="8">
        <v>0</v>
      </c>
      <c r="M105" s="8">
        <v>0</v>
      </c>
      <c r="N105" s="8">
        <v>0</v>
      </c>
      <c r="O105" s="8">
        <v>0</v>
      </c>
      <c r="P105" s="8">
        <v>231733</v>
      </c>
      <c r="Q105" s="8">
        <v>0</v>
      </c>
      <c r="R105" s="8">
        <v>2415538.4</v>
      </c>
      <c r="S105" s="8">
        <v>0</v>
      </c>
    </row>
    <row r="106" spans="1:19" x14ac:dyDescent="0.25">
      <c r="A106" s="7">
        <v>102</v>
      </c>
      <c r="B106" s="7" t="s">
        <v>162</v>
      </c>
      <c r="C106" s="7" t="s">
        <v>45</v>
      </c>
      <c r="D106" s="7" t="s">
        <v>34</v>
      </c>
      <c r="E106" s="7" t="s">
        <v>45</v>
      </c>
      <c r="F106" s="8">
        <f>SUM(N106:Q106)</f>
        <v>0</v>
      </c>
      <c r="G106" s="55">
        <f>I106-H106</f>
        <v>912110.91999999993</v>
      </c>
      <c r="H106" s="38">
        <f>SUMIF(Payments!$D$4:$D$117,'Only Creditors'!B106,Payments!$E$4:$E$130)</f>
        <v>500000</v>
      </c>
      <c r="I106" s="8">
        <v>1412110.92</v>
      </c>
      <c r="J106" s="8">
        <v>902207.92</v>
      </c>
      <c r="K106" s="8">
        <v>509903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1412110.92</v>
      </c>
      <c r="S106" s="8">
        <v>0</v>
      </c>
    </row>
    <row r="107" spans="1:19" x14ac:dyDescent="0.25">
      <c r="A107" s="7">
        <v>103</v>
      </c>
      <c r="B107" s="7" t="s">
        <v>163</v>
      </c>
      <c r="C107" s="7" t="s">
        <v>20</v>
      </c>
      <c r="D107" s="7" t="s">
        <v>21</v>
      </c>
      <c r="E107" s="7" t="s">
        <v>101</v>
      </c>
      <c r="F107" s="8">
        <f>SUM(N107:Q107)</f>
        <v>0</v>
      </c>
      <c r="G107" s="55">
        <f>I107-H107</f>
        <v>276288.7</v>
      </c>
      <c r="H107" s="38">
        <f>SUMIF(Payments!$D$4:$D$117,'Only Creditors'!B107,Payments!$E$4:$E$130)</f>
        <v>0</v>
      </c>
      <c r="I107" s="8">
        <v>276288.7</v>
      </c>
      <c r="J107" s="8">
        <v>154569.70000000001</v>
      </c>
      <c r="K107" s="8">
        <v>31860</v>
      </c>
      <c r="L107" s="8">
        <v>89859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276288.7</v>
      </c>
      <c r="S107" s="8">
        <v>0</v>
      </c>
    </row>
    <row r="108" spans="1:19" x14ac:dyDescent="0.25">
      <c r="A108" s="7">
        <v>104</v>
      </c>
      <c r="B108" s="7" t="s">
        <v>164</v>
      </c>
      <c r="C108" s="7" t="s">
        <v>42</v>
      </c>
      <c r="D108" s="7" t="s">
        <v>21</v>
      </c>
      <c r="E108" s="7" t="s">
        <v>101</v>
      </c>
      <c r="F108" s="8">
        <f>SUM(N108:Q108)</f>
        <v>0</v>
      </c>
      <c r="G108" s="55">
        <f>I108-H108</f>
        <v>652567.53</v>
      </c>
      <c r="H108" s="38">
        <f>SUMIF(Payments!$D$4:$D$117,'Only Creditors'!B108,Payments!$E$4:$E$130)</f>
        <v>0</v>
      </c>
      <c r="I108" s="8">
        <v>652567.53</v>
      </c>
      <c r="J108" s="8">
        <v>224023.11</v>
      </c>
      <c r="K108" s="8">
        <v>112568.9</v>
      </c>
      <c r="L108" s="8">
        <v>315975.52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652567.53</v>
      </c>
      <c r="S108" s="8">
        <v>0</v>
      </c>
    </row>
    <row r="109" spans="1:19" x14ac:dyDescent="0.25">
      <c r="A109" s="7">
        <v>105</v>
      </c>
      <c r="B109" s="7" t="s">
        <v>165</v>
      </c>
      <c r="C109" s="7" t="s">
        <v>49</v>
      </c>
      <c r="D109" s="7" t="s">
        <v>25</v>
      </c>
      <c r="E109" s="7" t="s">
        <v>26</v>
      </c>
      <c r="F109" s="8">
        <f>SUM(N109:Q109)</f>
        <v>0</v>
      </c>
      <c r="G109" s="55">
        <f>I109-H109</f>
        <v>34684</v>
      </c>
      <c r="H109" s="38">
        <f>SUMIF(Payments!$D$4:$D$117,'Only Creditors'!B109,Payments!$E$4:$E$130)</f>
        <v>0</v>
      </c>
      <c r="I109" s="8">
        <v>34684</v>
      </c>
      <c r="J109" s="8">
        <v>34684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34684</v>
      </c>
      <c r="S109" s="8">
        <v>0</v>
      </c>
    </row>
    <row r="110" spans="1:19" x14ac:dyDescent="0.25">
      <c r="A110" s="7">
        <v>106</v>
      </c>
      <c r="B110" s="7" t="s">
        <v>166</v>
      </c>
      <c r="C110" s="7" t="s">
        <v>42</v>
      </c>
      <c r="D110" s="7" t="s">
        <v>90</v>
      </c>
      <c r="E110" s="7" t="s">
        <v>90</v>
      </c>
      <c r="F110" s="8">
        <f>SUM(N110:Q110)</f>
        <v>913160</v>
      </c>
      <c r="G110" s="55">
        <f>I110-H110</f>
        <v>913160</v>
      </c>
      <c r="H110" s="38">
        <f>SUMIF(Payments!$D$4:$D$117,'Only Creditors'!B110,Payments!$E$4:$E$130)</f>
        <v>0</v>
      </c>
      <c r="I110" s="8">
        <v>913160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913160</v>
      </c>
      <c r="R110" s="8">
        <v>913160</v>
      </c>
      <c r="S110" s="8">
        <v>0</v>
      </c>
    </row>
    <row r="111" spans="1:19" x14ac:dyDescent="0.25">
      <c r="A111" s="7">
        <v>107</v>
      </c>
      <c r="B111" s="7" t="s">
        <v>167</v>
      </c>
      <c r="C111" s="7" t="s">
        <v>42</v>
      </c>
      <c r="D111" s="7" t="s">
        <v>21</v>
      </c>
      <c r="E111" s="7" t="s">
        <v>29</v>
      </c>
      <c r="F111" s="8">
        <f>SUM(N111:Q111)</f>
        <v>0</v>
      </c>
      <c r="G111" s="55">
        <f>I111-H111</f>
        <v>162666</v>
      </c>
      <c r="H111" s="38">
        <f>SUMIF(Payments!$D$4:$D$117,'Only Creditors'!B111,Payments!$E$4:$E$130)</f>
        <v>100000</v>
      </c>
      <c r="I111" s="8">
        <v>262666</v>
      </c>
      <c r="J111" s="8">
        <v>262666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262666</v>
      </c>
      <c r="S111" s="8">
        <v>0</v>
      </c>
    </row>
    <row r="112" spans="1:19" x14ac:dyDescent="0.25">
      <c r="A112" s="7">
        <v>108</v>
      </c>
      <c r="B112" s="7" t="s">
        <v>168</v>
      </c>
      <c r="C112" s="7" t="s">
        <v>24</v>
      </c>
      <c r="D112" s="7" t="s">
        <v>21</v>
      </c>
      <c r="E112" s="7" t="s">
        <v>99</v>
      </c>
      <c r="F112" s="8">
        <f>SUM(N112:Q112)</f>
        <v>0</v>
      </c>
      <c r="G112" s="55">
        <f>I112-H112</f>
        <v>0</v>
      </c>
      <c r="H112" s="38">
        <f>SUMIF(Payments!$D$4:$D$117,'Only Creditors'!B112,Payments!$E$4:$E$130)</f>
        <v>18000</v>
      </c>
      <c r="I112" s="8">
        <v>18000</v>
      </c>
      <c r="J112" s="8">
        <v>18000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18000</v>
      </c>
      <c r="S112" s="8">
        <v>0</v>
      </c>
    </row>
    <row r="113" spans="1:19" x14ac:dyDescent="0.25">
      <c r="A113" s="7">
        <v>109</v>
      </c>
      <c r="B113" s="7" t="s">
        <v>169</v>
      </c>
      <c r="C113" s="7" t="s">
        <v>24</v>
      </c>
      <c r="D113" s="7" t="s">
        <v>90</v>
      </c>
      <c r="E113" s="7" t="s">
        <v>170</v>
      </c>
      <c r="F113" s="8">
        <f>SUM(N113:Q113)</f>
        <v>0</v>
      </c>
      <c r="G113" s="55">
        <f>I113-H113</f>
        <v>2105009.3199999998</v>
      </c>
      <c r="H113" s="38">
        <f>SUMIF(Payments!$D$4:$D$117,'Only Creditors'!B113,Payments!$E$4:$E$130)</f>
        <v>0</v>
      </c>
      <c r="I113" s="8">
        <v>2105009.3199999998</v>
      </c>
      <c r="J113" s="8">
        <v>2105009.3199999998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2105009.3199999998</v>
      </c>
      <c r="S113" s="8">
        <v>0</v>
      </c>
    </row>
    <row r="114" spans="1:19" x14ac:dyDescent="0.25">
      <c r="A114" s="7">
        <v>110</v>
      </c>
      <c r="B114" s="7" t="s">
        <v>171</v>
      </c>
      <c r="C114" s="7" t="s">
        <v>82</v>
      </c>
      <c r="D114" s="7" t="s">
        <v>21</v>
      </c>
      <c r="E114" s="7" t="s">
        <v>22</v>
      </c>
      <c r="F114" s="7" t="s">
        <v>2047</v>
      </c>
      <c r="G114" s="55">
        <f>I114-H114</f>
        <v>600</v>
      </c>
      <c r="H114" s="38">
        <f>SUMIF(Payments!$D$4:$D$117,'Only Creditors'!B114,Payments!$E$4:$E$130)</f>
        <v>0</v>
      </c>
      <c r="I114" s="8">
        <v>600</v>
      </c>
      <c r="J114" s="8">
        <v>600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600</v>
      </c>
      <c r="S114" s="8">
        <v>0</v>
      </c>
    </row>
    <row r="115" spans="1:19" x14ac:dyDescent="0.25">
      <c r="A115" s="7">
        <v>111</v>
      </c>
      <c r="B115" s="7" t="s">
        <v>172</v>
      </c>
      <c r="C115" s="7" t="s">
        <v>20</v>
      </c>
      <c r="D115" s="7" t="s">
        <v>21</v>
      </c>
      <c r="E115" s="7" t="s">
        <v>22</v>
      </c>
      <c r="F115" s="8">
        <f>SUM(N115:Q115)</f>
        <v>0</v>
      </c>
      <c r="G115" s="55">
        <f>I115-H115</f>
        <v>562500</v>
      </c>
      <c r="H115" s="38">
        <f>SUMIF(Payments!$D$4:$D$117,'Only Creditors'!B115,Payments!$E$4:$E$130)</f>
        <v>0</v>
      </c>
      <c r="I115" s="8">
        <v>562500</v>
      </c>
      <c r="J115" s="8">
        <v>67500</v>
      </c>
      <c r="K115" s="8">
        <v>495000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562500</v>
      </c>
      <c r="S115" s="8">
        <v>0</v>
      </c>
    </row>
    <row r="116" spans="1:19" x14ac:dyDescent="0.25">
      <c r="A116" s="7">
        <v>112</v>
      </c>
      <c r="B116" s="7" t="s">
        <v>173</v>
      </c>
      <c r="C116" s="7" t="s">
        <v>28</v>
      </c>
      <c r="D116" s="7" t="s">
        <v>90</v>
      </c>
      <c r="E116" s="7" t="s">
        <v>90</v>
      </c>
      <c r="F116" s="8">
        <f>SUM(N116:Q116)</f>
        <v>0</v>
      </c>
      <c r="G116" s="55">
        <f>I116-H116</f>
        <v>27840</v>
      </c>
      <c r="H116" s="38">
        <f>SUMIF(Payments!$D$4:$D$117,'Only Creditors'!B116,Payments!$E$4:$E$130)</f>
        <v>199520</v>
      </c>
      <c r="I116" s="8">
        <v>227360</v>
      </c>
      <c r="J116" s="8">
        <v>0</v>
      </c>
      <c r="K116" s="8">
        <v>227360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227360</v>
      </c>
      <c r="S116" s="8">
        <v>0</v>
      </c>
    </row>
    <row r="117" spans="1:19" x14ac:dyDescent="0.25">
      <c r="A117" s="7">
        <v>113</v>
      </c>
      <c r="B117" s="7" t="s">
        <v>174</v>
      </c>
      <c r="C117" s="7" t="s">
        <v>42</v>
      </c>
      <c r="D117" s="7" t="s">
        <v>21</v>
      </c>
      <c r="E117" s="7" t="s">
        <v>101</v>
      </c>
      <c r="F117" s="8">
        <f>SUM(N117:Q117)</f>
        <v>0</v>
      </c>
      <c r="G117" s="55">
        <f>I117-H117</f>
        <v>655955.28</v>
      </c>
      <c r="H117" s="38">
        <f>SUMIF(Payments!$D$4:$D$117,'Only Creditors'!B117,Payments!$E$4:$E$130)</f>
        <v>0</v>
      </c>
      <c r="I117" s="8">
        <v>655955.28</v>
      </c>
      <c r="J117" s="8">
        <v>167735</v>
      </c>
      <c r="K117" s="8">
        <v>0</v>
      </c>
      <c r="L117" s="8">
        <v>22868.400000000001</v>
      </c>
      <c r="M117" s="8">
        <v>465351.88</v>
      </c>
      <c r="N117" s="8">
        <v>0</v>
      </c>
      <c r="O117" s="8">
        <v>0</v>
      </c>
      <c r="P117" s="8">
        <v>0</v>
      </c>
      <c r="Q117" s="8">
        <v>0</v>
      </c>
      <c r="R117" s="8">
        <v>655955.28</v>
      </c>
      <c r="S117" s="8">
        <v>0</v>
      </c>
    </row>
    <row r="118" spans="1:19" x14ac:dyDescent="0.25">
      <c r="A118" s="7">
        <v>114</v>
      </c>
      <c r="B118" s="7" t="s">
        <v>175</v>
      </c>
      <c r="C118" s="7" t="s">
        <v>24</v>
      </c>
      <c r="D118" s="7" t="s">
        <v>21</v>
      </c>
      <c r="E118" s="7" t="s">
        <v>21</v>
      </c>
      <c r="F118" s="7" t="s">
        <v>2047</v>
      </c>
      <c r="G118" s="55">
        <f>I118-H118</f>
        <v>60700</v>
      </c>
      <c r="H118" s="38">
        <f>SUMIF(Payments!$D$4:$D$117,'Only Creditors'!B118,Payments!$E$4:$E$130)</f>
        <v>0</v>
      </c>
      <c r="I118" s="8">
        <v>60700</v>
      </c>
      <c r="J118" s="8">
        <v>60700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60700</v>
      </c>
      <c r="S118" s="8">
        <v>0</v>
      </c>
    </row>
    <row r="119" spans="1:19" x14ac:dyDescent="0.25">
      <c r="A119" s="7">
        <v>115</v>
      </c>
      <c r="B119" s="7" t="s">
        <v>176</v>
      </c>
      <c r="C119" s="7" t="s">
        <v>82</v>
      </c>
      <c r="D119" s="7" t="s">
        <v>21</v>
      </c>
      <c r="E119" s="7" t="s">
        <v>22</v>
      </c>
      <c r="F119" s="8">
        <f>SUM(N119:Q119)</f>
        <v>263520</v>
      </c>
      <c r="G119" s="55">
        <f>I119-H119</f>
        <v>263520</v>
      </c>
      <c r="H119" s="38">
        <f>SUMIF(Payments!$D$4:$D$117,'Only Creditors'!B119,Payments!$E$4:$E$130)</f>
        <v>0</v>
      </c>
      <c r="I119" s="8">
        <v>263520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263520</v>
      </c>
      <c r="P119" s="8">
        <v>0</v>
      </c>
      <c r="Q119" s="8">
        <v>0</v>
      </c>
      <c r="R119" s="8">
        <v>263520</v>
      </c>
      <c r="S119" s="8">
        <v>0</v>
      </c>
    </row>
    <row r="120" spans="1:19" x14ac:dyDescent="0.25">
      <c r="A120" s="7">
        <v>116</v>
      </c>
      <c r="B120" s="7" t="s">
        <v>177</v>
      </c>
      <c r="C120" s="7" t="s">
        <v>42</v>
      </c>
      <c r="D120" s="7" t="s">
        <v>55</v>
      </c>
      <c r="E120" s="7" t="s">
        <v>178</v>
      </c>
      <c r="F120" s="8">
        <f>SUM(N120:Q120)</f>
        <v>0</v>
      </c>
      <c r="G120" s="55">
        <f>I120-H120</f>
        <v>0</v>
      </c>
      <c r="H120" s="38">
        <f>SUMIF(Payments!$D$4:$D$117,'Only Creditors'!B120,Payments!$E$4:$E$130)</f>
        <v>1000</v>
      </c>
      <c r="I120" s="8">
        <v>1000</v>
      </c>
      <c r="J120" s="8">
        <v>0</v>
      </c>
      <c r="K120" s="8">
        <v>0</v>
      </c>
      <c r="L120" s="8">
        <v>1000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1000</v>
      </c>
      <c r="S120" s="8">
        <v>0</v>
      </c>
    </row>
    <row r="121" spans="1:19" x14ac:dyDescent="0.25">
      <c r="A121" s="7">
        <v>117</v>
      </c>
      <c r="B121" s="7" t="s">
        <v>179</v>
      </c>
      <c r="C121" s="7" t="s">
        <v>49</v>
      </c>
      <c r="D121" s="7" t="s">
        <v>21</v>
      </c>
      <c r="E121" s="7" t="s">
        <v>101</v>
      </c>
      <c r="F121" s="8">
        <f>SUM(N121:Q121)</f>
        <v>0</v>
      </c>
      <c r="G121" s="55">
        <f>I121-H121</f>
        <v>3136</v>
      </c>
      <c r="H121" s="38">
        <f>SUMIF(Payments!$D$4:$D$117,'Only Creditors'!B121,Payments!$E$4:$E$130)</f>
        <v>0</v>
      </c>
      <c r="I121" s="8">
        <v>3136</v>
      </c>
      <c r="J121" s="8">
        <v>3136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3136</v>
      </c>
      <c r="S121" s="8">
        <v>0</v>
      </c>
    </row>
    <row r="122" spans="1:19" x14ac:dyDescent="0.25">
      <c r="A122" s="7">
        <v>118</v>
      </c>
      <c r="B122" s="7" t="s">
        <v>180</v>
      </c>
      <c r="C122" s="7" t="s">
        <v>66</v>
      </c>
      <c r="D122" s="7" t="s">
        <v>25</v>
      </c>
      <c r="E122" s="7" t="s">
        <v>26</v>
      </c>
      <c r="F122" s="8">
        <f>SUM(N122:Q122)</f>
        <v>0</v>
      </c>
      <c r="G122" s="55">
        <f>I122-H122</f>
        <v>457660.3</v>
      </c>
      <c r="H122" s="38">
        <f>SUMIF(Payments!$D$4:$D$117,'Only Creditors'!B122,Payments!$E$4:$E$130)</f>
        <v>0</v>
      </c>
      <c r="I122" s="8">
        <v>457660.3</v>
      </c>
      <c r="J122" s="8">
        <v>457660.3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457660.3</v>
      </c>
      <c r="S122" s="8">
        <v>0</v>
      </c>
    </row>
    <row r="123" spans="1:19" x14ac:dyDescent="0.25">
      <c r="A123" s="7">
        <v>119</v>
      </c>
      <c r="B123" s="7" t="s">
        <v>181</v>
      </c>
      <c r="C123" s="7" t="s">
        <v>33</v>
      </c>
      <c r="D123" s="7" t="s">
        <v>25</v>
      </c>
      <c r="E123" s="7" t="s">
        <v>26</v>
      </c>
      <c r="F123" s="8">
        <f>SUM(N123:Q123)</f>
        <v>0</v>
      </c>
      <c r="G123" s="55">
        <f>I123-H123</f>
        <v>212652.48</v>
      </c>
      <c r="H123" s="38">
        <f>SUMIF(Payments!$D$4:$D$117,'Only Creditors'!B123,Payments!$E$4:$E$130)</f>
        <v>0</v>
      </c>
      <c r="I123" s="8">
        <v>212652.48</v>
      </c>
      <c r="J123" s="8">
        <v>212652.48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212652.48</v>
      </c>
      <c r="S123" s="8">
        <v>0</v>
      </c>
    </row>
    <row r="124" spans="1:19" x14ac:dyDescent="0.25">
      <c r="A124" s="7">
        <v>120</v>
      </c>
      <c r="B124" s="7" t="s">
        <v>182</v>
      </c>
      <c r="C124" s="7" t="s">
        <v>45</v>
      </c>
      <c r="D124" s="7" t="s">
        <v>21</v>
      </c>
      <c r="E124" s="7" t="s">
        <v>101</v>
      </c>
      <c r="F124" s="8">
        <f>SUM(N124:Q124)</f>
        <v>0</v>
      </c>
      <c r="G124" s="55">
        <f>I124-H124</f>
        <v>602991.98</v>
      </c>
      <c r="H124" s="38">
        <f>SUMIF(Payments!$D$4:$D$117,'Only Creditors'!B124,Payments!$E$4:$E$130)</f>
        <v>0</v>
      </c>
      <c r="I124" s="8">
        <v>602991.98</v>
      </c>
      <c r="J124" s="8">
        <v>458649</v>
      </c>
      <c r="K124" s="8">
        <v>144342.98000000001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602991.98</v>
      </c>
      <c r="S124" s="8">
        <v>0</v>
      </c>
    </row>
    <row r="125" spans="1:19" x14ac:dyDescent="0.25">
      <c r="A125" s="7">
        <v>121</v>
      </c>
      <c r="B125" s="7" t="s">
        <v>183</v>
      </c>
      <c r="C125" s="7" t="s">
        <v>28</v>
      </c>
      <c r="D125" s="7" t="s">
        <v>21</v>
      </c>
      <c r="E125" s="7" t="s">
        <v>2031</v>
      </c>
      <c r="F125" s="7" t="s">
        <v>2047</v>
      </c>
      <c r="G125" s="55">
        <f>I125-H125</f>
        <v>99093</v>
      </c>
      <c r="H125" s="38">
        <f>SUMIF(Payments!$D$4:$D$117,'Only Creditors'!B125,Payments!$E$4:$E$130)</f>
        <v>0</v>
      </c>
      <c r="I125" s="8">
        <v>99093</v>
      </c>
      <c r="J125" s="8">
        <v>99093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99093</v>
      </c>
      <c r="S125" s="8">
        <v>0</v>
      </c>
    </row>
    <row r="126" spans="1:19" x14ac:dyDescent="0.25">
      <c r="A126" s="7">
        <v>122</v>
      </c>
      <c r="B126" s="7" t="s">
        <v>184</v>
      </c>
      <c r="C126" s="7" t="s">
        <v>49</v>
      </c>
      <c r="D126" s="7" t="s">
        <v>21</v>
      </c>
      <c r="E126" s="7" t="s">
        <v>40</v>
      </c>
      <c r="F126" s="7" t="s">
        <v>2047</v>
      </c>
      <c r="G126" s="55">
        <f>I126-H126</f>
        <v>33320</v>
      </c>
      <c r="H126" s="38">
        <f>SUMIF(Payments!$D$4:$D$117,'Only Creditors'!B126,Payments!$E$4:$E$130)</f>
        <v>0</v>
      </c>
      <c r="I126" s="8">
        <v>33320</v>
      </c>
      <c r="J126" s="8">
        <v>33320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33320</v>
      </c>
      <c r="S126" s="8">
        <v>0</v>
      </c>
    </row>
    <row r="127" spans="1:19" x14ac:dyDescent="0.25">
      <c r="A127" s="7">
        <v>123</v>
      </c>
      <c r="B127" s="7" t="s">
        <v>185</v>
      </c>
      <c r="C127" s="7" t="s">
        <v>42</v>
      </c>
      <c r="D127" s="7" t="s">
        <v>21</v>
      </c>
      <c r="E127" s="7" t="s">
        <v>2031</v>
      </c>
      <c r="F127" s="8">
        <f>SUM(N127:Q127)</f>
        <v>0</v>
      </c>
      <c r="G127" s="55">
        <f>I127-H127</f>
        <v>168548</v>
      </c>
      <c r="H127" s="38">
        <f>SUMIF(Payments!$D$4:$D$117,'Only Creditors'!B127,Payments!$E$4:$E$130)</f>
        <v>0</v>
      </c>
      <c r="I127" s="8">
        <v>168548</v>
      </c>
      <c r="J127" s="8">
        <v>168548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168548</v>
      </c>
      <c r="S127" s="8">
        <v>0</v>
      </c>
    </row>
    <row r="128" spans="1:19" x14ac:dyDescent="0.25">
      <c r="A128" s="7">
        <v>124</v>
      </c>
      <c r="B128" s="7" t="s">
        <v>186</v>
      </c>
      <c r="C128" s="7" t="s">
        <v>154</v>
      </c>
      <c r="D128" s="7" t="s">
        <v>25</v>
      </c>
      <c r="E128" s="7" t="s">
        <v>26</v>
      </c>
      <c r="F128" s="8">
        <f>SUM(N128:Q128)</f>
        <v>0</v>
      </c>
      <c r="G128" s="55">
        <f>I128-H128</f>
        <v>89173</v>
      </c>
      <c r="H128" s="38">
        <f>SUMIF(Payments!$D$4:$D$117,'Only Creditors'!B128,Payments!$E$4:$E$130)</f>
        <v>241290</v>
      </c>
      <c r="I128" s="8">
        <v>330463</v>
      </c>
      <c r="J128" s="8">
        <v>330463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330463</v>
      </c>
      <c r="S128" s="8">
        <v>0</v>
      </c>
    </row>
    <row r="129" spans="1:19" x14ac:dyDescent="0.25">
      <c r="A129" s="7">
        <v>125</v>
      </c>
      <c r="B129" s="7" t="s">
        <v>187</v>
      </c>
      <c r="C129" s="7" t="s">
        <v>33</v>
      </c>
      <c r="D129" s="7" t="s">
        <v>35</v>
      </c>
      <c r="E129" s="7" t="s">
        <v>35</v>
      </c>
      <c r="F129" s="8">
        <f>SUM(N129:Q129)</f>
        <v>0</v>
      </c>
      <c r="G129" s="55">
        <f>I129-H129</f>
        <v>2035698.37</v>
      </c>
      <c r="H129" s="38">
        <f>SUMIF(Payments!$D$4:$D$117,'Only Creditors'!B129,Payments!$E$4:$E$130)</f>
        <v>0</v>
      </c>
      <c r="I129" s="8">
        <v>2035698.37</v>
      </c>
      <c r="J129" s="8">
        <v>1614191.04</v>
      </c>
      <c r="K129" s="8">
        <v>421507.33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2035698.37</v>
      </c>
      <c r="S129" s="8">
        <v>0</v>
      </c>
    </row>
    <row r="130" spans="1:19" x14ac:dyDescent="0.25">
      <c r="A130" s="7">
        <v>126</v>
      </c>
      <c r="B130" s="7" t="s">
        <v>188</v>
      </c>
      <c r="C130" s="7" t="s">
        <v>42</v>
      </c>
      <c r="D130" s="7" t="s">
        <v>21</v>
      </c>
      <c r="E130" s="7" t="s">
        <v>189</v>
      </c>
      <c r="F130" s="8">
        <f>SUM(N130:Q130)</f>
        <v>0</v>
      </c>
      <c r="G130" s="55">
        <f>I130-H130</f>
        <v>350065.8</v>
      </c>
      <c r="H130" s="38">
        <f>SUMIF(Payments!$D$4:$D$117,'Only Creditors'!B130,Payments!$E$4:$E$130)</f>
        <v>0</v>
      </c>
      <c r="I130" s="8">
        <v>350065.8</v>
      </c>
      <c r="J130" s="8">
        <v>350065.8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350065.8</v>
      </c>
      <c r="S130" s="8">
        <v>0</v>
      </c>
    </row>
    <row r="131" spans="1:19" x14ac:dyDescent="0.25">
      <c r="A131" s="7">
        <v>127</v>
      </c>
      <c r="B131" s="7" t="s">
        <v>190</v>
      </c>
      <c r="C131" s="7" t="s">
        <v>42</v>
      </c>
      <c r="D131" s="7" t="s">
        <v>21</v>
      </c>
      <c r="E131" s="7" t="s">
        <v>101</v>
      </c>
      <c r="F131" s="8">
        <f>SUM(N131:Q131)</f>
        <v>0</v>
      </c>
      <c r="G131" s="55">
        <f>I131-H131</f>
        <v>5039.1000000000004</v>
      </c>
      <c r="H131" s="38">
        <f>SUMIF(Payments!$D$4:$D$117,'Only Creditors'!B131,Payments!$E$4:$E$130)</f>
        <v>0</v>
      </c>
      <c r="I131" s="8">
        <v>5039.1000000000004</v>
      </c>
      <c r="J131" s="8">
        <v>5039.1000000000004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5039.1000000000004</v>
      </c>
      <c r="S131" s="8">
        <v>0</v>
      </c>
    </row>
    <row r="132" spans="1:19" x14ac:dyDescent="0.25">
      <c r="A132" s="7">
        <v>128</v>
      </c>
      <c r="B132" s="7" t="s">
        <v>191</v>
      </c>
      <c r="C132" s="7" t="s">
        <v>161</v>
      </c>
      <c r="D132" s="7" t="s">
        <v>21</v>
      </c>
      <c r="E132" s="7" t="s">
        <v>40</v>
      </c>
      <c r="F132" s="8">
        <f>SUM(N132:Q132)</f>
        <v>425184.61</v>
      </c>
      <c r="G132" s="55">
        <f>I132-H132</f>
        <v>425184.61</v>
      </c>
      <c r="H132" s="38">
        <f>SUMIF(Payments!$D$4:$D$117,'Only Creditors'!B132,Payments!$E$4:$E$130)</f>
        <v>0</v>
      </c>
      <c r="I132" s="8">
        <v>425184.61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425184.61</v>
      </c>
      <c r="Q132" s="8">
        <v>0</v>
      </c>
      <c r="R132" s="8">
        <v>425184.61</v>
      </c>
      <c r="S132" s="8">
        <v>0</v>
      </c>
    </row>
    <row r="133" spans="1:19" x14ac:dyDescent="0.25">
      <c r="A133" s="7">
        <v>129</v>
      </c>
      <c r="B133" s="7" t="s">
        <v>192</v>
      </c>
      <c r="C133" s="7" t="s">
        <v>49</v>
      </c>
      <c r="D133" s="7" t="s">
        <v>90</v>
      </c>
      <c r="E133" s="7" t="s">
        <v>90</v>
      </c>
      <c r="F133" s="8">
        <f>SUM(N133:Q133)</f>
        <v>0</v>
      </c>
      <c r="G133" s="55">
        <f>I133-H133</f>
        <v>177912.68</v>
      </c>
      <c r="H133" s="38">
        <f>SUMIF(Payments!$D$4:$D$117,'Only Creditors'!B133,Payments!$E$4:$E$130)</f>
        <v>0</v>
      </c>
      <c r="I133" s="8">
        <v>177912.68</v>
      </c>
      <c r="J133" s="8">
        <v>0</v>
      </c>
      <c r="K133" s="8">
        <v>177912.68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177912.68</v>
      </c>
      <c r="S133" s="8">
        <v>0</v>
      </c>
    </row>
    <row r="134" spans="1:19" x14ac:dyDescent="0.25">
      <c r="A134" s="7">
        <v>130</v>
      </c>
      <c r="B134" s="7" t="s">
        <v>193</v>
      </c>
      <c r="C134" s="7" t="s">
        <v>45</v>
      </c>
      <c r="D134" s="7" t="s">
        <v>21</v>
      </c>
      <c r="E134" s="7" t="s">
        <v>21</v>
      </c>
      <c r="F134" s="8">
        <f>SUM(N134:Q134)</f>
        <v>0</v>
      </c>
      <c r="G134" s="55">
        <f>I134-H134</f>
        <v>0</v>
      </c>
      <c r="H134" s="38">
        <f>SUMIF(Payments!$D$4:$D$117,'Only Creditors'!B134,Payments!$E$4:$E$130)</f>
        <v>122052.63</v>
      </c>
      <c r="I134" s="8">
        <v>122052.63</v>
      </c>
      <c r="J134" s="8">
        <v>122052.63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122052.63</v>
      </c>
      <c r="S134" s="8">
        <v>0</v>
      </c>
    </row>
    <row r="135" spans="1:19" x14ac:dyDescent="0.25">
      <c r="A135" s="7">
        <v>131</v>
      </c>
      <c r="B135" s="7" t="s">
        <v>194</v>
      </c>
      <c r="C135" s="7" t="s">
        <v>57</v>
      </c>
      <c r="D135" s="7" t="s">
        <v>21</v>
      </c>
      <c r="E135" s="7" t="s">
        <v>195</v>
      </c>
      <c r="F135" s="8">
        <f>SUM(N135:Q135)</f>
        <v>172046</v>
      </c>
      <c r="G135" s="55">
        <f>I135-H135</f>
        <v>13113448.109999999</v>
      </c>
      <c r="H135" s="38">
        <f>SUMIF(Payments!$D$4:$D$117,'Only Creditors'!B135,Payments!$E$4:$E$130)</f>
        <v>2192060</v>
      </c>
      <c r="I135" s="8">
        <v>15305508.109999999</v>
      </c>
      <c r="J135" s="8">
        <v>7129244.0999999996</v>
      </c>
      <c r="K135" s="8">
        <v>4913351.01</v>
      </c>
      <c r="L135" s="8">
        <v>2479029</v>
      </c>
      <c r="M135" s="8">
        <v>611838</v>
      </c>
      <c r="N135" s="8">
        <v>0</v>
      </c>
      <c r="O135" s="8">
        <v>0</v>
      </c>
      <c r="P135" s="8">
        <v>0</v>
      </c>
      <c r="Q135" s="8">
        <v>172046</v>
      </c>
      <c r="R135" s="8">
        <v>15305508.109999999</v>
      </c>
      <c r="S135" s="8">
        <v>0</v>
      </c>
    </row>
    <row r="136" spans="1:19" x14ac:dyDescent="0.25">
      <c r="A136" s="7">
        <v>132</v>
      </c>
      <c r="B136" s="7" t="s">
        <v>196</v>
      </c>
      <c r="C136" s="7" t="s">
        <v>28</v>
      </c>
      <c r="D136" s="7" t="s">
        <v>21</v>
      </c>
      <c r="E136" s="7" t="s">
        <v>26</v>
      </c>
      <c r="F136" s="8">
        <f>SUM(N136:Q136)</f>
        <v>200928.42</v>
      </c>
      <c r="G136" s="55">
        <f>I136-H136</f>
        <v>1700119.74</v>
      </c>
      <c r="H136" s="38">
        <f>SUMIF(Payments!$D$4:$D$117,'Only Creditors'!B136,Payments!$E$4:$E$130)</f>
        <v>0</v>
      </c>
      <c r="I136" s="8">
        <v>1700119.74</v>
      </c>
      <c r="J136" s="8">
        <v>663250.82999999996</v>
      </c>
      <c r="K136" s="8">
        <v>835940.49</v>
      </c>
      <c r="L136" s="8">
        <v>0</v>
      </c>
      <c r="M136" s="8">
        <v>0</v>
      </c>
      <c r="N136" s="8">
        <v>0</v>
      </c>
      <c r="O136" s="8">
        <v>0</v>
      </c>
      <c r="P136" s="8">
        <v>200928.42</v>
      </c>
      <c r="Q136" s="8">
        <v>0</v>
      </c>
      <c r="R136" s="8">
        <v>1700119.74</v>
      </c>
      <c r="S136" s="8">
        <v>0</v>
      </c>
    </row>
    <row r="137" spans="1:19" x14ac:dyDescent="0.25">
      <c r="A137" s="7">
        <v>133</v>
      </c>
      <c r="B137" s="7" t="s">
        <v>197</v>
      </c>
      <c r="C137" s="7" t="s">
        <v>42</v>
      </c>
      <c r="D137" s="7" t="s">
        <v>90</v>
      </c>
      <c r="E137" s="7" t="s">
        <v>90</v>
      </c>
      <c r="F137" s="8">
        <f>SUM(N137:Q137)</f>
        <v>468716.28</v>
      </c>
      <c r="G137" s="55">
        <f>I137-H137</f>
        <v>814639.08000000007</v>
      </c>
      <c r="H137" s="38">
        <f>SUMIF(Payments!$D$4:$D$117,'Only Creditors'!B137,Payments!$E$4:$E$130)</f>
        <v>300000</v>
      </c>
      <c r="I137" s="8">
        <v>1114639.08</v>
      </c>
      <c r="J137" s="8">
        <v>0</v>
      </c>
      <c r="K137" s="8">
        <v>0</v>
      </c>
      <c r="L137" s="8">
        <v>645922.80000000005</v>
      </c>
      <c r="M137" s="8">
        <v>0</v>
      </c>
      <c r="N137" s="8">
        <v>0</v>
      </c>
      <c r="O137" s="8">
        <v>468716.28</v>
      </c>
      <c r="P137" s="8">
        <v>0</v>
      </c>
      <c r="Q137" s="8">
        <v>0</v>
      </c>
      <c r="R137" s="8">
        <v>1114639.08</v>
      </c>
      <c r="S137" s="8">
        <v>0</v>
      </c>
    </row>
    <row r="138" spans="1:19" x14ac:dyDescent="0.25">
      <c r="A138" s="7">
        <v>134</v>
      </c>
      <c r="B138" s="7" t="s">
        <v>198</v>
      </c>
      <c r="C138" s="7" t="s">
        <v>199</v>
      </c>
      <c r="D138" s="7" t="s">
        <v>21</v>
      </c>
      <c r="E138" s="7" t="s">
        <v>22</v>
      </c>
      <c r="F138" s="8">
        <f>SUM(N138:Q138)</f>
        <v>0</v>
      </c>
      <c r="G138" s="55">
        <f>I138-H138</f>
        <v>0</v>
      </c>
      <c r="H138" s="38">
        <f>SUMIF(Payments!$D$4:$D$117,'Only Creditors'!B138,Payments!$E$4:$E$130)</f>
        <v>136560.6</v>
      </c>
      <c r="I138" s="8">
        <v>136560.6</v>
      </c>
      <c r="J138" s="8">
        <v>136560.6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136560.6</v>
      </c>
      <c r="S138" s="8">
        <v>0</v>
      </c>
    </row>
    <row r="139" spans="1:19" x14ac:dyDescent="0.25">
      <c r="A139" s="7">
        <v>135</v>
      </c>
      <c r="B139" s="7" t="s">
        <v>200</v>
      </c>
      <c r="C139" s="7" t="s">
        <v>33</v>
      </c>
      <c r="D139" s="7" t="s">
        <v>21</v>
      </c>
      <c r="E139" s="7" t="s">
        <v>157</v>
      </c>
      <c r="F139" s="8">
        <f>SUM(N139:Q139)</f>
        <v>666028.64</v>
      </c>
      <c r="G139" s="55">
        <f>I139-H139</f>
        <v>666028.64</v>
      </c>
      <c r="H139" s="38">
        <f>SUMIF(Payments!$D$4:$D$117,'Only Creditors'!B139,Payments!$E$4:$E$130)</f>
        <v>0</v>
      </c>
      <c r="I139" s="8">
        <v>666028.64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240091.42</v>
      </c>
      <c r="Q139" s="8">
        <v>425937.22</v>
      </c>
      <c r="R139" s="8">
        <v>666028.64</v>
      </c>
      <c r="S139" s="8">
        <v>0</v>
      </c>
    </row>
    <row r="140" spans="1:19" x14ac:dyDescent="0.25">
      <c r="A140" s="7">
        <v>136</v>
      </c>
      <c r="B140" s="7" t="s">
        <v>201</v>
      </c>
      <c r="C140" s="7" t="s">
        <v>33</v>
      </c>
      <c r="D140" s="7" t="s">
        <v>25</v>
      </c>
      <c r="E140" s="7" t="s">
        <v>26</v>
      </c>
      <c r="F140" s="8">
        <f>SUM(N140:Q140)</f>
        <v>0</v>
      </c>
      <c r="G140" s="55">
        <f>I140-H140</f>
        <v>1140425.8899999999</v>
      </c>
      <c r="H140" s="38">
        <f>SUMIF(Payments!$D$4:$D$117,'Only Creditors'!B140,Payments!$E$4:$E$130)</f>
        <v>0</v>
      </c>
      <c r="I140" s="8">
        <v>1140425.8899999999</v>
      </c>
      <c r="J140" s="8">
        <v>375474.46</v>
      </c>
      <c r="K140" s="8">
        <v>681092.12</v>
      </c>
      <c r="L140" s="8">
        <v>83859.31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1140425.8899999999</v>
      </c>
      <c r="S140" s="8">
        <v>0</v>
      </c>
    </row>
    <row r="141" spans="1:19" x14ac:dyDescent="0.25">
      <c r="A141" s="7">
        <v>137</v>
      </c>
      <c r="B141" s="7" t="s">
        <v>202</v>
      </c>
      <c r="C141" s="7" t="s">
        <v>28</v>
      </c>
      <c r="D141" s="7" t="s">
        <v>21</v>
      </c>
      <c r="E141" s="7" t="s">
        <v>157</v>
      </c>
      <c r="F141" s="8">
        <f>SUM(N141:Q141)</f>
        <v>0</v>
      </c>
      <c r="G141" s="55">
        <f>I141-H141</f>
        <v>410912.37</v>
      </c>
      <c r="H141" s="38">
        <f>SUMIF(Payments!$D$4:$D$117,'Only Creditors'!B141,Payments!$E$4:$E$130)</f>
        <v>0</v>
      </c>
      <c r="I141" s="8">
        <v>410912.37</v>
      </c>
      <c r="J141" s="8">
        <v>410912.37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410912.37</v>
      </c>
      <c r="S141" s="8">
        <v>0</v>
      </c>
    </row>
    <row r="142" spans="1:19" x14ac:dyDescent="0.25">
      <c r="A142" s="7">
        <v>138</v>
      </c>
      <c r="B142" s="7" t="s">
        <v>203</v>
      </c>
      <c r="C142" s="7" t="s">
        <v>66</v>
      </c>
      <c r="D142" s="7" t="s">
        <v>25</v>
      </c>
      <c r="E142" s="7" t="s">
        <v>26</v>
      </c>
      <c r="F142" s="8">
        <f>SUM(N142:Q142)</f>
        <v>3601745</v>
      </c>
      <c r="G142" s="55">
        <f>I142-H142</f>
        <v>7078932</v>
      </c>
      <c r="H142" s="38">
        <f>SUMIF(Payments!$D$4:$D$117,'Only Creditors'!B142,Payments!$E$4:$E$130)</f>
        <v>0</v>
      </c>
      <c r="I142" s="8">
        <v>7078932</v>
      </c>
      <c r="J142" s="8">
        <v>914585</v>
      </c>
      <c r="K142" s="8">
        <v>1091720</v>
      </c>
      <c r="L142" s="8">
        <v>678062</v>
      </c>
      <c r="M142" s="8">
        <v>792820</v>
      </c>
      <c r="N142" s="8">
        <v>1661590</v>
      </c>
      <c r="O142" s="8">
        <v>1940155</v>
      </c>
      <c r="P142" s="8">
        <v>0</v>
      </c>
      <c r="Q142" s="8">
        <v>0</v>
      </c>
      <c r="R142" s="8">
        <v>7078932</v>
      </c>
      <c r="S142" s="8">
        <v>0</v>
      </c>
    </row>
    <row r="143" spans="1:19" x14ac:dyDescent="0.25">
      <c r="A143" s="7">
        <v>139</v>
      </c>
      <c r="B143" s="7" t="s">
        <v>204</v>
      </c>
      <c r="C143" s="7" t="s">
        <v>20</v>
      </c>
      <c r="D143" s="7" t="s">
        <v>25</v>
      </c>
      <c r="E143" s="7" t="s">
        <v>26</v>
      </c>
      <c r="F143" s="7" t="s">
        <v>2047</v>
      </c>
      <c r="G143" s="55">
        <f>I143-H143</f>
        <v>4189</v>
      </c>
      <c r="H143" s="38">
        <f>SUMIF(Payments!$D$4:$D$117,'Only Creditors'!B143,Payments!$E$4:$E$130)</f>
        <v>0</v>
      </c>
      <c r="I143" s="8">
        <v>4189</v>
      </c>
      <c r="J143" s="8">
        <v>4189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4189</v>
      </c>
      <c r="S143" s="8">
        <v>0</v>
      </c>
    </row>
    <row r="144" spans="1:19" x14ac:dyDescent="0.25">
      <c r="A144" s="7">
        <v>140</v>
      </c>
      <c r="B144" s="7" t="s">
        <v>205</v>
      </c>
      <c r="C144" s="7" t="s">
        <v>154</v>
      </c>
      <c r="D144" s="7" t="s">
        <v>25</v>
      </c>
      <c r="E144" s="7" t="s">
        <v>26</v>
      </c>
      <c r="F144" s="7" t="s">
        <v>2047</v>
      </c>
      <c r="G144" s="55">
        <f>I144-H144</f>
        <v>0</v>
      </c>
      <c r="H144" s="38">
        <f>SUMIF(Payments!$D$4:$D$117,'Only Creditors'!B144,Payments!$E$4:$E$130)</f>
        <v>65170</v>
      </c>
      <c r="I144" s="8">
        <v>65170</v>
      </c>
      <c r="J144" s="8">
        <v>65170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65170</v>
      </c>
      <c r="S144" s="8">
        <v>0</v>
      </c>
    </row>
    <row r="145" spans="1:19" x14ac:dyDescent="0.25">
      <c r="A145" s="7">
        <v>141</v>
      </c>
      <c r="B145" s="7" t="s">
        <v>206</v>
      </c>
      <c r="C145" s="7" t="s">
        <v>42</v>
      </c>
      <c r="D145" s="7" t="s">
        <v>25</v>
      </c>
      <c r="E145" s="7" t="s">
        <v>26</v>
      </c>
      <c r="F145" s="8">
        <f>SUM(N145:Q145)</f>
        <v>0</v>
      </c>
      <c r="G145" s="55">
        <f>I145-H145</f>
        <v>0</v>
      </c>
      <c r="H145" s="38">
        <f>SUMIF(Payments!$D$4:$D$117,'Only Creditors'!B145,Payments!$E$4:$E$130)</f>
        <v>373688</v>
      </c>
      <c r="I145" s="8">
        <v>373688</v>
      </c>
      <c r="J145" s="8">
        <v>0</v>
      </c>
      <c r="K145" s="8">
        <v>0</v>
      </c>
      <c r="L145" s="8">
        <v>214820</v>
      </c>
      <c r="M145" s="8">
        <v>158868</v>
      </c>
      <c r="N145" s="8">
        <v>0</v>
      </c>
      <c r="O145" s="8">
        <v>0</v>
      </c>
      <c r="P145" s="8">
        <v>0</v>
      </c>
      <c r="Q145" s="8">
        <v>0</v>
      </c>
      <c r="R145" s="8">
        <v>373688</v>
      </c>
      <c r="S145" s="8">
        <v>0</v>
      </c>
    </row>
    <row r="146" spans="1:19" x14ac:dyDescent="0.25">
      <c r="A146" s="7">
        <v>142</v>
      </c>
      <c r="B146" s="7" t="s">
        <v>207</v>
      </c>
      <c r="C146" s="7" t="s">
        <v>58</v>
      </c>
      <c r="D146" s="7" t="s">
        <v>25</v>
      </c>
      <c r="E146" s="7" t="s">
        <v>26</v>
      </c>
      <c r="F146" s="8">
        <f>SUM(N146:Q146)</f>
        <v>483140</v>
      </c>
      <c r="G146" s="55">
        <f>I146-H146</f>
        <v>3922215</v>
      </c>
      <c r="H146" s="38">
        <f>SUMIF(Payments!$D$4:$D$117,'Only Creditors'!B146,Payments!$E$4:$E$130)</f>
        <v>0</v>
      </c>
      <c r="I146" s="8">
        <v>3922215</v>
      </c>
      <c r="J146" s="8">
        <v>2010235</v>
      </c>
      <c r="K146" s="8">
        <v>34300</v>
      </c>
      <c r="L146" s="8">
        <v>867790</v>
      </c>
      <c r="M146" s="8">
        <v>526750</v>
      </c>
      <c r="N146" s="8">
        <v>212660</v>
      </c>
      <c r="O146" s="8">
        <v>270480</v>
      </c>
      <c r="P146" s="8">
        <v>0</v>
      </c>
      <c r="Q146" s="8">
        <v>0</v>
      </c>
      <c r="R146" s="8">
        <v>3922215</v>
      </c>
      <c r="S146" s="8">
        <v>0</v>
      </c>
    </row>
    <row r="147" spans="1:19" x14ac:dyDescent="0.25">
      <c r="A147" s="7">
        <v>143</v>
      </c>
      <c r="B147" s="7" t="s">
        <v>208</v>
      </c>
      <c r="C147" s="7" t="s">
        <v>39</v>
      </c>
      <c r="D147" s="7" t="s">
        <v>25</v>
      </c>
      <c r="E147" s="7" t="s">
        <v>26</v>
      </c>
      <c r="F147" s="8">
        <f>SUM(N147:Q147)</f>
        <v>0</v>
      </c>
      <c r="G147" s="55">
        <f>I147-H147</f>
        <v>625240</v>
      </c>
      <c r="H147" s="38">
        <f>SUMIF(Payments!$D$4:$D$117,'Only Creditors'!B147,Payments!$E$4:$E$130)</f>
        <v>0</v>
      </c>
      <c r="I147" s="8">
        <v>625240</v>
      </c>
      <c r="J147" s="8">
        <v>182700</v>
      </c>
      <c r="K147" s="8">
        <v>442540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625240</v>
      </c>
      <c r="S147" s="8">
        <v>0</v>
      </c>
    </row>
    <row r="148" spans="1:19" x14ac:dyDescent="0.25">
      <c r="A148" s="7">
        <v>144</v>
      </c>
      <c r="B148" s="7" t="s">
        <v>209</v>
      </c>
      <c r="C148" s="7" t="s">
        <v>42</v>
      </c>
      <c r="D148" s="7" t="s">
        <v>21</v>
      </c>
      <c r="E148" s="7" t="s">
        <v>29</v>
      </c>
      <c r="F148" s="7" t="s">
        <v>2047</v>
      </c>
      <c r="G148" s="55">
        <f>I148-H148</f>
        <v>0</v>
      </c>
      <c r="H148" s="38">
        <f>SUMIF(Payments!$D$4:$D$117,'Only Creditors'!B148,Payments!$E$4:$E$130)</f>
        <v>41480</v>
      </c>
      <c r="I148" s="8">
        <v>41480</v>
      </c>
      <c r="J148" s="8">
        <v>41480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41480</v>
      </c>
      <c r="S148" s="8">
        <v>0</v>
      </c>
    </row>
    <row r="149" spans="1:19" x14ac:dyDescent="0.25">
      <c r="A149" s="7">
        <v>145</v>
      </c>
      <c r="B149" s="7" t="s">
        <v>210</v>
      </c>
      <c r="C149" s="7" t="s">
        <v>28</v>
      </c>
      <c r="D149" s="7" t="s">
        <v>21</v>
      </c>
      <c r="E149" s="7" t="s">
        <v>26</v>
      </c>
      <c r="F149" s="8">
        <f>SUM(N149:Q149)</f>
        <v>0</v>
      </c>
      <c r="G149" s="55">
        <f>I149-H149</f>
        <v>233415</v>
      </c>
      <c r="H149" s="38">
        <f>SUMIF(Payments!$D$4:$D$117,'Only Creditors'!B149,Payments!$E$4:$E$130)</f>
        <v>119678</v>
      </c>
      <c r="I149" s="8">
        <v>353093</v>
      </c>
      <c r="J149" s="8">
        <v>353093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353093</v>
      </c>
      <c r="S149" s="8">
        <v>0</v>
      </c>
    </row>
    <row r="150" spans="1:19" x14ac:dyDescent="0.25">
      <c r="A150" s="7">
        <v>146</v>
      </c>
      <c r="B150" s="7" t="s">
        <v>211</v>
      </c>
      <c r="C150" s="7" t="s">
        <v>57</v>
      </c>
      <c r="D150" s="7" t="s">
        <v>34</v>
      </c>
      <c r="E150" s="7" t="s">
        <v>34</v>
      </c>
      <c r="F150" s="8">
        <f>SUM(N150:Q150)</f>
        <v>0</v>
      </c>
      <c r="G150" s="55">
        <f>I150-H150</f>
        <v>323641.71999999997</v>
      </c>
      <c r="H150" s="38">
        <f>SUMIF(Payments!$D$4:$D$117,'Only Creditors'!B150,Payments!$E$4:$E$130)</f>
        <v>564252.1</v>
      </c>
      <c r="I150" s="8">
        <v>887893.82</v>
      </c>
      <c r="J150" s="8">
        <v>887893.82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887893.82</v>
      </c>
      <c r="S150" s="8">
        <v>0</v>
      </c>
    </row>
    <row r="151" spans="1:19" x14ac:dyDescent="0.25">
      <c r="A151" s="7">
        <v>147</v>
      </c>
      <c r="B151" s="7" t="s">
        <v>212</v>
      </c>
      <c r="C151" s="7" t="s">
        <v>42</v>
      </c>
      <c r="D151" s="7" t="s">
        <v>21</v>
      </c>
      <c r="E151" s="7" t="s">
        <v>29</v>
      </c>
      <c r="F151" s="8">
        <f>SUM(N151:Q151)</f>
        <v>0</v>
      </c>
      <c r="G151" s="55">
        <f>I151-H151</f>
        <v>70432</v>
      </c>
      <c r="H151" s="38">
        <f>SUMIF(Payments!$D$4:$D$117,'Only Creditors'!B151,Payments!$E$4:$E$130)</f>
        <v>456010</v>
      </c>
      <c r="I151" s="8">
        <v>526442</v>
      </c>
      <c r="J151" s="8">
        <v>370140</v>
      </c>
      <c r="K151" s="8">
        <v>156302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526442</v>
      </c>
      <c r="S151" s="8">
        <v>0</v>
      </c>
    </row>
    <row r="152" spans="1:19" x14ac:dyDescent="0.25">
      <c r="A152" s="7">
        <v>148</v>
      </c>
      <c r="B152" s="7" t="s">
        <v>213</v>
      </c>
      <c r="C152" s="7" t="s">
        <v>82</v>
      </c>
      <c r="D152" s="7" t="s">
        <v>21</v>
      </c>
      <c r="E152" s="7" t="s">
        <v>121</v>
      </c>
      <c r="F152" s="7" t="s">
        <v>2047</v>
      </c>
      <c r="G152" s="55">
        <f>I152-H152</f>
        <v>10080</v>
      </c>
      <c r="H152" s="38">
        <f>SUMIF(Payments!$D$4:$D$117,'Only Creditors'!B152,Payments!$E$4:$E$130)</f>
        <v>0</v>
      </c>
      <c r="I152" s="8">
        <v>10080</v>
      </c>
      <c r="J152" s="8">
        <v>0</v>
      </c>
      <c r="K152" s="8">
        <v>10080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10080</v>
      </c>
      <c r="S152" s="8">
        <v>0</v>
      </c>
    </row>
    <row r="153" spans="1:19" x14ac:dyDescent="0.25">
      <c r="A153" s="7">
        <v>149</v>
      </c>
      <c r="B153" s="7" t="s">
        <v>214</v>
      </c>
      <c r="C153" s="7" t="s">
        <v>45</v>
      </c>
      <c r="D153" s="7" t="s">
        <v>55</v>
      </c>
      <c r="E153" s="7" t="s">
        <v>215</v>
      </c>
      <c r="F153" s="7" t="s">
        <v>2047</v>
      </c>
      <c r="G153" s="55">
        <f>I153-H153</f>
        <v>12804.52</v>
      </c>
      <c r="H153" s="38">
        <f>SUMIF(Payments!$D$4:$D$117,'Only Creditors'!B153,Payments!$E$4:$E$130)</f>
        <v>0</v>
      </c>
      <c r="I153" s="8">
        <v>12804.52</v>
      </c>
      <c r="J153" s="8">
        <v>0</v>
      </c>
      <c r="K153" s="8">
        <v>12804.52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12804.52</v>
      </c>
      <c r="S153" s="8">
        <v>0</v>
      </c>
    </row>
    <row r="154" spans="1:19" x14ac:dyDescent="0.25">
      <c r="A154" s="7">
        <v>150</v>
      </c>
      <c r="B154" s="7" t="s">
        <v>216</v>
      </c>
      <c r="C154" s="7" t="s">
        <v>49</v>
      </c>
      <c r="D154" s="7" t="s">
        <v>21</v>
      </c>
      <c r="E154" s="7" t="s">
        <v>217</v>
      </c>
      <c r="F154" s="7" t="s">
        <v>2047</v>
      </c>
      <c r="G154" s="55">
        <f>I154-H154</f>
        <v>2692</v>
      </c>
      <c r="H154" s="38">
        <f>SUMIF(Payments!$D$4:$D$117,'Only Creditors'!B154,Payments!$E$4:$E$130)</f>
        <v>0</v>
      </c>
      <c r="I154" s="8">
        <v>2692</v>
      </c>
      <c r="J154" s="8">
        <v>2692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2692</v>
      </c>
      <c r="S154" s="8">
        <v>0</v>
      </c>
    </row>
    <row r="155" spans="1:19" x14ac:dyDescent="0.25">
      <c r="A155" s="7">
        <v>151</v>
      </c>
      <c r="B155" s="7" t="s">
        <v>218</v>
      </c>
      <c r="C155" s="7" t="s">
        <v>42</v>
      </c>
      <c r="D155" s="7" t="s">
        <v>21</v>
      </c>
      <c r="E155" s="7" t="s">
        <v>29</v>
      </c>
      <c r="F155" s="8">
        <f>SUM(N155:Q155)</f>
        <v>0</v>
      </c>
      <c r="G155" s="55">
        <f>I155-H155</f>
        <v>56780</v>
      </c>
      <c r="H155" s="38">
        <f>SUMIF(Payments!$D$4:$D$117,'Only Creditors'!B155,Payments!$E$4:$E$130)</f>
        <v>100000</v>
      </c>
      <c r="I155" s="8">
        <v>156780</v>
      </c>
      <c r="J155" s="8">
        <v>156780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156780</v>
      </c>
      <c r="S155" s="8">
        <v>0</v>
      </c>
    </row>
    <row r="156" spans="1:19" x14ac:dyDescent="0.25">
      <c r="A156" s="7">
        <v>152</v>
      </c>
      <c r="B156" s="7" t="s">
        <v>219</v>
      </c>
      <c r="C156" s="7" t="s">
        <v>24</v>
      </c>
      <c r="D156" s="7" t="s">
        <v>21</v>
      </c>
      <c r="E156" s="7" t="s">
        <v>99</v>
      </c>
      <c r="F156" s="7" t="s">
        <v>2047</v>
      </c>
      <c r="G156" s="55">
        <f>I156-H156</f>
        <v>0</v>
      </c>
      <c r="H156" s="38">
        <f>SUMIF(Payments!$D$4:$D$117,'Only Creditors'!B156,Payments!$E$4:$E$130)</f>
        <v>37000</v>
      </c>
      <c r="I156" s="8">
        <v>37000</v>
      </c>
      <c r="J156" s="8">
        <v>37000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37000</v>
      </c>
      <c r="S156" s="8">
        <v>0</v>
      </c>
    </row>
    <row r="157" spans="1:19" x14ac:dyDescent="0.25">
      <c r="A157" s="7">
        <v>153</v>
      </c>
      <c r="B157" s="7" t="s">
        <v>220</v>
      </c>
      <c r="C157" s="7" t="s">
        <v>20</v>
      </c>
      <c r="D157" s="7" t="s">
        <v>21</v>
      </c>
      <c r="E157" s="7" t="s">
        <v>61</v>
      </c>
      <c r="F157" s="7" t="s">
        <v>2047</v>
      </c>
      <c r="G157" s="55">
        <f>I157-H157</f>
        <v>6000</v>
      </c>
      <c r="H157" s="38">
        <f>SUMIF(Payments!$D$4:$D$117,'Only Creditors'!B157,Payments!$E$4:$E$130)</f>
        <v>0</v>
      </c>
      <c r="I157" s="8">
        <v>6000</v>
      </c>
      <c r="J157" s="8">
        <v>6000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6000</v>
      </c>
      <c r="S157" s="8">
        <v>0</v>
      </c>
    </row>
    <row r="158" spans="1:19" x14ac:dyDescent="0.25">
      <c r="A158" s="7">
        <v>154</v>
      </c>
      <c r="B158" s="7" t="s">
        <v>221</v>
      </c>
      <c r="C158" s="7" t="s">
        <v>222</v>
      </c>
      <c r="D158" s="7" t="s">
        <v>25</v>
      </c>
      <c r="E158" s="7" t="s">
        <v>26</v>
      </c>
      <c r="F158" s="7" t="s">
        <v>2047</v>
      </c>
      <c r="G158" s="55">
        <f>I158-H158</f>
        <v>-308500</v>
      </c>
      <c r="H158" s="38">
        <f>SUMIF(Payments!$D$4:$D$117,'Only Creditors'!B158,Payments!$E$4:$E$130)</f>
        <v>335400</v>
      </c>
      <c r="I158" s="8">
        <v>26900</v>
      </c>
      <c r="J158" s="8">
        <v>26900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26900</v>
      </c>
      <c r="S158" s="8">
        <v>0</v>
      </c>
    </row>
    <row r="159" spans="1:19" x14ac:dyDescent="0.25">
      <c r="A159" s="7">
        <v>155</v>
      </c>
      <c r="B159" s="7" t="s">
        <v>223</v>
      </c>
      <c r="C159" s="7" t="s">
        <v>161</v>
      </c>
      <c r="D159" s="7" t="s">
        <v>90</v>
      </c>
      <c r="E159" s="7" t="s">
        <v>90</v>
      </c>
      <c r="F159" s="8">
        <f>SUM(N159:Q159)</f>
        <v>0</v>
      </c>
      <c r="G159" s="55">
        <f>I159-H159</f>
        <v>553342</v>
      </c>
      <c r="H159" s="38">
        <f>SUMIF(Payments!$D$4:$D$117,'Only Creditors'!B159,Payments!$E$4:$E$130)</f>
        <v>0</v>
      </c>
      <c r="I159" s="8">
        <v>553342</v>
      </c>
      <c r="J159" s="8">
        <v>553342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553342</v>
      </c>
      <c r="S159" s="8">
        <v>0</v>
      </c>
    </row>
    <row r="160" spans="1:19" x14ac:dyDescent="0.25">
      <c r="A160" s="7">
        <v>156</v>
      </c>
      <c r="B160" s="7" t="s">
        <v>224</v>
      </c>
      <c r="C160" s="7" t="s">
        <v>28</v>
      </c>
      <c r="D160" s="7" t="s">
        <v>52</v>
      </c>
      <c r="E160" s="7" t="s">
        <v>225</v>
      </c>
      <c r="F160" s="8">
        <f>SUM(N160:Q160)</f>
        <v>0</v>
      </c>
      <c r="G160" s="55">
        <f>I160-H160</f>
        <v>150000</v>
      </c>
      <c r="H160" s="38">
        <f>SUMIF(Payments!$D$4:$D$117,'Only Creditors'!B160,Payments!$E$4:$E$130)</f>
        <v>0</v>
      </c>
      <c r="I160" s="8">
        <v>150000</v>
      </c>
      <c r="J160" s="8">
        <v>150000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150000</v>
      </c>
      <c r="S160" s="8">
        <v>0</v>
      </c>
    </row>
    <row r="161" spans="1:19" x14ac:dyDescent="0.25">
      <c r="A161" s="7">
        <v>157</v>
      </c>
      <c r="B161" s="7" t="s">
        <v>226</v>
      </c>
      <c r="C161" s="7" t="s">
        <v>42</v>
      </c>
      <c r="D161" s="7" t="s">
        <v>90</v>
      </c>
      <c r="E161" s="7" t="s">
        <v>90</v>
      </c>
      <c r="F161" s="7" t="s">
        <v>2047</v>
      </c>
      <c r="G161" s="55">
        <f>I161-H161</f>
        <v>0</v>
      </c>
      <c r="H161" s="38">
        <f>SUMIF(Payments!$D$4:$D$117,'Only Creditors'!B161,Payments!$E$4:$E$130)</f>
        <v>94814.01</v>
      </c>
      <c r="I161" s="8">
        <v>94814.01</v>
      </c>
      <c r="J161" s="8">
        <v>0</v>
      </c>
      <c r="K161" s="8">
        <v>0</v>
      </c>
      <c r="L161" s="8">
        <v>94814.01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94814.01</v>
      </c>
      <c r="S161" s="8">
        <v>0</v>
      </c>
    </row>
    <row r="162" spans="1:19" x14ac:dyDescent="0.25">
      <c r="A162" s="7">
        <v>158</v>
      </c>
      <c r="B162" s="7" t="s">
        <v>227</v>
      </c>
      <c r="C162" s="7" t="s">
        <v>28</v>
      </c>
      <c r="D162" s="7" t="s">
        <v>21</v>
      </c>
      <c r="E162" s="7" t="s">
        <v>157</v>
      </c>
      <c r="F162" s="8">
        <f>SUM(N162:Q162)</f>
        <v>0</v>
      </c>
      <c r="G162" s="55">
        <f>I162-H162</f>
        <v>790966.88</v>
      </c>
      <c r="H162" s="38">
        <f>SUMIF(Payments!$D$4:$D$117,'Only Creditors'!B162,Payments!$E$4:$E$130)</f>
        <v>0</v>
      </c>
      <c r="I162" s="8">
        <v>790966.88</v>
      </c>
      <c r="J162" s="8">
        <v>418515.24</v>
      </c>
      <c r="K162" s="8">
        <v>372451.64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790966.88</v>
      </c>
      <c r="S162" s="8">
        <v>0</v>
      </c>
    </row>
    <row r="163" spans="1:19" x14ac:dyDescent="0.25">
      <c r="A163" s="7">
        <v>159</v>
      </c>
      <c r="B163" s="7" t="s">
        <v>228</v>
      </c>
      <c r="C163" s="7" t="s">
        <v>58</v>
      </c>
      <c r="D163" s="7" t="s">
        <v>21</v>
      </c>
      <c r="E163" s="7" t="s">
        <v>29</v>
      </c>
      <c r="F163" s="8">
        <f>SUM(N163:Q163)</f>
        <v>0</v>
      </c>
      <c r="G163" s="55">
        <f>I163-H163</f>
        <v>0</v>
      </c>
      <c r="H163" s="38">
        <f>SUMIF(Payments!$D$4:$D$117,'Only Creditors'!B163,Payments!$E$4:$E$130)</f>
        <v>57820</v>
      </c>
      <c r="I163" s="8">
        <v>57820</v>
      </c>
      <c r="J163" s="8">
        <v>0</v>
      </c>
      <c r="K163" s="8">
        <v>57820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57820</v>
      </c>
      <c r="S163" s="8">
        <v>0</v>
      </c>
    </row>
    <row r="164" spans="1:19" x14ac:dyDescent="0.25">
      <c r="A164" s="7">
        <v>160</v>
      </c>
      <c r="B164" s="7" t="s">
        <v>229</v>
      </c>
      <c r="C164" s="7" t="s">
        <v>24</v>
      </c>
      <c r="D164" s="7" t="s">
        <v>21</v>
      </c>
      <c r="E164" s="7" t="s">
        <v>29</v>
      </c>
      <c r="F164" s="8">
        <f>SUM(N164:Q164)</f>
        <v>0</v>
      </c>
      <c r="G164" s="55">
        <f>I164-H164</f>
        <v>240019.08</v>
      </c>
      <c r="H164" s="38">
        <f>SUMIF(Payments!$D$4:$D$117,'Only Creditors'!B164,Payments!$E$4:$E$130)</f>
        <v>0</v>
      </c>
      <c r="I164" s="8">
        <v>240019.08</v>
      </c>
      <c r="J164" s="8">
        <v>240019.08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240019.08</v>
      </c>
      <c r="S164" s="8">
        <v>0</v>
      </c>
    </row>
    <row r="165" spans="1:19" x14ac:dyDescent="0.25">
      <c r="A165" s="7">
        <v>161</v>
      </c>
      <c r="B165" s="7" t="s">
        <v>230</v>
      </c>
      <c r="C165" s="7" t="s">
        <v>24</v>
      </c>
      <c r="D165" s="7" t="s">
        <v>25</v>
      </c>
      <c r="E165" s="7" t="s">
        <v>26</v>
      </c>
      <c r="F165" s="7" t="s">
        <v>2047</v>
      </c>
      <c r="G165" s="55">
        <f>I165-H165</f>
        <v>35668.910000000003</v>
      </c>
      <c r="H165" s="38">
        <f>SUMIF(Payments!$D$4:$D$117,'Only Creditors'!B165,Payments!$E$4:$E$130)</f>
        <v>27051</v>
      </c>
      <c r="I165" s="8">
        <v>62719.91</v>
      </c>
      <c r="J165" s="8">
        <v>62719.91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62719.91</v>
      </c>
      <c r="S165" s="8">
        <v>0</v>
      </c>
    </row>
    <row r="166" spans="1:19" x14ac:dyDescent="0.25">
      <c r="A166" s="7">
        <v>162</v>
      </c>
      <c r="B166" s="7" t="s">
        <v>231</v>
      </c>
      <c r="C166" s="7" t="s">
        <v>24</v>
      </c>
      <c r="D166" s="7" t="s">
        <v>55</v>
      </c>
      <c r="E166" s="7" t="s">
        <v>43</v>
      </c>
      <c r="F166" s="8">
        <f>SUM(N166:Q166)</f>
        <v>0</v>
      </c>
      <c r="G166" s="55">
        <f>I166-H166</f>
        <v>700906.24</v>
      </c>
      <c r="H166" s="38">
        <f>SUMIF(Payments!$D$4:$D$117,'Only Creditors'!B166,Payments!$E$4:$E$130)</f>
        <v>0</v>
      </c>
      <c r="I166" s="8">
        <v>700906.24</v>
      </c>
      <c r="J166" s="8">
        <v>700906.24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700906.24</v>
      </c>
      <c r="S166" s="8">
        <v>0</v>
      </c>
    </row>
    <row r="167" spans="1:19" x14ac:dyDescent="0.25">
      <c r="A167" s="7">
        <v>163</v>
      </c>
      <c r="B167" s="7" t="s">
        <v>232</v>
      </c>
      <c r="C167" s="7" t="s">
        <v>39</v>
      </c>
      <c r="D167" s="7" t="s">
        <v>25</v>
      </c>
      <c r="E167" s="7" t="s">
        <v>26</v>
      </c>
      <c r="F167" s="8">
        <f>SUM(N167:Q167)</f>
        <v>0.5</v>
      </c>
      <c r="G167" s="55">
        <f>I167-H167</f>
        <v>2939484.9</v>
      </c>
      <c r="H167" s="38">
        <f>SUMIF(Payments!$D$4:$D$117,'Only Creditors'!B167,Payments!$E$4:$E$130)</f>
        <v>0</v>
      </c>
      <c r="I167" s="8">
        <v>2939484.9</v>
      </c>
      <c r="J167" s="8">
        <v>418064.6</v>
      </c>
      <c r="K167" s="8">
        <v>1224978.2</v>
      </c>
      <c r="L167" s="8">
        <v>0</v>
      </c>
      <c r="M167" s="8">
        <v>1296441.6000000001</v>
      </c>
      <c r="N167" s="8">
        <v>0.5</v>
      </c>
      <c r="O167" s="8">
        <v>0</v>
      </c>
      <c r="P167" s="8">
        <v>0</v>
      </c>
      <c r="Q167" s="8">
        <v>0</v>
      </c>
      <c r="R167" s="8">
        <v>2939484.9</v>
      </c>
      <c r="S167" s="8">
        <v>0</v>
      </c>
    </row>
    <row r="168" spans="1:19" x14ac:dyDescent="0.25">
      <c r="A168" s="7">
        <v>164</v>
      </c>
      <c r="B168" s="7" t="s">
        <v>233</v>
      </c>
      <c r="C168" s="7" t="s">
        <v>161</v>
      </c>
      <c r="D168" s="7" t="s">
        <v>25</v>
      </c>
      <c r="E168" s="7" t="s">
        <v>26</v>
      </c>
      <c r="F168" s="8">
        <f>SUM(N168:Q168)</f>
        <v>2617418</v>
      </c>
      <c r="G168" s="55">
        <f>I168-H168</f>
        <v>6941152.5199999996</v>
      </c>
      <c r="H168" s="38">
        <f>SUMIF(Payments!$D$4:$D$117,'Only Creditors'!B168,Payments!$E$4:$E$130)</f>
        <v>0</v>
      </c>
      <c r="I168" s="8">
        <v>6941152.5199999996</v>
      </c>
      <c r="J168" s="8">
        <v>1652770</v>
      </c>
      <c r="K168" s="8">
        <v>0</v>
      </c>
      <c r="L168" s="8">
        <v>2670964.52</v>
      </c>
      <c r="M168" s="8">
        <v>0</v>
      </c>
      <c r="N168" s="8">
        <v>1464610</v>
      </c>
      <c r="O168" s="8">
        <v>1152808</v>
      </c>
      <c r="P168" s="8">
        <v>0</v>
      </c>
      <c r="Q168" s="8">
        <v>0</v>
      </c>
      <c r="R168" s="8">
        <v>6941152.5199999996</v>
      </c>
      <c r="S168" s="8">
        <v>0</v>
      </c>
    </row>
    <row r="169" spans="1:19" x14ac:dyDescent="0.25">
      <c r="A169" s="7">
        <v>165</v>
      </c>
      <c r="B169" s="7" t="s">
        <v>234</v>
      </c>
      <c r="C169" s="7" t="s">
        <v>235</v>
      </c>
      <c r="D169" s="7" t="s">
        <v>235</v>
      </c>
      <c r="E169" s="7" t="s">
        <v>235</v>
      </c>
      <c r="F169" s="7" t="s">
        <v>2047</v>
      </c>
      <c r="G169" s="55">
        <f>I169-H169</f>
        <v>79500</v>
      </c>
      <c r="H169" s="38">
        <f>SUMIF(Payments!$D$4:$D$117,'Only Creditors'!B169,Payments!$E$4:$E$130)</f>
        <v>0</v>
      </c>
      <c r="I169" s="8">
        <v>79500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79500</v>
      </c>
      <c r="R169" s="8">
        <v>79500</v>
      </c>
      <c r="S169" s="8">
        <v>0</v>
      </c>
    </row>
    <row r="170" spans="1:19" x14ac:dyDescent="0.25">
      <c r="A170" s="7">
        <v>166</v>
      </c>
      <c r="B170" s="7" t="s">
        <v>236</v>
      </c>
      <c r="C170" s="7" t="s">
        <v>33</v>
      </c>
      <c r="D170" s="7" t="s">
        <v>21</v>
      </c>
      <c r="E170" s="7" t="s">
        <v>26</v>
      </c>
      <c r="F170" s="8">
        <f>SUM(N170:Q170)</f>
        <v>0</v>
      </c>
      <c r="G170" s="55">
        <f>I170-H170</f>
        <v>1191404.6800000002</v>
      </c>
      <c r="H170" s="38">
        <f>SUMIF(Payments!$D$4:$D$117,'Only Creditors'!B170,Payments!$E$4:$E$130)</f>
        <v>514705.91999999998</v>
      </c>
      <c r="I170" s="8">
        <v>1706110.6</v>
      </c>
      <c r="J170" s="8">
        <v>1366241.04</v>
      </c>
      <c r="K170" s="8">
        <v>339869.56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1706110.6</v>
      </c>
      <c r="S170" s="8">
        <v>0</v>
      </c>
    </row>
    <row r="171" spans="1:19" x14ac:dyDescent="0.25">
      <c r="A171" s="7">
        <v>167</v>
      </c>
      <c r="B171" s="7" t="s">
        <v>237</v>
      </c>
      <c r="C171" s="7" t="s">
        <v>66</v>
      </c>
      <c r="D171" s="7" t="s">
        <v>25</v>
      </c>
      <c r="E171" s="7" t="s">
        <v>26</v>
      </c>
      <c r="F171" s="8">
        <f>SUM(N171:Q171)</f>
        <v>0</v>
      </c>
      <c r="G171" s="55">
        <f>I171-H171</f>
        <v>1047875</v>
      </c>
      <c r="H171" s="38">
        <f>SUMIF(Payments!$D$4:$D$117,'Only Creditors'!B171,Payments!$E$4:$E$130)</f>
        <v>0</v>
      </c>
      <c r="I171" s="8">
        <v>1047875</v>
      </c>
      <c r="J171" s="8">
        <v>1047875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1047875</v>
      </c>
      <c r="S171" s="8">
        <v>0</v>
      </c>
    </row>
    <row r="172" spans="1:19" x14ac:dyDescent="0.25">
      <c r="A172" s="7">
        <v>168</v>
      </c>
      <c r="B172" s="7" t="s">
        <v>238</v>
      </c>
      <c r="C172" s="7" t="s">
        <v>239</v>
      </c>
      <c r="D172" s="7" t="s">
        <v>21</v>
      </c>
      <c r="E172" s="7" t="s">
        <v>240</v>
      </c>
      <c r="F172" s="8">
        <f>SUM(N172:Q172)</f>
        <v>0</v>
      </c>
      <c r="G172" s="55">
        <f>I172-H172</f>
        <v>1784225.28</v>
      </c>
      <c r="H172" s="38">
        <f>SUMIF(Payments!$D$4:$D$117,'Only Creditors'!B172,Payments!$E$4:$E$130)</f>
        <v>0</v>
      </c>
      <c r="I172" s="8">
        <v>1784225.28</v>
      </c>
      <c r="J172" s="8">
        <v>1784225.28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1784225.28</v>
      </c>
      <c r="S172" s="8">
        <v>0</v>
      </c>
    </row>
    <row r="173" spans="1:19" x14ac:dyDescent="0.25">
      <c r="A173" s="7">
        <v>169</v>
      </c>
      <c r="B173" s="7" t="s">
        <v>241</v>
      </c>
      <c r="C173" s="7" t="s">
        <v>42</v>
      </c>
      <c r="D173" s="7" t="s">
        <v>21</v>
      </c>
      <c r="E173" s="7" t="s">
        <v>101</v>
      </c>
      <c r="F173" s="8">
        <f>SUM(N173:Q173)</f>
        <v>0</v>
      </c>
      <c r="G173" s="55">
        <f>I173-H173</f>
        <v>200437.36</v>
      </c>
      <c r="H173" s="38">
        <f>SUMIF(Payments!$D$4:$D$117,'Only Creditors'!B173,Payments!$E$4:$E$130)</f>
        <v>0</v>
      </c>
      <c r="I173" s="8">
        <v>200437.36</v>
      </c>
      <c r="J173" s="8">
        <v>200437.36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200437.36</v>
      </c>
      <c r="S173" s="8">
        <v>0</v>
      </c>
    </row>
    <row r="174" spans="1:19" x14ac:dyDescent="0.25">
      <c r="A174" s="7">
        <v>170</v>
      </c>
      <c r="B174" s="7" t="s">
        <v>242</v>
      </c>
      <c r="C174" s="7" t="s">
        <v>33</v>
      </c>
      <c r="D174" s="7" t="s">
        <v>25</v>
      </c>
      <c r="E174" s="7" t="s">
        <v>26</v>
      </c>
      <c r="F174" s="8">
        <f>SUM(N174:Q174)</f>
        <v>0</v>
      </c>
      <c r="G174" s="55">
        <f>I174-H174</f>
        <v>744230.43</v>
      </c>
      <c r="H174" s="38">
        <f>SUMIF(Payments!$D$4:$D$117,'Only Creditors'!B174,Payments!$E$4:$E$130)</f>
        <v>0</v>
      </c>
      <c r="I174" s="8">
        <v>744230.43</v>
      </c>
      <c r="J174" s="8">
        <v>105160.26</v>
      </c>
      <c r="K174" s="8">
        <v>344426.04</v>
      </c>
      <c r="L174" s="8">
        <v>294644.13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744230.43</v>
      </c>
      <c r="S174" s="8">
        <v>0</v>
      </c>
    </row>
    <row r="175" spans="1:19" x14ac:dyDescent="0.25">
      <c r="A175" s="7">
        <v>171</v>
      </c>
      <c r="B175" s="7" t="s">
        <v>243</v>
      </c>
      <c r="C175" s="7" t="s">
        <v>45</v>
      </c>
      <c r="D175" s="7" t="s">
        <v>21</v>
      </c>
      <c r="E175" s="7" t="s">
        <v>142</v>
      </c>
      <c r="F175" s="8">
        <f>SUM(N175:Q175)</f>
        <v>0</v>
      </c>
      <c r="G175" s="55">
        <f>I175-H175</f>
        <v>438891.89</v>
      </c>
      <c r="H175" s="38">
        <f>SUMIF(Payments!$D$4:$D$117,'Only Creditors'!B175,Payments!$E$4:$E$130)</f>
        <v>0</v>
      </c>
      <c r="I175" s="8">
        <v>438891.89</v>
      </c>
      <c r="J175" s="8">
        <v>438891</v>
      </c>
      <c r="K175" s="8">
        <v>0</v>
      </c>
      <c r="L175" s="8">
        <v>0.89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438891.89</v>
      </c>
      <c r="S175" s="8">
        <v>0</v>
      </c>
    </row>
    <row r="176" spans="1:19" x14ac:dyDescent="0.25">
      <c r="A176" s="7">
        <v>172</v>
      </c>
      <c r="B176" s="7" t="s">
        <v>244</v>
      </c>
      <c r="C176" s="7" t="s">
        <v>82</v>
      </c>
      <c r="D176" s="7" t="s">
        <v>21</v>
      </c>
      <c r="E176" s="7" t="s">
        <v>22</v>
      </c>
      <c r="F176" s="8">
        <f>SUM(N176:Q176)</f>
        <v>0</v>
      </c>
      <c r="G176" s="55">
        <f>I176-H176</f>
        <v>879470</v>
      </c>
      <c r="H176" s="38">
        <f>SUMIF(Payments!$D$4:$D$117,'Only Creditors'!B176,Payments!$E$4:$E$130)</f>
        <v>0</v>
      </c>
      <c r="I176" s="8">
        <v>879470</v>
      </c>
      <c r="J176" s="8">
        <v>0</v>
      </c>
      <c r="K176" s="8">
        <v>879470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879470</v>
      </c>
      <c r="S176" s="8">
        <v>0</v>
      </c>
    </row>
    <row r="177" spans="1:19" x14ac:dyDescent="0.25">
      <c r="A177" s="7">
        <v>173</v>
      </c>
      <c r="B177" s="7" t="s">
        <v>245</v>
      </c>
      <c r="C177" s="7" t="s">
        <v>24</v>
      </c>
      <c r="D177" s="7" t="s">
        <v>21</v>
      </c>
      <c r="E177" s="7" t="s">
        <v>101</v>
      </c>
      <c r="F177" s="7" t="s">
        <v>2047</v>
      </c>
      <c r="G177" s="55">
        <f>I177-H177</f>
        <v>0</v>
      </c>
      <c r="H177" s="38">
        <f>SUMIF(Payments!$D$4:$D$117,'Only Creditors'!B177,Payments!$E$4:$E$130)</f>
        <v>64900</v>
      </c>
      <c r="I177" s="8">
        <v>64900</v>
      </c>
      <c r="J177" s="8">
        <v>64900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64900</v>
      </c>
      <c r="S177" s="8">
        <v>0</v>
      </c>
    </row>
    <row r="178" spans="1:19" x14ac:dyDescent="0.25">
      <c r="A178" s="7">
        <v>174</v>
      </c>
      <c r="B178" s="7" t="s">
        <v>246</v>
      </c>
      <c r="C178" s="7" t="s">
        <v>42</v>
      </c>
      <c r="D178" s="7" t="s">
        <v>90</v>
      </c>
      <c r="E178" s="7" t="s">
        <v>90</v>
      </c>
      <c r="F178" s="8">
        <f>SUM(N178:Q178)</f>
        <v>1293982.6299999999</v>
      </c>
      <c r="G178" s="55">
        <f>I178-H178</f>
        <v>1293982.6299999999</v>
      </c>
      <c r="H178" s="38">
        <f>SUMIF(Payments!$D$4:$D$117,'Only Creditors'!B178,Payments!$E$4:$E$130)</f>
        <v>0</v>
      </c>
      <c r="I178" s="8">
        <v>1293982.6299999999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474690.06</v>
      </c>
      <c r="Q178" s="8">
        <v>819292.57</v>
      </c>
      <c r="R178" s="8">
        <v>1293982.6299999999</v>
      </c>
      <c r="S178" s="8">
        <v>0</v>
      </c>
    </row>
    <row r="179" spans="1:19" x14ac:dyDescent="0.25">
      <c r="A179" s="7">
        <v>175</v>
      </c>
      <c r="B179" s="7" t="s">
        <v>247</v>
      </c>
      <c r="C179" s="7" t="s">
        <v>49</v>
      </c>
      <c r="D179" s="7" t="s">
        <v>21</v>
      </c>
      <c r="E179" s="7" t="s">
        <v>121</v>
      </c>
      <c r="F179" s="7" t="s">
        <v>2047</v>
      </c>
      <c r="G179" s="55">
        <f>I179-H179</f>
        <v>4516</v>
      </c>
      <c r="H179" s="38">
        <f>SUMIF(Payments!$D$4:$D$117,'Only Creditors'!B179,Payments!$E$4:$E$130)</f>
        <v>0</v>
      </c>
      <c r="I179" s="8">
        <v>4516</v>
      </c>
      <c r="J179" s="8">
        <v>4516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4516</v>
      </c>
      <c r="S179" s="8">
        <v>0</v>
      </c>
    </row>
    <row r="180" spans="1:19" x14ac:dyDescent="0.25">
      <c r="A180" s="7">
        <v>176</v>
      </c>
      <c r="B180" s="7" t="s">
        <v>248</v>
      </c>
      <c r="C180" s="7" t="s">
        <v>222</v>
      </c>
      <c r="D180" s="7" t="s">
        <v>34</v>
      </c>
      <c r="E180" s="7" t="s">
        <v>249</v>
      </c>
      <c r="F180" s="8">
        <f>SUM(N180:Q180)</f>
        <v>1479715.28</v>
      </c>
      <c r="G180" s="55">
        <f>I180-H180</f>
        <v>1479715.28</v>
      </c>
      <c r="H180" s="38">
        <f>SUMIF(Payments!$D$4:$D$117,'Only Creditors'!B180,Payments!$E$4:$E$130)</f>
        <v>0</v>
      </c>
      <c r="I180" s="8">
        <v>1479715.28</v>
      </c>
      <c r="J180" s="8">
        <v>0</v>
      </c>
      <c r="K180" s="8">
        <v>0</v>
      </c>
      <c r="L180" s="8">
        <v>0</v>
      </c>
      <c r="M180" s="8">
        <v>0</v>
      </c>
      <c r="N180" s="8">
        <v>773490</v>
      </c>
      <c r="O180" s="8">
        <v>0</v>
      </c>
      <c r="P180" s="8">
        <v>706225.28</v>
      </c>
      <c r="Q180" s="8">
        <v>0</v>
      </c>
      <c r="R180" s="8">
        <v>1479715.28</v>
      </c>
      <c r="S180" s="8">
        <v>0</v>
      </c>
    </row>
    <row r="181" spans="1:19" x14ac:dyDescent="0.25">
      <c r="A181" s="7">
        <v>177</v>
      </c>
      <c r="B181" s="7" t="s">
        <v>250</v>
      </c>
      <c r="C181" s="7" t="s">
        <v>28</v>
      </c>
      <c r="D181" s="7" t="s">
        <v>25</v>
      </c>
      <c r="E181" s="7" t="s">
        <v>26</v>
      </c>
      <c r="F181" s="8">
        <f>SUM(N181:Q181)</f>
        <v>0</v>
      </c>
      <c r="G181" s="55">
        <f>I181-H181</f>
        <v>2514802.5</v>
      </c>
      <c r="H181" s="38">
        <f>SUMIF(Payments!$D$4:$D$117,'Only Creditors'!B181,Payments!$E$4:$E$130)</f>
        <v>0</v>
      </c>
      <c r="I181" s="8">
        <v>2514802.5</v>
      </c>
      <c r="J181" s="8">
        <v>911890</v>
      </c>
      <c r="K181" s="8">
        <v>1206135</v>
      </c>
      <c r="L181" s="8">
        <v>396777.5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2514802.5</v>
      </c>
      <c r="S181" s="8">
        <v>0</v>
      </c>
    </row>
    <row r="183" spans="1:19" x14ac:dyDescent="0.25">
      <c r="A183" s="3"/>
      <c r="B183" s="4" t="s">
        <v>251</v>
      </c>
      <c r="C183" s="3"/>
      <c r="D183" s="3"/>
      <c r="E183" s="3"/>
      <c r="F183" s="3"/>
      <c r="G183" s="3"/>
      <c r="H183" s="40"/>
      <c r="I183" s="5">
        <f t="shared" ref="I183:S183" si="1">SUM(I5:I181)</f>
        <v>157639078.96000007</v>
      </c>
      <c r="J183" s="5">
        <f t="shared" si="1"/>
        <v>65610550.969999999</v>
      </c>
      <c r="K183" s="5">
        <f t="shared" si="1"/>
        <v>34399225.890000001</v>
      </c>
      <c r="L183" s="5">
        <f t="shared" si="1"/>
        <v>17886604.450000003</v>
      </c>
      <c r="M183" s="5">
        <f t="shared" si="1"/>
        <v>6813919.7999999989</v>
      </c>
      <c r="N183" s="5">
        <f t="shared" si="1"/>
        <v>6644983.5700000003</v>
      </c>
      <c r="O183" s="5">
        <f t="shared" si="1"/>
        <v>8393120.0199999996</v>
      </c>
      <c r="P183" s="5">
        <f t="shared" si="1"/>
        <v>12331930.33</v>
      </c>
      <c r="Q183" s="5">
        <f t="shared" si="1"/>
        <v>5558082.9800000004</v>
      </c>
      <c r="R183" s="5">
        <f t="shared" si="1"/>
        <v>157638418.01000008</v>
      </c>
      <c r="S183" s="5">
        <f t="shared" si="1"/>
        <v>660.95</v>
      </c>
    </row>
  </sheetData>
  <autoFilter ref="A4:S181">
    <sortState ref="A5:S181">
      <sortCondition ref="A4:A18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zoomScaleNormal="100" workbookViewId="0">
      <pane xSplit="5" ySplit="4" topLeftCell="O5" activePane="bottomRight" state="frozen"/>
      <selection pane="topRight" activeCell="F1" sqref="F1"/>
      <selection pane="bottomLeft" activeCell="A5" sqref="A5"/>
      <selection pane="bottomRight"/>
    </sheetView>
  </sheetViews>
  <sheetFormatPr defaultColWidth="8.7109375" defaultRowHeight="15" x14ac:dyDescent="0.25"/>
  <cols>
    <col min="1" max="1" width="6" customWidth="1"/>
    <col min="2" max="2" width="48" customWidth="1"/>
    <col min="3" max="3" width="14" customWidth="1"/>
    <col min="4" max="4" width="16" customWidth="1"/>
    <col min="5" max="5" width="26" customWidth="1"/>
    <col min="6" max="7" width="26" hidden="1" customWidth="1"/>
    <col min="8" max="8" width="16" customWidth="1"/>
    <col min="9" max="16" width="15" customWidth="1"/>
    <col min="17" max="17" width="16" customWidth="1"/>
    <col min="18" max="18" width="15" customWidth="1"/>
  </cols>
  <sheetData>
    <row r="1" spans="1:18" ht="15.75" x14ac:dyDescent="0.25">
      <c r="A1" s="1" t="s">
        <v>0</v>
      </c>
    </row>
    <row r="2" spans="1:18" x14ac:dyDescent="0.25">
      <c r="A2" s="2" t="s">
        <v>252</v>
      </c>
    </row>
    <row r="3" spans="1:18" x14ac:dyDescent="0.25">
      <c r="A3" s="3"/>
      <c r="B3" s="4" t="s">
        <v>2</v>
      </c>
      <c r="C3" s="3"/>
      <c r="D3" s="3"/>
      <c r="E3" s="3"/>
      <c r="F3" s="3"/>
      <c r="G3" s="3"/>
      <c r="H3" s="5">
        <f t="shared" ref="H3:R3" si="0">SUBTOTAL(9,H5:H54)</f>
        <v>-45031978.349999994</v>
      </c>
      <c r="I3" s="5">
        <f t="shared" si="0"/>
        <v>-4141190.0399999996</v>
      </c>
      <c r="J3" s="5">
        <f t="shared" si="0"/>
        <v>-8008796.629999999</v>
      </c>
      <c r="K3" s="5">
        <f t="shared" si="0"/>
        <v>-124791.9</v>
      </c>
      <c r="L3" s="5">
        <f t="shared" si="0"/>
        <v>-815688.58</v>
      </c>
      <c r="M3" s="5">
        <f t="shared" si="0"/>
        <v>-30000</v>
      </c>
      <c r="N3" s="5">
        <f t="shared" si="0"/>
        <v>-400000</v>
      </c>
      <c r="O3" s="5">
        <f t="shared" si="0"/>
        <v>-25207370.32</v>
      </c>
      <c r="P3" s="5">
        <f t="shared" si="0"/>
        <v>-6005246.8799999999</v>
      </c>
      <c r="Q3" s="5">
        <f t="shared" si="0"/>
        <v>-44733084.349999994</v>
      </c>
      <c r="R3" s="5">
        <f t="shared" si="0"/>
        <v>-298894</v>
      </c>
    </row>
    <row r="4" spans="1:18" ht="30" customHeight="1" x14ac:dyDescent="0.25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2034</v>
      </c>
      <c r="G4" s="6"/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</row>
    <row r="5" spans="1:18" x14ac:dyDescent="0.25">
      <c r="A5" s="7">
        <v>1</v>
      </c>
      <c r="B5" s="7" t="s">
        <v>253</v>
      </c>
      <c r="C5" s="7" t="s">
        <v>79</v>
      </c>
      <c r="D5" s="7" t="s">
        <v>34</v>
      </c>
      <c r="E5" s="56" t="s">
        <v>80</v>
      </c>
      <c r="F5" s="7" t="s">
        <v>2042</v>
      </c>
      <c r="G5" s="7"/>
      <c r="H5" s="8">
        <v>-94000</v>
      </c>
      <c r="I5" s="8">
        <v>0</v>
      </c>
      <c r="J5" s="8">
        <v>0</v>
      </c>
      <c r="K5" s="8">
        <v>-94000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-94000</v>
      </c>
      <c r="R5" s="8">
        <v>0</v>
      </c>
    </row>
    <row r="6" spans="1:18" x14ac:dyDescent="0.25">
      <c r="A6" s="7">
        <v>2</v>
      </c>
      <c r="B6" s="7" t="s">
        <v>254</v>
      </c>
      <c r="C6" s="7" t="s">
        <v>45</v>
      </c>
      <c r="D6" s="7" t="s">
        <v>255</v>
      </c>
      <c r="E6" s="56" t="s">
        <v>255</v>
      </c>
      <c r="F6" s="7"/>
      <c r="G6" s="7"/>
      <c r="H6" s="8">
        <v>-163127.04000000001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-150000</v>
      </c>
      <c r="P6" s="8">
        <v>-13127.04</v>
      </c>
      <c r="Q6" s="8">
        <v>-163127.04000000001</v>
      </c>
      <c r="R6" s="8">
        <v>0</v>
      </c>
    </row>
    <row r="7" spans="1:18" x14ac:dyDescent="0.25">
      <c r="A7" s="7">
        <v>3</v>
      </c>
      <c r="B7" s="7" t="s">
        <v>256</v>
      </c>
      <c r="C7" s="7" t="s">
        <v>82</v>
      </c>
      <c r="D7" s="7" t="s">
        <v>52</v>
      </c>
      <c r="E7" s="56" t="s">
        <v>52</v>
      </c>
      <c r="F7" s="7"/>
      <c r="G7" s="7"/>
      <c r="H7" s="8">
        <v>-7148</v>
      </c>
      <c r="I7" s="8">
        <v>0</v>
      </c>
      <c r="J7" s="8">
        <v>0</v>
      </c>
      <c r="K7" s="8">
        <v>0</v>
      </c>
      <c r="L7" s="8">
        <v>-7148</v>
      </c>
      <c r="M7" s="8">
        <v>0</v>
      </c>
      <c r="N7" s="8">
        <v>0</v>
      </c>
      <c r="O7" s="8">
        <v>0</v>
      </c>
      <c r="P7" s="8">
        <v>0</v>
      </c>
      <c r="Q7" s="8">
        <v>-7148</v>
      </c>
      <c r="R7" s="8">
        <v>0</v>
      </c>
    </row>
    <row r="8" spans="1:18" x14ac:dyDescent="0.25">
      <c r="A8" s="7">
        <v>4</v>
      </c>
      <c r="B8" s="7" t="s">
        <v>257</v>
      </c>
      <c r="C8" s="7" t="s">
        <v>82</v>
      </c>
      <c r="D8" s="7" t="s">
        <v>52</v>
      </c>
      <c r="E8" s="56" t="s">
        <v>52</v>
      </c>
      <c r="F8" s="7"/>
      <c r="G8" s="7"/>
      <c r="H8" s="8">
        <v>-4484</v>
      </c>
      <c r="I8" s="8">
        <v>-4484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-4484</v>
      </c>
      <c r="R8" s="8">
        <v>0</v>
      </c>
    </row>
    <row r="9" spans="1:18" x14ac:dyDescent="0.25">
      <c r="A9" s="7">
        <v>5</v>
      </c>
      <c r="B9" s="7" t="s">
        <v>258</v>
      </c>
      <c r="C9" s="7" t="s">
        <v>28</v>
      </c>
      <c r="D9" s="7" t="s">
        <v>52</v>
      </c>
      <c r="E9" s="56" t="s">
        <v>52</v>
      </c>
      <c r="F9" s="7"/>
      <c r="G9" s="7"/>
      <c r="H9" s="8">
        <v>-15000</v>
      </c>
      <c r="I9" s="8">
        <v>-15000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-15000</v>
      </c>
      <c r="R9" s="8">
        <v>0</v>
      </c>
    </row>
    <row r="10" spans="1:18" x14ac:dyDescent="0.25">
      <c r="A10" s="7">
        <v>6</v>
      </c>
      <c r="B10" s="7" t="s">
        <v>259</v>
      </c>
      <c r="C10" s="7" t="s">
        <v>42</v>
      </c>
      <c r="D10" s="7" t="s">
        <v>255</v>
      </c>
      <c r="E10" s="56" t="s">
        <v>255</v>
      </c>
      <c r="F10" s="7"/>
      <c r="G10" s="7"/>
      <c r="H10" s="8">
        <v>-531569.86</v>
      </c>
      <c r="I10" s="8">
        <v>-531569.86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-531569.86</v>
      </c>
      <c r="R10" s="8">
        <v>0</v>
      </c>
    </row>
    <row r="11" spans="1:18" x14ac:dyDescent="0.25">
      <c r="A11" s="7">
        <v>7</v>
      </c>
      <c r="B11" s="7" t="s">
        <v>260</v>
      </c>
      <c r="C11" s="7" t="s">
        <v>82</v>
      </c>
      <c r="D11" s="7" t="s">
        <v>52</v>
      </c>
      <c r="E11" s="56" t="s">
        <v>52</v>
      </c>
      <c r="F11" s="7"/>
      <c r="G11" s="7"/>
      <c r="H11" s="8">
        <v>-23510</v>
      </c>
      <c r="I11" s="8">
        <v>0</v>
      </c>
      <c r="J11" s="8">
        <v>0</v>
      </c>
      <c r="K11" s="8">
        <v>-10</v>
      </c>
      <c r="L11" s="8">
        <v>-23500</v>
      </c>
      <c r="M11" s="8">
        <v>0</v>
      </c>
      <c r="N11" s="8">
        <v>0</v>
      </c>
      <c r="O11" s="8">
        <v>0</v>
      </c>
      <c r="P11" s="8">
        <v>0</v>
      </c>
      <c r="Q11" s="8">
        <v>-23510</v>
      </c>
      <c r="R11" s="8">
        <v>0</v>
      </c>
    </row>
    <row r="12" spans="1:18" x14ac:dyDescent="0.25">
      <c r="A12" s="7">
        <v>8</v>
      </c>
      <c r="B12" s="7" t="s">
        <v>261</v>
      </c>
      <c r="C12" s="7" t="s">
        <v>39</v>
      </c>
      <c r="D12" s="7" t="s">
        <v>52</v>
      </c>
      <c r="E12" s="56" t="s">
        <v>52</v>
      </c>
      <c r="F12" s="7"/>
      <c r="G12" s="7"/>
      <c r="H12" s="8">
        <v>-25000</v>
      </c>
      <c r="I12" s="8">
        <v>0</v>
      </c>
      <c r="J12" s="8">
        <v>0</v>
      </c>
      <c r="K12" s="8">
        <v>0</v>
      </c>
      <c r="L12" s="8">
        <v>-25000</v>
      </c>
      <c r="M12" s="8">
        <v>0</v>
      </c>
      <c r="N12" s="8">
        <v>0</v>
      </c>
      <c r="O12" s="8">
        <v>0</v>
      </c>
      <c r="P12" s="8">
        <v>0</v>
      </c>
      <c r="Q12" s="8">
        <v>-25000</v>
      </c>
      <c r="R12" s="8">
        <v>0</v>
      </c>
    </row>
    <row r="13" spans="1:18" x14ac:dyDescent="0.25">
      <c r="A13" s="7">
        <v>9</v>
      </c>
      <c r="B13" s="7" t="s">
        <v>262</v>
      </c>
      <c r="C13" s="7" t="s">
        <v>42</v>
      </c>
      <c r="D13" s="7" t="s">
        <v>52</v>
      </c>
      <c r="E13" s="56" t="s">
        <v>52</v>
      </c>
      <c r="F13" s="7" t="s">
        <v>2040</v>
      </c>
      <c r="G13" s="7"/>
      <c r="H13" s="8">
        <v>-187504</v>
      </c>
      <c r="I13" s="8">
        <v>-10000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-177504</v>
      </c>
      <c r="P13" s="8">
        <v>0</v>
      </c>
      <c r="Q13" s="8">
        <v>-187504</v>
      </c>
      <c r="R13" s="8">
        <v>0</v>
      </c>
    </row>
    <row r="14" spans="1:18" x14ac:dyDescent="0.25">
      <c r="A14" s="7">
        <v>10</v>
      </c>
      <c r="B14" s="7" t="s">
        <v>263</v>
      </c>
      <c r="C14" s="7" t="s">
        <v>82</v>
      </c>
      <c r="D14" s="7" t="s">
        <v>52</v>
      </c>
      <c r="E14" s="56" t="s">
        <v>52</v>
      </c>
      <c r="F14" s="7" t="s">
        <v>2045</v>
      </c>
      <c r="G14" s="7"/>
      <c r="H14" s="8">
        <v>-17998</v>
      </c>
      <c r="I14" s="8">
        <v>0</v>
      </c>
      <c r="J14" s="8">
        <v>-17998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-17998</v>
      </c>
      <c r="R14" s="8">
        <v>0</v>
      </c>
    </row>
    <row r="15" spans="1:18" x14ac:dyDescent="0.25">
      <c r="A15" s="7">
        <v>11</v>
      </c>
      <c r="B15" s="7" t="s">
        <v>264</v>
      </c>
      <c r="C15" s="7" t="s">
        <v>24</v>
      </c>
      <c r="D15" s="7" t="s">
        <v>21</v>
      </c>
      <c r="E15" s="56" t="s">
        <v>101</v>
      </c>
      <c r="F15" s="7"/>
      <c r="G15" s="7"/>
      <c r="H15" s="8">
        <v>-0.25</v>
      </c>
      <c r="I15" s="8">
        <v>-0.25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-0.25</v>
      </c>
      <c r="R15" s="8">
        <v>0</v>
      </c>
    </row>
    <row r="16" spans="1:18" x14ac:dyDescent="0.25">
      <c r="A16" s="7">
        <v>12</v>
      </c>
      <c r="B16" s="7" t="s">
        <v>265</v>
      </c>
      <c r="C16" s="7" t="s">
        <v>20</v>
      </c>
      <c r="D16" s="7" t="s">
        <v>21</v>
      </c>
      <c r="E16" s="56" t="s">
        <v>266</v>
      </c>
      <c r="F16" s="7"/>
      <c r="G16" s="7"/>
      <c r="H16" s="42">
        <v>-13962953.220000001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-13962953.220000001</v>
      </c>
      <c r="P16" s="8">
        <v>0</v>
      </c>
      <c r="Q16" s="8">
        <v>-13962953.220000001</v>
      </c>
      <c r="R16" s="8">
        <v>0</v>
      </c>
    </row>
    <row r="17" spans="1:18" x14ac:dyDescent="0.25">
      <c r="A17" s="7">
        <v>13</v>
      </c>
      <c r="B17" s="7" t="s">
        <v>267</v>
      </c>
      <c r="C17" s="7" t="s">
        <v>20</v>
      </c>
      <c r="D17" s="7" t="s">
        <v>21</v>
      </c>
      <c r="E17" s="56" t="s">
        <v>279</v>
      </c>
      <c r="F17" s="7" t="s">
        <v>2040</v>
      </c>
      <c r="G17" s="7"/>
      <c r="H17" s="8">
        <v>-29669.94</v>
      </c>
      <c r="I17" s="8">
        <v>0</v>
      </c>
      <c r="J17" s="8">
        <v>-29669.94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-29669.94</v>
      </c>
      <c r="R17" s="8">
        <v>0</v>
      </c>
    </row>
    <row r="18" spans="1:18" x14ac:dyDescent="0.25">
      <c r="A18" s="7">
        <v>14</v>
      </c>
      <c r="B18" s="7" t="s">
        <v>268</v>
      </c>
      <c r="C18" s="7" t="s">
        <v>33</v>
      </c>
      <c r="D18" s="7" t="s">
        <v>21</v>
      </c>
      <c r="E18" s="56" t="s">
        <v>269</v>
      </c>
      <c r="F18" s="7"/>
      <c r="G18" s="7"/>
      <c r="H18" s="8">
        <v>-7000</v>
      </c>
      <c r="I18" s="8">
        <v>276000</v>
      </c>
      <c r="J18" s="8">
        <v>-283000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-7000</v>
      </c>
      <c r="R18" s="8">
        <v>0</v>
      </c>
    </row>
    <row r="19" spans="1:18" x14ac:dyDescent="0.25">
      <c r="A19" s="7">
        <v>15</v>
      </c>
      <c r="B19" s="7" t="s">
        <v>270</v>
      </c>
      <c r="C19" s="7" t="s">
        <v>82</v>
      </c>
      <c r="D19" s="7" t="s">
        <v>90</v>
      </c>
      <c r="E19" s="56" t="s">
        <v>271</v>
      </c>
      <c r="F19" s="7"/>
      <c r="G19" s="7"/>
      <c r="H19" s="8">
        <v>-2714140</v>
      </c>
      <c r="I19" s="8">
        <v>-2000000</v>
      </c>
      <c r="J19" s="8">
        <v>0</v>
      </c>
      <c r="K19" s="8">
        <v>0</v>
      </c>
      <c r="L19" s="8">
        <v>-714140</v>
      </c>
      <c r="M19" s="8">
        <v>0</v>
      </c>
      <c r="N19" s="8">
        <v>0</v>
      </c>
      <c r="O19" s="8">
        <v>0</v>
      </c>
      <c r="P19" s="8">
        <v>0</v>
      </c>
      <c r="Q19" s="8">
        <v>-2714140</v>
      </c>
      <c r="R19" s="8">
        <v>0</v>
      </c>
    </row>
    <row r="20" spans="1:18" x14ac:dyDescent="0.25">
      <c r="A20" s="7">
        <v>16</v>
      </c>
      <c r="B20" s="7" t="s">
        <v>272</v>
      </c>
      <c r="C20" s="7" t="s">
        <v>79</v>
      </c>
      <c r="D20" s="7" t="s">
        <v>34</v>
      </c>
      <c r="E20" s="56" t="s">
        <v>80</v>
      </c>
      <c r="F20" s="7" t="s">
        <v>2042</v>
      </c>
      <c r="G20" s="7"/>
      <c r="H20" s="8">
        <v>-2687615</v>
      </c>
      <c r="I20" s="8">
        <v>-300000</v>
      </c>
      <c r="J20" s="8">
        <v>-2387615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-2687615</v>
      </c>
      <c r="R20" s="8">
        <v>0</v>
      </c>
    </row>
    <row r="21" spans="1:18" x14ac:dyDescent="0.25">
      <c r="A21" s="7">
        <v>17</v>
      </c>
      <c r="B21" s="7" t="s">
        <v>273</v>
      </c>
      <c r="C21" s="7" t="s">
        <v>42</v>
      </c>
      <c r="D21" s="7" t="s">
        <v>90</v>
      </c>
      <c r="E21" s="56" t="s">
        <v>170</v>
      </c>
      <c r="F21" s="7"/>
      <c r="G21" s="7"/>
      <c r="H21" s="8">
        <v>-2884000</v>
      </c>
      <c r="I21" s="8">
        <v>-1656000</v>
      </c>
      <c r="J21" s="8">
        <v>-1228000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-2884000</v>
      </c>
      <c r="R21" s="8">
        <v>0</v>
      </c>
    </row>
    <row r="22" spans="1:18" x14ac:dyDescent="0.25">
      <c r="A22" s="7">
        <v>18</v>
      </c>
      <c r="B22" s="7" t="s">
        <v>274</v>
      </c>
      <c r="C22" s="7" t="s">
        <v>57</v>
      </c>
      <c r="D22" s="7" t="s">
        <v>34</v>
      </c>
      <c r="E22" s="56" t="s">
        <v>77</v>
      </c>
      <c r="F22" s="56" t="s">
        <v>2046</v>
      </c>
      <c r="G22" s="7"/>
      <c r="H22" s="8">
        <v>-19032.8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-19032.8</v>
      </c>
      <c r="P22" s="8">
        <v>0</v>
      </c>
      <c r="Q22" s="8">
        <v>-19032.8</v>
      </c>
      <c r="R22" s="8">
        <v>0</v>
      </c>
    </row>
    <row r="23" spans="1:18" x14ac:dyDescent="0.25">
      <c r="A23" s="7">
        <v>19</v>
      </c>
      <c r="B23" s="7" t="s">
        <v>275</v>
      </c>
      <c r="C23" s="7" t="s">
        <v>82</v>
      </c>
      <c r="D23" s="7" t="s">
        <v>52</v>
      </c>
      <c r="E23" s="56" t="s">
        <v>52</v>
      </c>
      <c r="F23" s="7"/>
      <c r="G23" s="7"/>
      <c r="H23" s="8">
        <v>-4421</v>
      </c>
      <c r="I23" s="8">
        <v>-4421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-4421</v>
      </c>
      <c r="R23" s="8">
        <v>0</v>
      </c>
    </row>
    <row r="24" spans="1:18" x14ac:dyDescent="0.25">
      <c r="A24" s="7">
        <v>20</v>
      </c>
      <c r="B24" s="7" t="s">
        <v>276</v>
      </c>
      <c r="C24" s="7" t="s">
        <v>28</v>
      </c>
      <c r="D24" s="7" t="s">
        <v>21</v>
      </c>
      <c r="E24" s="56" t="s">
        <v>269</v>
      </c>
      <c r="F24" s="7"/>
      <c r="G24" s="7"/>
      <c r="H24" s="8">
        <v>-195874.65</v>
      </c>
      <c r="I24" s="8">
        <v>131705.39000000001</v>
      </c>
      <c r="J24" s="8">
        <v>-327580.03999999998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-195874.65</v>
      </c>
      <c r="R24" s="8">
        <v>0</v>
      </c>
    </row>
    <row r="25" spans="1:18" x14ac:dyDescent="0.25">
      <c r="A25" s="7">
        <v>21</v>
      </c>
      <c r="B25" s="7" t="s">
        <v>277</v>
      </c>
      <c r="C25" s="7" t="s">
        <v>49</v>
      </c>
      <c r="D25" s="7" t="s">
        <v>90</v>
      </c>
      <c r="E25" s="56" t="s">
        <v>170</v>
      </c>
      <c r="F25" s="7"/>
      <c r="G25" s="7"/>
      <c r="H25" s="42">
        <v>-4692357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-4692357</v>
      </c>
      <c r="Q25" s="8">
        <v>-4692357</v>
      </c>
      <c r="R25" s="8">
        <v>0</v>
      </c>
    </row>
    <row r="26" spans="1:18" x14ac:dyDescent="0.25">
      <c r="A26" s="7">
        <v>22</v>
      </c>
      <c r="B26" s="7" t="s">
        <v>278</v>
      </c>
      <c r="C26" s="7" t="s">
        <v>20</v>
      </c>
      <c r="D26" s="7" t="s">
        <v>25</v>
      </c>
      <c r="E26" s="56" t="s">
        <v>279</v>
      </c>
      <c r="F26" s="7" t="s">
        <v>2035</v>
      </c>
      <c r="G26" s="7"/>
      <c r="H26" s="8">
        <v>-653396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-653396</v>
      </c>
      <c r="P26" s="8">
        <v>0</v>
      </c>
      <c r="Q26" s="8">
        <v>-653396</v>
      </c>
      <c r="R26" s="8">
        <v>0</v>
      </c>
    </row>
    <row r="27" spans="1:18" x14ac:dyDescent="0.25">
      <c r="A27" s="7">
        <v>23</v>
      </c>
      <c r="B27" s="7" t="s">
        <v>280</v>
      </c>
      <c r="C27" s="7" t="s">
        <v>28</v>
      </c>
      <c r="D27" s="7" t="s">
        <v>21</v>
      </c>
      <c r="E27" s="56" t="s">
        <v>101</v>
      </c>
      <c r="F27" s="7"/>
      <c r="G27" s="7"/>
      <c r="H27" s="8">
        <v>-0.68</v>
      </c>
      <c r="I27" s="8">
        <v>-0.68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-0.68</v>
      </c>
      <c r="R27" s="8">
        <v>0</v>
      </c>
    </row>
    <row r="28" spans="1:18" x14ac:dyDescent="0.25">
      <c r="A28" s="7">
        <v>24</v>
      </c>
      <c r="B28" s="7" t="s">
        <v>281</v>
      </c>
      <c r="C28" s="7" t="s">
        <v>161</v>
      </c>
      <c r="D28" s="7" t="s">
        <v>21</v>
      </c>
      <c r="E28" s="56" t="s">
        <v>22</v>
      </c>
      <c r="F28" s="7"/>
      <c r="G28" s="7"/>
      <c r="H28" s="8">
        <v>-5900</v>
      </c>
      <c r="I28" s="8">
        <v>0</v>
      </c>
      <c r="J28" s="8">
        <v>0</v>
      </c>
      <c r="K28" s="8">
        <v>0</v>
      </c>
      <c r="L28" s="8">
        <v>-5900</v>
      </c>
      <c r="M28" s="8">
        <v>0</v>
      </c>
      <c r="N28" s="8">
        <v>0</v>
      </c>
      <c r="O28" s="8">
        <v>0</v>
      </c>
      <c r="P28" s="8">
        <v>0</v>
      </c>
      <c r="Q28" s="8">
        <v>-5900</v>
      </c>
      <c r="R28" s="8">
        <v>0</v>
      </c>
    </row>
    <row r="29" spans="1:18" x14ac:dyDescent="0.25">
      <c r="A29" s="7">
        <v>25</v>
      </c>
      <c r="B29" s="7" t="s">
        <v>282</v>
      </c>
      <c r="C29" s="7" t="s">
        <v>82</v>
      </c>
      <c r="D29" s="7" t="s">
        <v>52</v>
      </c>
      <c r="E29" s="56" t="s">
        <v>52</v>
      </c>
      <c r="F29" s="7"/>
      <c r="G29" s="7"/>
      <c r="H29" s="8">
        <v>-25507</v>
      </c>
      <c r="I29" s="8">
        <v>-4493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-4493</v>
      </c>
      <c r="R29" s="8">
        <v>-21014</v>
      </c>
    </row>
    <row r="30" spans="1:18" x14ac:dyDescent="0.25">
      <c r="A30" s="7">
        <v>26</v>
      </c>
      <c r="B30" s="7" t="s">
        <v>283</v>
      </c>
      <c r="C30" s="7" t="s">
        <v>79</v>
      </c>
      <c r="D30" s="7" t="s">
        <v>34</v>
      </c>
      <c r="E30" s="56" t="s">
        <v>80</v>
      </c>
      <c r="F30" s="7" t="s">
        <v>2042</v>
      </c>
      <c r="G30" s="7"/>
      <c r="H30" s="8">
        <v>-2874700</v>
      </c>
      <c r="I30" s="8">
        <v>-222120</v>
      </c>
      <c r="J30" s="8">
        <v>-2374700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-2596820</v>
      </c>
      <c r="R30" s="8">
        <v>-277880</v>
      </c>
    </row>
    <row r="31" spans="1:18" x14ac:dyDescent="0.25">
      <c r="A31" s="7">
        <v>27</v>
      </c>
      <c r="B31" s="7" t="s">
        <v>284</v>
      </c>
      <c r="C31" s="7" t="s">
        <v>24</v>
      </c>
      <c r="D31" s="7" t="s">
        <v>21</v>
      </c>
      <c r="E31" s="56" t="s">
        <v>170</v>
      </c>
      <c r="F31" s="7"/>
      <c r="G31" s="7"/>
      <c r="H31" s="8">
        <v>-5781.9</v>
      </c>
      <c r="I31" s="8">
        <v>0</v>
      </c>
      <c r="J31" s="8">
        <v>0</v>
      </c>
      <c r="K31" s="8">
        <v>-5781.9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-5781.9</v>
      </c>
      <c r="R31" s="8">
        <v>0</v>
      </c>
    </row>
    <row r="32" spans="1:18" x14ac:dyDescent="0.25">
      <c r="A32" s="7">
        <v>28</v>
      </c>
      <c r="B32" s="7" t="s">
        <v>285</v>
      </c>
      <c r="C32" s="7" t="s">
        <v>28</v>
      </c>
      <c r="D32" s="7" t="s">
        <v>21</v>
      </c>
      <c r="E32" s="56" t="s">
        <v>286</v>
      </c>
      <c r="F32" s="7" t="s">
        <v>2041</v>
      </c>
      <c r="G32" s="7"/>
      <c r="H32" s="8">
        <v>-179000</v>
      </c>
      <c r="I32" s="8">
        <v>0</v>
      </c>
      <c r="J32" s="8">
        <v>-179000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-179000</v>
      </c>
      <c r="R32" s="8">
        <v>0</v>
      </c>
    </row>
    <row r="33" spans="1:18" x14ac:dyDescent="0.25">
      <c r="A33" s="7">
        <v>29</v>
      </c>
      <c r="B33" s="7" t="s">
        <v>287</v>
      </c>
      <c r="C33" s="7" t="s">
        <v>58</v>
      </c>
      <c r="D33" s="7" t="s">
        <v>21</v>
      </c>
      <c r="E33" s="56" t="s">
        <v>288</v>
      </c>
      <c r="F33" s="7" t="s">
        <v>2038</v>
      </c>
      <c r="G33" s="7"/>
      <c r="H33" s="8">
        <v>-600000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-600000</v>
      </c>
      <c r="P33" s="8">
        <v>0</v>
      </c>
      <c r="Q33" s="8">
        <v>-600000</v>
      </c>
      <c r="R33" s="8">
        <v>0</v>
      </c>
    </row>
    <row r="34" spans="1:18" x14ac:dyDescent="0.25">
      <c r="A34" s="7">
        <v>30</v>
      </c>
      <c r="B34" s="7" t="s">
        <v>289</v>
      </c>
      <c r="C34" s="7" t="s">
        <v>24</v>
      </c>
      <c r="D34" s="7" t="s">
        <v>90</v>
      </c>
      <c r="E34" s="56" t="s">
        <v>170</v>
      </c>
      <c r="F34" s="7"/>
      <c r="G34" s="7"/>
      <c r="H34" s="8">
        <v>-141300</v>
      </c>
      <c r="I34" s="8">
        <v>353700</v>
      </c>
      <c r="J34" s="8">
        <v>-495000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-141300</v>
      </c>
      <c r="R34" s="8">
        <v>0</v>
      </c>
    </row>
    <row r="35" spans="1:18" x14ac:dyDescent="0.25">
      <c r="A35" s="7">
        <v>31</v>
      </c>
      <c r="B35" s="7" t="s">
        <v>290</v>
      </c>
      <c r="C35" s="7" t="s">
        <v>20</v>
      </c>
      <c r="D35" s="7" t="s">
        <v>21</v>
      </c>
      <c r="E35" s="56" t="s">
        <v>291</v>
      </c>
      <c r="F35" s="7"/>
      <c r="G35" s="7"/>
      <c r="H35" s="8">
        <v>-6891.58</v>
      </c>
      <c r="I35" s="8">
        <v>0</v>
      </c>
      <c r="J35" s="8">
        <v>-6891.58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-6891.58</v>
      </c>
      <c r="R35" s="8">
        <v>0</v>
      </c>
    </row>
    <row r="36" spans="1:18" x14ac:dyDescent="0.25">
      <c r="A36" s="7">
        <v>32</v>
      </c>
      <c r="B36" s="7" t="s">
        <v>292</v>
      </c>
      <c r="C36" s="7" t="s">
        <v>20</v>
      </c>
      <c r="D36" s="7" t="s">
        <v>21</v>
      </c>
      <c r="E36" s="56" t="s">
        <v>293</v>
      </c>
      <c r="F36" s="57"/>
      <c r="G36" s="7"/>
      <c r="H36" s="8">
        <v>-6048</v>
      </c>
      <c r="I36" s="8">
        <v>0</v>
      </c>
      <c r="J36" s="8">
        <v>-6048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-6048</v>
      </c>
      <c r="R36" s="8">
        <v>0</v>
      </c>
    </row>
    <row r="37" spans="1:18" x14ac:dyDescent="0.25">
      <c r="A37" s="7">
        <v>33</v>
      </c>
      <c r="B37" s="7" t="s">
        <v>294</v>
      </c>
      <c r="C37" s="7" t="s">
        <v>20</v>
      </c>
      <c r="D37" s="7" t="s">
        <v>52</v>
      </c>
      <c r="E37" s="56" t="s">
        <v>52</v>
      </c>
      <c r="F37" s="7"/>
      <c r="G37" s="7"/>
      <c r="H37" s="8">
        <v>-25000</v>
      </c>
      <c r="I37" s="8">
        <v>0</v>
      </c>
      <c r="J37" s="8">
        <v>0</v>
      </c>
      <c r="K37" s="8">
        <v>-25000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-25000</v>
      </c>
      <c r="R37" s="8">
        <v>0</v>
      </c>
    </row>
    <row r="38" spans="1:18" x14ac:dyDescent="0.25">
      <c r="A38" s="7">
        <v>34</v>
      </c>
      <c r="B38" s="7" t="s">
        <v>295</v>
      </c>
      <c r="C38" s="7" t="s">
        <v>20</v>
      </c>
      <c r="D38" s="7" t="s">
        <v>21</v>
      </c>
      <c r="E38" s="56" t="s">
        <v>217</v>
      </c>
      <c r="F38" s="7"/>
      <c r="G38" s="7"/>
      <c r="H38" s="8">
        <v>-1852.02</v>
      </c>
      <c r="I38" s="8">
        <v>0</v>
      </c>
      <c r="J38" s="8">
        <v>-1852.02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-1852.02</v>
      </c>
      <c r="R38" s="8">
        <v>0</v>
      </c>
    </row>
    <row r="39" spans="1:18" x14ac:dyDescent="0.25">
      <c r="A39" s="7">
        <v>35</v>
      </c>
      <c r="B39" s="7" t="s">
        <v>296</v>
      </c>
      <c r="C39" s="7" t="s">
        <v>42</v>
      </c>
      <c r="D39" s="7" t="s">
        <v>52</v>
      </c>
      <c r="E39" s="56" t="s">
        <v>52</v>
      </c>
      <c r="F39" s="7"/>
      <c r="G39" s="7"/>
      <c r="H39" s="8">
        <v>-25000</v>
      </c>
      <c r="I39" s="8">
        <v>0</v>
      </c>
      <c r="J39" s="8">
        <v>0</v>
      </c>
      <c r="K39" s="8">
        <v>0</v>
      </c>
      <c r="L39" s="8">
        <v>-25000</v>
      </c>
      <c r="M39" s="8">
        <v>0</v>
      </c>
      <c r="N39" s="8">
        <v>0</v>
      </c>
      <c r="O39" s="8">
        <v>0</v>
      </c>
      <c r="P39" s="8">
        <v>0</v>
      </c>
      <c r="Q39" s="8">
        <v>-25000</v>
      </c>
      <c r="R39" s="8">
        <v>0</v>
      </c>
    </row>
    <row r="40" spans="1:18" x14ac:dyDescent="0.25">
      <c r="A40" s="7">
        <v>36</v>
      </c>
      <c r="B40" s="7" t="s">
        <v>297</v>
      </c>
      <c r="C40" s="7" t="s">
        <v>42</v>
      </c>
      <c r="D40" s="7" t="s">
        <v>21</v>
      </c>
      <c r="E40" s="56" t="s">
        <v>298</v>
      </c>
      <c r="F40" s="7" t="s">
        <v>2043</v>
      </c>
      <c r="G40" s="7"/>
      <c r="H40" s="8">
        <v>-400000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-400000</v>
      </c>
      <c r="O40" s="8">
        <v>0</v>
      </c>
      <c r="P40" s="8">
        <v>0</v>
      </c>
      <c r="Q40" s="8">
        <v>-400000</v>
      </c>
      <c r="R40" s="8">
        <v>0</v>
      </c>
    </row>
    <row r="41" spans="1:18" x14ac:dyDescent="0.25">
      <c r="A41" s="7">
        <v>37</v>
      </c>
      <c r="B41" s="7" t="s">
        <v>299</v>
      </c>
      <c r="C41" s="7" t="s">
        <v>33</v>
      </c>
      <c r="D41" s="7" t="s">
        <v>55</v>
      </c>
      <c r="E41" s="56" t="s">
        <v>300</v>
      </c>
      <c r="F41" s="7"/>
      <c r="G41" s="7"/>
      <c r="H41" s="8">
        <v>-649762.84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-649762.84</v>
      </c>
      <c r="Q41" s="8">
        <v>-649762.84</v>
      </c>
      <c r="R41" s="8">
        <v>0</v>
      </c>
    </row>
    <row r="42" spans="1:18" x14ac:dyDescent="0.25">
      <c r="A42" s="7">
        <v>38</v>
      </c>
      <c r="B42" s="7" t="s">
        <v>301</v>
      </c>
      <c r="C42" s="7" t="s">
        <v>39</v>
      </c>
      <c r="D42" s="7" t="s">
        <v>21</v>
      </c>
      <c r="E42" s="56" t="s">
        <v>142</v>
      </c>
      <c r="F42" s="7"/>
      <c r="G42" s="7"/>
      <c r="H42" s="8">
        <v>-108.85</v>
      </c>
      <c r="I42" s="8">
        <v>-108.85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-108.85</v>
      </c>
      <c r="R42" s="8">
        <v>0</v>
      </c>
    </row>
    <row r="43" spans="1:18" x14ac:dyDescent="0.25">
      <c r="A43" s="7">
        <v>39</v>
      </c>
      <c r="B43" s="7" t="s">
        <v>302</v>
      </c>
      <c r="C43" s="7" t="s">
        <v>20</v>
      </c>
      <c r="D43" s="7" t="s">
        <v>55</v>
      </c>
      <c r="E43" s="56" t="s">
        <v>300</v>
      </c>
      <c r="F43" s="7"/>
      <c r="G43" s="7"/>
      <c r="H43" s="8">
        <v>-195838.66</v>
      </c>
      <c r="I43" s="8">
        <v>0</v>
      </c>
      <c r="J43" s="8">
        <v>-54183.66</v>
      </c>
      <c r="K43" s="8">
        <v>0</v>
      </c>
      <c r="L43" s="8">
        <v>0</v>
      </c>
      <c r="M43" s="8">
        <v>0</v>
      </c>
      <c r="N43" s="8">
        <v>0</v>
      </c>
      <c r="O43" s="8">
        <v>-141655</v>
      </c>
      <c r="P43" s="8">
        <v>0</v>
      </c>
      <c r="Q43" s="8">
        <v>-195838.66</v>
      </c>
      <c r="R43" s="8">
        <v>0</v>
      </c>
    </row>
    <row r="44" spans="1:18" x14ac:dyDescent="0.25">
      <c r="A44" s="7">
        <v>40</v>
      </c>
      <c r="B44" s="7" t="s">
        <v>303</v>
      </c>
      <c r="C44" s="7" t="s">
        <v>45</v>
      </c>
      <c r="D44" s="7" t="s">
        <v>52</v>
      </c>
      <c r="E44" s="56" t="s">
        <v>52</v>
      </c>
      <c r="F44" s="7"/>
      <c r="G44" s="7"/>
      <c r="H44" s="8">
        <v>-30000</v>
      </c>
      <c r="I44" s="8">
        <v>0</v>
      </c>
      <c r="J44" s="8">
        <v>0</v>
      </c>
      <c r="K44" s="8">
        <v>0</v>
      </c>
      <c r="L44" s="8">
        <v>0</v>
      </c>
      <c r="M44" s="8">
        <v>-30000</v>
      </c>
      <c r="N44" s="8">
        <v>0</v>
      </c>
      <c r="O44" s="8">
        <v>0</v>
      </c>
      <c r="P44" s="8">
        <v>0</v>
      </c>
      <c r="Q44" s="8">
        <v>-30000</v>
      </c>
      <c r="R44" s="8">
        <v>0</v>
      </c>
    </row>
    <row r="45" spans="1:18" x14ac:dyDescent="0.25">
      <c r="A45" s="7">
        <v>41</v>
      </c>
      <c r="B45" s="7" t="s">
        <v>304</v>
      </c>
      <c r="C45" s="7" t="s">
        <v>20</v>
      </c>
      <c r="D45" s="7" t="s">
        <v>21</v>
      </c>
      <c r="E45" s="56" t="s">
        <v>305</v>
      </c>
      <c r="F45" s="7"/>
      <c r="G45" s="7"/>
      <c r="H45" s="8">
        <v>-6400</v>
      </c>
      <c r="I45" s="8">
        <v>-5200</v>
      </c>
      <c r="J45" s="8">
        <v>-1200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-6400</v>
      </c>
      <c r="R45" s="8">
        <v>0</v>
      </c>
    </row>
    <row r="46" spans="1:18" x14ac:dyDescent="0.25">
      <c r="A46" s="7">
        <v>42</v>
      </c>
      <c r="B46" s="7" t="s">
        <v>306</v>
      </c>
      <c r="C46" s="7" t="s">
        <v>82</v>
      </c>
      <c r="D46" s="7" t="s">
        <v>52</v>
      </c>
      <c r="E46" s="56" t="s">
        <v>52</v>
      </c>
      <c r="F46" s="7"/>
      <c r="G46" s="7"/>
      <c r="H46" s="8">
        <v>-12000</v>
      </c>
      <c r="I46" s="8">
        <v>3000</v>
      </c>
      <c r="J46" s="8">
        <v>0</v>
      </c>
      <c r="K46" s="8">
        <v>0</v>
      </c>
      <c r="L46" s="8">
        <v>-15000</v>
      </c>
      <c r="M46" s="8">
        <v>0</v>
      </c>
      <c r="N46" s="8">
        <v>0</v>
      </c>
      <c r="O46" s="8">
        <v>0</v>
      </c>
      <c r="P46" s="8">
        <v>0</v>
      </c>
      <c r="Q46" s="8">
        <v>-12000</v>
      </c>
      <c r="R46" s="8">
        <v>0</v>
      </c>
    </row>
    <row r="47" spans="1:18" x14ac:dyDescent="0.25">
      <c r="A47" s="7">
        <v>43</v>
      </c>
      <c r="B47" s="7" t="s">
        <v>307</v>
      </c>
      <c r="C47" s="7" t="s">
        <v>42</v>
      </c>
      <c r="D47" s="7" t="s">
        <v>90</v>
      </c>
      <c r="E47" s="56" t="s">
        <v>170</v>
      </c>
      <c r="F47" s="7" t="s">
        <v>2037</v>
      </c>
      <c r="G47" s="7"/>
      <c r="H47" s="8">
        <v>-650000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-650000</v>
      </c>
      <c r="Q47" s="8">
        <v>-650000</v>
      </c>
      <c r="R47" s="8">
        <v>0</v>
      </c>
    </row>
    <row r="48" spans="1:18" x14ac:dyDescent="0.25">
      <c r="A48" s="7">
        <v>44</v>
      </c>
      <c r="B48" s="7" t="s">
        <v>308</v>
      </c>
      <c r="C48" s="7" t="s">
        <v>42</v>
      </c>
      <c r="D48" s="7" t="s">
        <v>90</v>
      </c>
      <c r="E48" s="56" t="s">
        <v>170</v>
      </c>
      <c r="F48" s="7" t="s">
        <v>2039</v>
      </c>
      <c r="G48" s="7"/>
      <c r="H48" s="8">
        <v>-587994</v>
      </c>
      <c r="I48" s="8">
        <v>0</v>
      </c>
      <c r="J48" s="8">
        <v>-587994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-587994</v>
      </c>
      <c r="R48" s="8">
        <v>0</v>
      </c>
    </row>
    <row r="49" spans="1:18" x14ac:dyDescent="0.25">
      <c r="A49" s="9">
        <v>45</v>
      </c>
      <c r="B49" s="9" t="s">
        <v>309</v>
      </c>
      <c r="C49" s="9" t="s">
        <v>49</v>
      </c>
      <c r="D49" s="9" t="s">
        <v>25</v>
      </c>
      <c r="E49" s="56" t="s">
        <v>26</v>
      </c>
      <c r="F49" s="9" t="s">
        <v>2036</v>
      </c>
      <c r="G49" s="9"/>
      <c r="H49" s="10">
        <v>-146997.79</v>
      </c>
      <c r="I49" s="10">
        <v>-146997.79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-146997.79</v>
      </c>
      <c r="R49" s="10">
        <v>0</v>
      </c>
    </row>
    <row r="50" spans="1:18" x14ac:dyDescent="0.25">
      <c r="A50" s="7">
        <v>46</v>
      </c>
      <c r="B50" s="7" t="s">
        <v>310</v>
      </c>
      <c r="C50" s="7" t="s">
        <v>20</v>
      </c>
      <c r="D50" s="7" t="s">
        <v>55</v>
      </c>
      <c r="E50" s="56" t="s">
        <v>311</v>
      </c>
      <c r="F50" s="7"/>
      <c r="G50" s="7"/>
      <c r="H50" s="42">
        <v>-9481609.8000000007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-9481609.8000000007</v>
      </c>
      <c r="P50" s="8">
        <v>0</v>
      </c>
      <c r="Q50" s="8">
        <v>-9481609.8000000007</v>
      </c>
      <c r="R50" s="8">
        <v>0</v>
      </c>
    </row>
    <row r="51" spans="1:18" x14ac:dyDescent="0.25">
      <c r="A51" s="7">
        <v>47</v>
      </c>
      <c r="B51" s="7" t="s">
        <v>312</v>
      </c>
      <c r="C51" s="7" t="s">
        <v>20</v>
      </c>
      <c r="D51" s="7" t="s">
        <v>25</v>
      </c>
      <c r="E51" s="56" t="s">
        <v>313</v>
      </c>
      <c r="F51" s="7"/>
      <c r="G51" s="7"/>
      <c r="H51" s="8">
        <v>-5200</v>
      </c>
      <c r="I51" s="8">
        <v>-5200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-5200</v>
      </c>
      <c r="R51" s="8">
        <v>0</v>
      </c>
    </row>
    <row r="52" spans="1:18" x14ac:dyDescent="0.25">
      <c r="A52" s="7">
        <v>48</v>
      </c>
      <c r="B52" s="7" t="s">
        <v>314</v>
      </c>
      <c r="C52" s="7" t="s">
        <v>28</v>
      </c>
      <c r="D52" s="7" t="s">
        <v>55</v>
      </c>
      <c r="E52" s="56" t="s">
        <v>269</v>
      </c>
      <c r="F52" s="7" t="s">
        <v>2040</v>
      </c>
      <c r="G52" s="7">
        <f>28064.39+37033.5</f>
        <v>65097.89</v>
      </c>
      <c r="H52" s="8">
        <v>-28064.39</v>
      </c>
      <c r="I52" s="8">
        <v>0</v>
      </c>
      <c r="J52" s="8">
        <v>-28064.39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-28064.39</v>
      </c>
      <c r="R52" s="8">
        <v>0</v>
      </c>
    </row>
    <row r="53" spans="1:18" x14ac:dyDescent="0.25">
      <c r="A53" s="7">
        <v>49</v>
      </c>
      <c r="B53" s="7" t="s">
        <v>315</v>
      </c>
      <c r="C53" s="7" t="s">
        <v>49</v>
      </c>
      <c r="D53" s="7" t="s">
        <v>21</v>
      </c>
      <c r="E53" s="56" t="s">
        <v>101</v>
      </c>
      <c r="F53" s="7"/>
      <c r="G53" s="7"/>
      <c r="H53" s="8">
        <v>-0.57999999999999996</v>
      </c>
      <c r="I53" s="8">
        <v>0</v>
      </c>
      <c r="J53" s="8">
        <v>0</v>
      </c>
      <c r="K53" s="8">
        <v>0</v>
      </c>
      <c r="L53" s="8">
        <v>-0.57999999999999996</v>
      </c>
      <c r="M53" s="8">
        <v>0</v>
      </c>
      <c r="N53" s="8">
        <v>0</v>
      </c>
      <c r="O53" s="8">
        <v>0</v>
      </c>
      <c r="P53" s="8">
        <v>0</v>
      </c>
      <c r="Q53" s="8">
        <v>-0.57999999999999996</v>
      </c>
      <c r="R53" s="8">
        <v>0</v>
      </c>
    </row>
    <row r="54" spans="1:18" x14ac:dyDescent="0.25">
      <c r="A54" s="7">
        <v>50</v>
      </c>
      <c r="B54" s="7" t="s">
        <v>316</v>
      </c>
      <c r="C54" s="7" t="s">
        <v>57</v>
      </c>
      <c r="D54" s="7" t="s">
        <v>55</v>
      </c>
      <c r="E54" s="56" t="s">
        <v>300</v>
      </c>
      <c r="F54" s="7" t="s">
        <v>2044</v>
      </c>
      <c r="G54" s="7"/>
      <c r="H54" s="8">
        <v>-21219.5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-21219.5</v>
      </c>
      <c r="P54" s="8">
        <v>0</v>
      </c>
      <c r="Q54" s="8">
        <v>-21219.5</v>
      </c>
      <c r="R54" s="8">
        <v>0</v>
      </c>
    </row>
    <row r="56" spans="1:18" x14ac:dyDescent="0.25">
      <c r="A56" s="3"/>
      <c r="B56" s="4" t="s">
        <v>251</v>
      </c>
      <c r="C56" s="3"/>
      <c r="D56" s="3"/>
      <c r="E56" s="3"/>
      <c r="F56" s="3"/>
      <c r="G56" s="3"/>
      <c r="H56" s="5">
        <f>SUBTOTAL(9,H9:H55)</f>
        <v>-44763219.309999987</v>
      </c>
      <c r="I56" s="5">
        <f t="shared" ref="I56:R56" si="1">SUM(I5:I54)</f>
        <v>-4141190.0399999996</v>
      </c>
      <c r="J56" s="5">
        <f t="shared" si="1"/>
        <v>-8008796.629999999</v>
      </c>
      <c r="K56" s="5">
        <f t="shared" si="1"/>
        <v>-124791.9</v>
      </c>
      <c r="L56" s="5">
        <f t="shared" si="1"/>
        <v>-815688.58</v>
      </c>
      <c r="M56" s="5">
        <f t="shared" si="1"/>
        <v>-30000</v>
      </c>
      <c r="N56" s="5">
        <f t="shared" si="1"/>
        <v>-400000</v>
      </c>
      <c r="O56" s="5">
        <f t="shared" si="1"/>
        <v>-25207370.32</v>
      </c>
      <c r="P56" s="5">
        <f t="shared" si="1"/>
        <v>-6005246.8799999999</v>
      </c>
      <c r="Q56" s="5">
        <f t="shared" si="1"/>
        <v>-44733084.349999994</v>
      </c>
      <c r="R56" s="5">
        <f t="shared" si="1"/>
        <v>-298894</v>
      </c>
    </row>
  </sheetData>
  <autoFilter ref="A4:R54">
    <sortState ref="A5:R54">
      <sortCondition ref="A4:A54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8"/>
  <sheetViews>
    <sheetView workbookViewId="0">
      <selection activeCell="B2" sqref="B2"/>
    </sheetView>
  </sheetViews>
  <sheetFormatPr defaultRowHeight="15" x14ac:dyDescent="0.25"/>
  <cols>
    <col min="2" max="2" width="54" bestFit="1" customWidth="1"/>
    <col min="3" max="3" width="8.85546875" bestFit="1" customWidth="1"/>
    <col min="4" max="4" width="12.85546875" bestFit="1" customWidth="1"/>
    <col min="5" max="5" width="11.85546875" bestFit="1" customWidth="1"/>
    <col min="6" max="6" width="12.85546875" bestFit="1" customWidth="1"/>
    <col min="7" max="7" width="10.28515625" bestFit="1" customWidth="1"/>
    <col min="8" max="8" width="6.5703125" bestFit="1" customWidth="1"/>
    <col min="9" max="9" width="7.5703125" bestFit="1" customWidth="1"/>
    <col min="10" max="10" width="11.85546875" bestFit="1" customWidth="1"/>
    <col min="11" max="11" width="7.5703125" bestFit="1" customWidth="1"/>
    <col min="12" max="12" width="8.85546875" bestFit="1" customWidth="1"/>
    <col min="13" max="13" width="12.85546875" bestFit="1" customWidth="1"/>
  </cols>
  <sheetData>
    <row r="2" spans="2:13" ht="25.5" x14ac:dyDescent="0.25">
      <c r="B2" s="43" t="s">
        <v>4</v>
      </c>
      <c r="C2" s="43" t="s">
        <v>5</v>
      </c>
      <c r="D2" s="43" t="s">
        <v>8</v>
      </c>
      <c r="E2" s="43" t="s">
        <v>9</v>
      </c>
      <c r="F2" s="43" t="s">
        <v>10</v>
      </c>
      <c r="G2" s="43" t="s">
        <v>11</v>
      </c>
      <c r="H2" s="43" t="s">
        <v>12</v>
      </c>
      <c r="I2" s="43" t="s">
        <v>13</v>
      </c>
      <c r="J2" s="43" t="s">
        <v>14</v>
      </c>
      <c r="K2" s="43" t="s">
        <v>15</v>
      </c>
      <c r="L2" s="43" t="s">
        <v>16</v>
      </c>
      <c r="M2" s="43" t="s">
        <v>17</v>
      </c>
    </row>
    <row r="3" spans="2:13" x14ac:dyDescent="0.25">
      <c r="B3" s="44" t="s">
        <v>283</v>
      </c>
      <c r="C3" s="44" t="s">
        <v>79</v>
      </c>
      <c r="D3" s="45">
        <v>-2874700</v>
      </c>
      <c r="E3" s="45">
        <v>-222120</v>
      </c>
      <c r="F3" s="45">
        <v>-2374700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-2596820</v>
      </c>
    </row>
    <row r="4" spans="2:13" x14ac:dyDescent="0.25">
      <c r="B4" s="44" t="s">
        <v>272</v>
      </c>
      <c r="C4" s="44" t="s">
        <v>79</v>
      </c>
      <c r="D4" s="45">
        <v>-2687615</v>
      </c>
      <c r="E4" s="45">
        <v>-300000</v>
      </c>
      <c r="F4" s="45">
        <v>-2387615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-2687615</v>
      </c>
    </row>
    <row r="5" spans="2:13" x14ac:dyDescent="0.25">
      <c r="B5" s="44" t="s">
        <v>297</v>
      </c>
      <c r="C5" s="44" t="s">
        <v>42</v>
      </c>
      <c r="D5" s="45">
        <v>-400000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-400000</v>
      </c>
      <c r="K5" s="45">
        <v>0</v>
      </c>
      <c r="L5" s="45">
        <v>0</v>
      </c>
      <c r="M5" s="45">
        <v>-400000</v>
      </c>
    </row>
    <row r="6" spans="2:13" x14ac:dyDescent="0.25">
      <c r="B6" s="44" t="s">
        <v>253</v>
      </c>
      <c r="C6" s="44" t="s">
        <v>79</v>
      </c>
      <c r="D6" s="45">
        <v>-94000</v>
      </c>
      <c r="E6" s="45">
        <v>0</v>
      </c>
      <c r="F6" s="45">
        <v>0</v>
      </c>
      <c r="G6" s="45">
        <v>-94000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-94000</v>
      </c>
    </row>
    <row r="7" spans="2:13" x14ac:dyDescent="0.25">
      <c r="B7" s="44"/>
      <c r="C7" s="44"/>
      <c r="D7" s="45"/>
      <c r="E7" s="45"/>
      <c r="F7" s="45"/>
      <c r="G7" s="45"/>
      <c r="H7" s="45"/>
      <c r="I7" s="45"/>
      <c r="J7" s="45"/>
      <c r="K7" s="45"/>
      <c r="L7" s="45"/>
      <c r="M7" s="45"/>
    </row>
    <row r="8" spans="2:13" x14ac:dyDescent="0.25">
      <c r="B8" s="46"/>
      <c r="C8" s="46"/>
      <c r="D8" s="47">
        <f>SUM(D3:D7)</f>
        <v>-6056315</v>
      </c>
      <c r="E8" s="47">
        <f t="shared" ref="E8:M8" si="0">SUM(E3:E7)</f>
        <v>-522120</v>
      </c>
      <c r="F8" s="47">
        <f t="shared" si="0"/>
        <v>-4762315</v>
      </c>
      <c r="G8" s="47">
        <f t="shared" si="0"/>
        <v>-94000</v>
      </c>
      <c r="H8" s="47">
        <f t="shared" si="0"/>
        <v>0</v>
      </c>
      <c r="I8" s="47">
        <f t="shared" si="0"/>
        <v>0</v>
      </c>
      <c r="J8" s="47">
        <f t="shared" si="0"/>
        <v>-400000</v>
      </c>
      <c r="K8" s="47">
        <f t="shared" si="0"/>
        <v>0</v>
      </c>
      <c r="L8" s="47">
        <f t="shared" si="0"/>
        <v>0</v>
      </c>
      <c r="M8" s="47">
        <f t="shared" si="0"/>
        <v>-5778435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8.7109375" defaultRowHeight="15" x14ac:dyDescent="0.25"/>
  <cols>
    <col min="1" max="1" width="6" customWidth="1"/>
    <col min="2" max="2" width="52" customWidth="1"/>
    <col min="3" max="3" width="16" customWidth="1"/>
    <col min="4" max="4" width="3" customWidth="1"/>
    <col min="5" max="5" width="16" customWidth="1"/>
    <col min="6" max="13" width="15" customWidth="1"/>
    <col min="14" max="14" width="16" customWidth="1"/>
    <col min="15" max="15" width="15" customWidth="1"/>
  </cols>
  <sheetData>
    <row r="1" spans="1:15" ht="15.75" x14ac:dyDescent="0.25">
      <c r="A1" s="1" t="s">
        <v>0</v>
      </c>
    </row>
    <row r="2" spans="1:15" x14ac:dyDescent="0.25">
      <c r="A2" s="2" t="s">
        <v>317</v>
      </c>
    </row>
    <row r="3" spans="1:15" x14ac:dyDescent="0.25">
      <c r="A3" s="3"/>
      <c r="B3" s="4" t="s">
        <v>2</v>
      </c>
      <c r="C3" s="3"/>
      <c r="D3" s="3"/>
      <c r="E3" s="5">
        <f t="shared" ref="E3:O3" si="0">SUM(E5:E21)</f>
        <v>121330571.71000001</v>
      </c>
      <c r="F3" s="5">
        <f t="shared" si="0"/>
        <v>4133810.81</v>
      </c>
      <c r="G3" s="5">
        <f t="shared" si="0"/>
        <v>21034576.030000001</v>
      </c>
      <c r="H3" s="5">
        <f t="shared" si="0"/>
        <v>4849961.419999999</v>
      </c>
      <c r="I3" s="5">
        <f t="shared" si="0"/>
        <v>5021160.72</v>
      </c>
      <c r="J3" s="5">
        <f t="shared" si="0"/>
        <v>27744692.170000002</v>
      </c>
      <c r="K3" s="5">
        <f t="shared" si="0"/>
        <v>7489095.7799999993</v>
      </c>
      <c r="L3" s="5">
        <f t="shared" si="0"/>
        <v>28657614.949999999</v>
      </c>
      <c r="M3" s="5">
        <f t="shared" si="0"/>
        <v>22399659.830000002</v>
      </c>
      <c r="N3" s="5">
        <f t="shared" si="0"/>
        <v>121330571.71000001</v>
      </c>
      <c r="O3" s="5">
        <f t="shared" si="0"/>
        <v>0</v>
      </c>
    </row>
    <row r="4" spans="1:15" ht="30" customHeight="1" x14ac:dyDescent="0.25">
      <c r="A4" s="6" t="s">
        <v>3</v>
      </c>
      <c r="B4" s="6" t="s">
        <v>4</v>
      </c>
      <c r="C4" s="6" t="s">
        <v>6</v>
      </c>
      <c r="D4" s="6"/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</row>
    <row r="5" spans="1:15" x14ac:dyDescent="0.25">
      <c r="A5" s="7">
        <v>1</v>
      </c>
      <c r="B5" s="7" t="s">
        <v>318</v>
      </c>
      <c r="C5" s="7" t="s">
        <v>319</v>
      </c>
      <c r="D5" s="7"/>
      <c r="E5" s="8">
        <v>30680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30680</v>
      </c>
      <c r="M5" s="8">
        <v>0</v>
      </c>
      <c r="N5" s="8">
        <v>30680</v>
      </c>
      <c r="O5" s="8">
        <v>0</v>
      </c>
    </row>
    <row r="6" spans="1:15" x14ac:dyDescent="0.25">
      <c r="A6" s="7">
        <v>2</v>
      </c>
      <c r="B6" s="7" t="s">
        <v>320</v>
      </c>
      <c r="C6" s="7" t="s">
        <v>319</v>
      </c>
      <c r="D6" s="7"/>
      <c r="E6" s="8">
        <v>215334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215334</v>
      </c>
      <c r="M6" s="8">
        <v>0</v>
      </c>
      <c r="N6" s="8">
        <v>215334</v>
      </c>
      <c r="O6" s="8">
        <v>0</v>
      </c>
    </row>
    <row r="7" spans="1:15" x14ac:dyDescent="0.25">
      <c r="A7" s="7">
        <v>3</v>
      </c>
      <c r="B7" s="7" t="s">
        <v>321</v>
      </c>
      <c r="C7" s="7" t="s">
        <v>319</v>
      </c>
      <c r="D7" s="7"/>
      <c r="E7" s="8">
        <v>332760</v>
      </c>
      <c r="F7" s="8">
        <v>0</v>
      </c>
      <c r="G7" s="8">
        <v>0</v>
      </c>
      <c r="H7" s="8">
        <v>0</v>
      </c>
      <c r="I7" s="8">
        <v>0</v>
      </c>
      <c r="J7" s="8">
        <v>332760</v>
      </c>
      <c r="K7" s="8">
        <v>0</v>
      </c>
      <c r="L7" s="8">
        <v>0</v>
      </c>
      <c r="M7" s="8">
        <v>0</v>
      </c>
      <c r="N7" s="8">
        <v>332760</v>
      </c>
      <c r="O7" s="8">
        <v>0</v>
      </c>
    </row>
    <row r="8" spans="1:15" x14ac:dyDescent="0.25">
      <c r="A8" s="7">
        <v>4</v>
      </c>
      <c r="B8" s="7" t="s">
        <v>322</v>
      </c>
      <c r="C8" s="7" t="s">
        <v>319</v>
      </c>
      <c r="D8" s="7"/>
      <c r="E8" s="8">
        <v>370425.59999999998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370425.59999999998</v>
      </c>
      <c r="M8" s="8">
        <v>0</v>
      </c>
      <c r="N8" s="8">
        <v>370425.59999999998</v>
      </c>
      <c r="O8" s="8">
        <v>0</v>
      </c>
    </row>
    <row r="9" spans="1:15" x14ac:dyDescent="0.25">
      <c r="A9" s="7">
        <v>5</v>
      </c>
      <c r="B9" s="7" t="s">
        <v>323</v>
      </c>
      <c r="C9" s="7" t="s">
        <v>319</v>
      </c>
      <c r="D9" s="7"/>
      <c r="E9" s="8">
        <v>511161.75</v>
      </c>
      <c r="F9" s="8">
        <v>22815.75</v>
      </c>
      <c r="G9" s="8">
        <v>0</v>
      </c>
      <c r="H9" s="8">
        <v>0</v>
      </c>
      <c r="I9" s="8">
        <v>0</v>
      </c>
      <c r="J9" s="8">
        <v>0</v>
      </c>
      <c r="K9" s="8">
        <v>235800</v>
      </c>
      <c r="L9" s="8">
        <v>252546</v>
      </c>
      <c r="M9" s="8">
        <v>0</v>
      </c>
      <c r="N9" s="8">
        <v>511161.75</v>
      </c>
      <c r="O9" s="8">
        <v>0</v>
      </c>
    </row>
    <row r="10" spans="1:15" x14ac:dyDescent="0.25">
      <c r="A10" s="7">
        <v>6</v>
      </c>
      <c r="B10" s="7" t="s">
        <v>324</v>
      </c>
      <c r="C10" s="7" t="s">
        <v>319</v>
      </c>
      <c r="D10" s="7"/>
      <c r="E10" s="8">
        <v>590000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590000</v>
      </c>
      <c r="M10" s="8">
        <v>0</v>
      </c>
      <c r="N10" s="8">
        <v>590000</v>
      </c>
      <c r="O10" s="8">
        <v>0</v>
      </c>
    </row>
    <row r="11" spans="1:15" x14ac:dyDescent="0.25">
      <c r="A11" s="7">
        <v>7</v>
      </c>
      <c r="B11" s="7" t="s">
        <v>325</v>
      </c>
      <c r="C11" s="7" t="s">
        <v>319</v>
      </c>
      <c r="D11" s="7"/>
      <c r="E11" s="8">
        <v>708759.9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708759.9</v>
      </c>
      <c r="N11" s="8">
        <v>708759.9</v>
      </c>
      <c r="O11" s="8">
        <v>0</v>
      </c>
    </row>
    <row r="12" spans="1:15" x14ac:dyDescent="0.25">
      <c r="A12" s="7">
        <v>8</v>
      </c>
      <c r="B12" s="7" t="s">
        <v>326</v>
      </c>
      <c r="C12" s="7" t="s">
        <v>319</v>
      </c>
      <c r="D12" s="7"/>
      <c r="E12" s="8">
        <v>731051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731051</v>
      </c>
      <c r="N12" s="8">
        <v>731051</v>
      </c>
      <c r="O12" s="8">
        <v>0</v>
      </c>
    </row>
    <row r="13" spans="1:15" x14ac:dyDescent="0.25">
      <c r="A13" s="7">
        <v>9</v>
      </c>
      <c r="B13" s="7" t="s">
        <v>327</v>
      </c>
      <c r="C13" s="7" t="s">
        <v>319</v>
      </c>
      <c r="D13" s="7"/>
      <c r="E13" s="8">
        <v>1654914</v>
      </c>
      <c r="F13" s="8">
        <v>42444</v>
      </c>
      <c r="G13" s="8">
        <v>0</v>
      </c>
      <c r="H13" s="8">
        <v>0</v>
      </c>
      <c r="I13" s="8">
        <v>212400</v>
      </c>
      <c r="J13" s="8">
        <v>637200</v>
      </c>
      <c r="K13" s="8">
        <v>323910</v>
      </c>
      <c r="L13" s="8">
        <v>438960</v>
      </c>
      <c r="M13" s="8">
        <v>0</v>
      </c>
      <c r="N13" s="8">
        <v>1654914</v>
      </c>
      <c r="O13" s="8">
        <v>0</v>
      </c>
    </row>
    <row r="14" spans="1:15" x14ac:dyDescent="0.25">
      <c r="A14" s="7">
        <v>10</v>
      </c>
      <c r="B14" s="7" t="s">
        <v>328</v>
      </c>
      <c r="C14" s="7" t="s">
        <v>319</v>
      </c>
      <c r="D14" s="7"/>
      <c r="E14" s="8">
        <v>1675373.05</v>
      </c>
      <c r="F14" s="8">
        <v>0</v>
      </c>
      <c r="G14" s="8">
        <v>52259.17</v>
      </c>
      <c r="H14" s="8">
        <v>1545263.38</v>
      </c>
      <c r="I14" s="8">
        <v>0</v>
      </c>
      <c r="J14" s="8">
        <v>0</v>
      </c>
      <c r="K14" s="8">
        <v>0</v>
      </c>
      <c r="L14" s="8">
        <v>77850.5</v>
      </c>
      <c r="M14" s="8">
        <v>0</v>
      </c>
      <c r="N14" s="8">
        <v>1675373.05</v>
      </c>
      <c r="O14" s="8">
        <v>0</v>
      </c>
    </row>
    <row r="15" spans="1:15" x14ac:dyDescent="0.25">
      <c r="A15" s="7">
        <v>11</v>
      </c>
      <c r="B15" s="7" t="s">
        <v>329</v>
      </c>
      <c r="C15" s="7" t="s">
        <v>319</v>
      </c>
      <c r="D15" s="7"/>
      <c r="E15" s="8">
        <v>6318121.9699999997</v>
      </c>
      <c r="F15" s="8">
        <v>347743.5</v>
      </c>
      <c r="G15" s="8">
        <v>906231</v>
      </c>
      <c r="H15" s="8">
        <v>352856.76</v>
      </c>
      <c r="I15" s="8">
        <v>317874.38</v>
      </c>
      <c r="J15" s="8">
        <v>542348.64</v>
      </c>
      <c r="K15" s="8">
        <v>392437.5</v>
      </c>
      <c r="L15" s="8">
        <v>3458630.19</v>
      </c>
      <c r="M15" s="8">
        <v>0</v>
      </c>
      <c r="N15" s="8">
        <v>6318121.9699999997</v>
      </c>
      <c r="O15" s="8">
        <v>0</v>
      </c>
    </row>
    <row r="16" spans="1:15" x14ac:dyDescent="0.25">
      <c r="A16" s="7">
        <v>12</v>
      </c>
      <c r="B16" s="7" t="s">
        <v>330</v>
      </c>
      <c r="C16" s="7" t="s">
        <v>319</v>
      </c>
      <c r="D16" s="7"/>
      <c r="E16" s="8">
        <v>8446869.4000000004</v>
      </c>
      <c r="F16" s="8">
        <v>412960</v>
      </c>
      <c r="G16" s="8">
        <v>412960</v>
      </c>
      <c r="H16" s="8">
        <v>412960</v>
      </c>
      <c r="I16" s="8">
        <v>412960</v>
      </c>
      <c r="J16" s="8">
        <v>412960</v>
      </c>
      <c r="K16" s="8">
        <v>412960</v>
      </c>
      <c r="L16" s="8">
        <v>5149321.76</v>
      </c>
      <c r="M16" s="8">
        <v>819787.64</v>
      </c>
      <c r="N16" s="8">
        <v>8446869.4000000004</v>
      </c>
      <c r="O16" s="8">
        <v>0</v>
      </c>
    </row>
    <row r="17" spans="1:15" x14ac:dyDescent="0.25">
      <c r="A17" s="7">
        <v>13</v>
      </c>
      <c r="B17" s="7" t="s">
        <v>331</v>
      </c>
      <c r="C17" s="7" t="s">
        <v>319</v>
      </c>
      <c r="D17" s="7"/>
      <c r="E17" s="8">
        <v>12579100.58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12579100.58</v>
      </c>
      <c r="N17" s="8">
        <v>12579100.58</v>
      </c>
      <c r="O17" s="8">
        <v>0</v>
      </c>
    </row>
    <row r="18" spans="1:15" x14ac:dyDescent="0.25">
      <c r="A18" s="7">
        <v>14</v>
      </c>
      <c r="B18" s="7" t="s">
        <v>332</v>
      </c>
      <c r="C18" s="7" t="s">
        <v>319</v>
      </c>
      <c r="D18" s="7"/>
      <c r="E18" s="8">
        <v>13773300.220000001</v>
      </c>
      <c r="F18" s="8">
        <v>0</v>
      </c>
      <c r="G18" s="8">
        <v>1641961.24</v>
      </c>
      <c r="H18" s="8">
        <v>1761145.26</v>
      </c>
      <c r="I18" s="8">
        <v>2400323.52</v>
      </c>
      <c r="J18" s="8">
        <v>1884170.84</v>
      </c>
      <c r="K18" s="8">
        <v>4871036.68</v>
      </c>
      <c r="L18" s="8">
        <v>1214662.68</v>
      </c>
      <c r="M18" s="8">
        <v>0</v>
      </c>
      <c r="N18" s="8">
        <v>13773300.220000001</v>
      </c>
      <c r="O18" s="8">
        <v>0</v>
      </c>
    </row>
    <row r="19" spans="1:15" x14ac:dyDescent="0.25">
      <c r="A19" s="7">
        <v>15</v>
      </c>
      <c r="B19" s="7" t="s">
        <v>333</v>
      </c>
      <c r="C19" s="7" t="s">
        <v>319</v>
      </c>
      <c r="D19" s="7"/>
      <c r="E19" s="8">
        <v>16258192.439999999</v>
      </c>
      <c r="F19" s="8">
        <v>0</v>
      </c>
      <c r="G19" s="8">
        <v>14511918.960000001</v>
      </c>
      <c r="H19" s="8">
        <v>0</v>
      </c>
      <c r="I19" s="8">
        <v>0</v>
      </c>
      <c r="J19" s="8">
        <v>1448723.42</v>
      </c>
      <c r="K19" s="8">
        <v>0</v>
      </c>
      <c r="L19" s="8">
        <v>297550.06</v>
      </c>
      <c r="M19" s="8">
        <v>0</v>
      </c>
      <c r="N19" s="8">
        <v>16258192.439999999</v>
      </c>
      <c r="O19" s="8">
        <v>0</v>
      </c>
    </row>
    <row r="20" spans="1:15" x14ac:dyDescent="0.25">
      <c r="A20" s="7">
        <v>16</v>
      </c>
      <c r="B20" s="7" t="s">
        <v>334</v>
      </c>
      <c r="C20" s="7" t="s">
        <v>319</v>
      </c>
      <c r="D20" s="7"/>
      <c r="E20" s="8">
        <v>18974624.510000002</v>
      </c>
      <c r="F20" s="8">
        <v>373860</v>
      </c>
      <c r="G20" s="8">
        <v>304500</v>
      </c>
      <c r="H20" s="8">
        <v>209623.42</v>
      </c>
      <c r="I20" s="8">
        <v>0</v>
      </c>
      <c r="J20" s="8">
        <v>2550783</v>
      </c>
      <c r="K20" s="8">
        <v>782722</v>
      </c>
      <c r="L20" s="8">
        <v>11441889.789999999</v>
      </c>
      <c r="M20" s="8">
        <v>3311246.3</v>
      </c>
      <c r="N20" s="8">
        <v>18974624.510000002</v>
      </c>
      <c r="O20" s="8">
        <v>0</v>
      </c>
    </row>
    <row r="21" spans="1:15" x14ac:dyDescent="0.25">
      <c r="A21" s="7">
        <v>17</v>
      </c>
      <c r="B21" s="7" t="s">
        <v>335</v>
      </c>
      <c r="C21" s="7" t="s">
        <v>319</v>
      </c>
      <c r="D21" s="7"/>
      <c r="E21" s="8">
        <v>38159903.289999999</v>
      </c>
      <c r="F21" s="8">
        <v>2933987.56</v>
      </c>
      <c r="G21" s="8">
        <v>3204745.66</v>
      </c>
      <c r="H21" s="8">
        <v>568112.6</v>
      </c>
      <c r="I21" s="8">
        <v>1677602.82</v>
      </c>
      <c r="J21" s="8">
        <v>19935746.27</v>
      </c>
      <c r="K21" s="8">
        <v>470229.6</v>
      </c>
      <c r="L21" s="8">
        <v>5119764.37</v>
      </c>
      <c r="M21" s="8">
        <v>4249714.41</v>
      </c>
      <c r="N21" s="8">
        <v>38159903.289999999</v>
      </c>
      <c r="O21" s="8">
        <v>0</v>
      </c>
    </row>
    <row r="23" spans="1:15" x14ac:dyDescent="0.25">
      <c r="A23" s="3"/>
      <c r="B23" s="4" t="s">
        <v>251</v>
      </c>
      <c r="C23" s="3"/>
      <c r="D23" s="3"/>
      <c r="E23" s="5">
        <f t="shared" ref="E23:O23" si="1">SUM(E5:E21)</f>
        <v>121330571.71000001</v>
      </c>
      <c r="F23" s="5">
        <f t="shared" si="1"/>
        <v>4133810.81</v>
      </c>
      <c r="G23" s="5">
        <f t="shared" si="1"/>
        <v>21034576.030000001</v>
      </c>
      <c r="H23" s="5">
        <f t="shared" si="1"/>
        <v>4849961.419999999</v>
      </c>
      <c r="I23" s="5">
        <f t="shared" si="1"/>
        <v>5021160.72</v>
      </c>
      <c r="J23" s="5">
        <f t="shared" si="1"/>
        <v>27744692.170000002</v>
      </c>
      <c r="K23" s="5">
        <f t="shared" si="1"/>
        <v>7489095.7799999993</v>
      </c>
      <c r="L23" s="5">
        <f t="shared" si="1"/>
        <v>28657614.949999999</v>
      </c>
      <c r="M23" s="5">
        <f t="shared" si="1"/>
        <v>22399659.830000002</v>
      </c>
      <c r="N23" s="5">
        <f t="shared" si="1"/>
        <v>121330571.71000001</v>
      </c>
      <c r="O23" s="5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zoomScaleNormal="100" workbookViewId="0">
      <selection activeCell="A4" sqref="A4"/>
    </sheetView>
  </sheetViews>
  <sheetFormatPr defaultColWidth="8.7109375" defaultRowHeight="15" x14ac:dyDescent="0.25"/>
  <cols>
    <col min="1" max="1" width="52" customWidth="1"/>
    <col min="2" max="2" width="26" customWidth="1"/>
    <col min="3" max="3" width="16" customWidth="1"/>
    <col min="4" max="4" width="26" customWidth="1"/>
    <col min="5" max="5" width="30" customWidth="1"/>
  </cols>
  <sheetData>
    <row r="1" spans="1:5" ht="15.75" x14ac:dyDescent="0.25">
      <c r="A1" s="1" t="s">
        <v>336</v>
      </c>
    </row>
    <row r="3" spans="1:5" x14ac:dyDescent="0.25">
      <c r="A3" s="11" t="s">
        <v>337</v>
      </c>
    </row>
    <row r="4" spans="1:5" x14ac:dyDescent="0.25">
      <c r="A4" s="12" t="s">
        <v>4</v>
      </c>
      <c r="B4" s="12" t="s">
        <v>338</v>
      </c>
      <c r="C4" s="12" t="s">
        <v>339</v>
      </c>
      <c r="D4" s="12" t="s">
        <v>6</v>
      </c>
      <c r="E4" s="12" t="s">
        <v>7</v>
      </c>
    </row>
    <row r="5" spans="1:5" x14ac:dyDescent="0.25">
      <c r="A5" s="7" t="s">
        <v>41</v>
      </c>
      <c r="B5" s="7" t="s">
        <v>42</v>
      </c>
      <c r="C5" s="8">
        <v>106912.12</v>
      </c>
      <c r="D5" s="7"/>
      <c r="E5" s="7"/>
    </row>
    <row r="6" spans="1:5" x14ac:dyDescent="0.25">
      <c r="A6" s="7" t="s">
        <v>48</v>
      </c>
      <c r="B6" s="7" t="s">
        <v>49</v>
      </c>
      <c r="C6" s="8">
        <v>3000</v>
      </c>
      <c r="D6" s="7"/>
      <c r="E6" s="7"/>
    </row>
    <row r="7" spans="1:5" x14ac:dyDescent="0.25">
      <c r="A7" s="7" t="s">
        <v>65</v>
      </c>
      <c r="B7" s="7" t="s">
        <v>66</v>
      </c>
      <c r="C7" s="8">
        <v>413424</v>
      </c>
      <c r="D7" s="7"/>
      <c r="E7" s="7"/>
    </row>
    <row r="8" spans="1:5" x14ac:dyDescent="0.25">
      <c r="A8" s="7" t="s">
        <v>87</v>
      </c>
      <c r="B8" s="7" t="s">
        <v>49</v>
      </c>
      <c r="C8" s="8">
        <v>45611.199999999997</v>
      </c>
      <c r="D8" s="7"/>
      <c r="E8" s="7"/>
    </row>
    <row r="9" spans="1:5" x14ac:dyDescent="0.25">
      <c r="A9" s="7" t="s">
        <v>111</v>
      </c>
      <c r="B9" s="7" t="s">
        <v>82</v>
      </c>
      <c r="C9" s="8">
        <v>974095.2</v>
      </c>
      <c r="D9" s="7"/>
      <c r="E9" s="7"/>
    </row>
    <row r="10" spans="1:5" x14ac:dyDescent="0.25">
      <c r="A10" s="7" t="s">
        <v>119</v>
      </c>
      <c r="B10" s="7" t="s">
        <v>45</v>
      </c>
      <c r="C10" s="8">
        <v>10856</v>
      </c>
      <c r="D10" s="7"/>
      <c r="E10" s="7"/>
    </row>
    <row r="11" spans="1:5" x14ac:dyDescent="0.25">
      <c r="A11" s="7" t="s">
        <v>124</v>
      </c>
      <c r="B11" s="7" t="s">
        <v>28</v>
      </c>
      <c r="C11" s="8">
        <v>34630.199999999997</v>
      </c>
      <c r="D11" s="7"/>
      <c r="E11" s="7"/>
    </row>
    <row r="12" spans="1:5" x14ac:dyDescent="0.25">
      <c r="A12" s="7" t="s">
        <v>125</v>
      </c>
      <c r="B12" s="7" t="s">
        <v>28</v>
      </c>
      <c r="C12" s="8">
        <v>5495</v>
      </c>
      <c r="D12" s="7"/>
      <c r="E12" s="7"/>
    </row>
    <row r="13" spans="1:5" x14ac:dyDescent="0.25">
      <c r="A13" s="7" t="s">
        <v>131</v>
      </c>
      <c r="B13" s="7" t="s">
        <v>42</v>
      </c>
      <c r="C13" s="8">
        <v>2478</v>
      </c>
      <c r="D13" s="7"/>
      <c r="E13" s="7"/>
    </row>
    <row r="14" spans="1:5" x14ac:dyDescent="0.25">
      <c r="A14" s="7" t="s">
        <v>132</v>
      </c>
      <c r="B14" s="7" t="s">
        <v>24</v>
      </c>
      <c r="C14" s="8">
        <v>18000</v>
      </c>
      <c r="D14" s="7"/>
      <c r="E14" s="7"/>
    </row>
    <row r="15" spans="1:5" x14ac:dyDescent="0.25">
      <c r="A15" s="7" t="s">
        <v>133</v>
      </c>
      <c r="B15" s="7" t="s">
        <v>24</v>
      </c>
      <c r="C15" s="8">
        <v>37000</v>
      </c>
      <c r="D15" s="7"/>
      <c r="E15" s="7"/>
    </row>
    <row r="16" spans="1:5" x14ac:dyDescent="0.25">
      <c r="A16" s="7" t="s">
        <v>137</v>
      </c>
      <c r="B16" s="7" t="s">
        <v>24</v>
      </c>
      <c r="C16" s="8">
        <v>81011.199999999997</v>
      </c>
      <c r="D16" s="7"/>
      <c r="E16" s="7"/>
    </row>
    <row r="17" spans="1:5" x14ac:dyDescent="0.25">
      <c r="A17" s="7" t="s">
        <v>151</v>
      </c>
      <c r="B17" s="7" t="s">
        <v>39</v>
      </c>
      <c r="C17" s="8">
        <v>27225</v>
      </c>
      <c r="D17" s="7"/>
      <c r="E17" s="7"/>
    </row>
    <row r="18" spans="1:5" x14ac:dyDescent="0.25">
      <c r="A18" s="7" t="s">
        <v>168</v>
      </c>
      <c r="B18" s="7" t="s">
        <v>24</v>
      </c>
      <c r="C18" s="8">
        <v>18000</v>
      </c>
      <c r="D18" s="7"/>
      <c r="E18" s="7"/>
    </row>
    <row r="19" spans="1:5" x14ac:dyDescent="0.25">
      <c r="A19" s="7" t="s">
        <v>175</v>
      </c>
      <c r="B19" s="7" t="s">
        <v>24</v>
      </c>
      <c r="C19" s="8">
        <v>60700</v>
      </c>
      <c r="D19" s="7"/>
      <c r="E19" s="7"/>
    </row>
    <row r="20" spans="1:5" x14ac:dyDescent="0.25">
      <c r="A20" s="7" t="s">
        <v>179</v>
      </c>
      <c r="B20" s="7" t="s">
        <v>49</v>
      </c>
      <c r="C20" s="8">
        <v>3136</v>
      </c>
      <c r="D20" s="7"/>
      <c r="E20" s="7"/>
    </row>
    <row r="21" spans="1:5" x14ac:dyDescent="0.25">
      <c r="A21" s="7" t="s">
        <v>183</v>
      </c>
      <c r="B21" s="7" t="s">
        <v>28</v>
      </c>
      <c r="C21" s="8">
        <v>99093</v>
      </c>
      <c r="D21" s="7"/>
      <c r="E21" s="7"/>
    </row>
    <row r="22" spans="1:5" x14ac:dyDescent="0.25">
      <c r="A22" s="7" t="s">
        <v>185</v>
      </c>
      <c r="B22" s="7" t="s">
        <v>42</v>
      </c>
      <c r="C22" s="8">
        <v>168548</v>
      </c>
      <c r="D22" s="7"/>
      <c r="E22" s="7"/>
    </row>
    <row r="23" spans="1:5" x14ac:dyDescent="0.25">
      <c r="A23" s="7" t="s">
        <v>190</v>
      </c>
      <c r="B23" s="7" t="s">
        <v>42</v>
      </c>
      <c r="C23" s="8">
        <v>5039.1000000000004</v>
      </c>
      <c r="D23" s="7"/>
      <c r="E23" s="7"/>
    </row>
    <row r="24" spans="1:5" x14ac:dyDescent="0.25">
      <c r="A24" s="7" t="s">
        <v>193</v>
      </c>
      <c r="B24" s="7" t="s">
        <v>45</v>
      </c>
      <c r="C24" s="8">
        <v>122052.63</v>
      </c>
      <c r="D24" s="7"/>
      <c r="E24" s="7"/>
    </row>
    <row r="25" spans="1:5" x14ac:dyDescent="0.25">
      <c r="A25" s="7" t="s">
        <v>202</v>
      </c>
      <c r="B25" s="7" t="s">
        <v>28</v>
      </c>
      <c r="C25" s="8">
        <v>410912.37</v>
      </c>
      <c r="D25" s="7"/>
      <c r="E25" s="7"/>
    </row>
    <row r="26" spans="1:5" x14ac:dyDescent="0.25">
      <c r="A26" s="7" t="s">
        <v>219</v>
      </c>
      <c r="B26" s="7" t="s">
        <v>24</v>
      </c>
      <c r="C26" s="8">
        <v>37000</v>
      </c>
      <c r="D26" s="7"/>
      <c r="E26" s="7"/>
    </row>
    <row r="27" spans="1:5" x14ac:dyDescent="0.25">
      <c r="A27" s="7" t="s">
        <v>220</v>
      </c>
      <c r="B27" s="7" t="s">
        <v>20</v>
      </c>
      <c r="C27" s="8">
        <v>6000</v>
      </c>
      <c r="D27" s="7"/>
      <c r="E27" s="7"/>
    </row>
    <row r="28" spans="1:5" x14ac:dyDescent="0.25">
      <c r="A28" s="7" t="s">
        <v>229</v>
      </c>
      <c r="B28" s="7" t="s">
        <v>24</v>
      </c>
      <c r="C28" s="8">
        <v>240019.08</v>
      </c>
      <c r="D28" s="7"/>
      <c r="E28" s="7"/>
    </row>
    <row r="29" spans="1:5" x14ac:dyDescent="0.25">
      <c r="A29" s="7" t="s">
        <v>231</v>
      </c>
      <c r="B29" s="7" t="s">
        <v>24</v>
      </c>
      <c r="C29" s="8">
        <v>700906.24</v>
      </c>
      <c r="D29" s="7"/>
      <c r="E29" s="7"/>
    </row>
    <row r="31" spans="1:5" x14ac:dyDescent="0.25">
      <c r="A31" s="11" t="s">
        <v>340</v>
      </c>
    </row>
    <row r="32" spans="1:5" x14ac:dyDescent="0.25">
      <c r="A32" s="12" t="s">
        <v>4</v>
      </c>
      <c r="B32" s="12" t="s">
        <v>5</v>
      </c>
      <c r="C32" s="12" t="s">
        <v>339</v>
      </c>
      <c r="D32" s="12" t="s">
        <v>341</v>
      </c>
      <c r="E32" s="12" t="s">
        <v>342</v>
      </c>
    </row>
    <row r="33" spans="1:5" x14ac:dyDescent="0.25">
      <c r="A33" s="7" t="s">
        <v>38</v>
      </c>
      <c r="B33" s="7" t="s">
        <v>39</v>
      </c>
      <c r="C33" s="8">
        <v>33434.68</v>
      </c>
      <c r="D33" s="7" t="s">
        <v>21</v>
      </c>
      <c r="E33" s="7" t="s">
        <v>40</v>
      </c>
    </row>
    <row r="34" spans="1:5" x14ac:dyDescent="0.25">
      <c r="A34" s="7" t="s">
        <v>44</v>
      </c>
      <c r="B34" s="7" t="s">
        <v>45</v>
      </c>
      <c r="C34" s="8">
        <v>11328</v>
      </c>
      <c r="D34" s="7" t="s">
        <v>21</v>
      </c>
      <c r="E34" s="7" t="s">
        <v>46</v>
      </c>
    </row>
    <row r="35" spans="1:5" x14ac:dyDescent="0.25">
      <c r="A35" s="7" t="s">
        <v>67</v>
      </c>
      <c r="B35" s="7" t="s">
        <v>28</v>
      </c>
      <c r="C35" s="8">
        <v>9762.76</v>
      </c>
      <c r="D35" s="7" t="s">
        <v>21</v>
      </c>
      <c r="E35" s="7" t="s">
        <v>29</v>
      </c>
    </row>
    <row r="36" spans="1:5" x14ac:dyDescent="0.25">
      <c r="A36" s="7" t="s">
        <v>72</v>
      </c>
      <c r="B36" s="7" t="s">
        <v>42</v>
      </c>
      <c r="C36" s="8">
        <v>64940.1</v>
      </c>
      <c r="D36" s="7" t="s">
        <v>21</v>
      </c>
      <c r="E36" s="7" t="s">
        <v>46</v>
      </c>
    </row>
    <row r="37" spans="1:5" x14ac:dyDescent="0.25">
      <c r="A37" s="7" t="s">
        <v>73</v>
      </c>
      <c r="B37" s="7" t="s">
        <v>49</v>
      </c>
      <c r="C37" s="8">
        <v>4500</v>
      </c>
      <c r="D37" s="7" t="s">
        <v>21</v>
      </c>
      <c r="E37" s="7" t="s">
        <v>61</v>
      </c>
    </row>
    <row r="38" spans="1:5" x14ac:dyDescent="0.25">
      <c r="A38" s="7" t="s">
        <v>74</v>
      </c>
      <c r="B38" s="7" t="s">
        <v>42</v>
      </c>
      <c r="C38" s="8">
        <v>7167</v>
      </c>
      <c r="D38" s="7" t="s">
        <v>21</v>
      </c>
      <c r="E38" s="7" t="s">
        <v>22</v>
      </c>
    </row>
    <row r="39" spans="1:5" x14ac:dyDescent="0.25">
      <c r="A39" s="7" t="s">
        <v>93</v>
      </c>
      <c r="B39" s="7" t="s">
        <v>45</v>
      </c>
      <c r="C39" s="8">
        <v>113558</v>
      </c>
      <c r="D39" s="7" t="s">
        <v>21</v>
      </c>
      <c r="E39" s="7" t="s">
        <v>40</v>
      </c>
    </row>
    <row r="40" spans="1:5" x14ac:dyDescent="0.25">
      <c r="A40" s="7" t="s">
        <v>105</v>
      </c>
      <c r="B40" s="7" t="s">
        <v>28</v>
      </c>
      <c r="C40" s="8">
        <v>153802.5</v>
      </c>
      <c r="D40" s="7" t="s">
        <v>25</v>
      </c>
      <c r="E40" s="7" t="s">
        <v>26</v>
      </c>
    </row>
    <row r="41" spans="1:5" x14ac:dyDescent="0.25">
      <c r="A41" s="7" t="s">
        <v>112</v>
      </c>
      <c r="B41" s="7" t="s">
        <v>28</v>
      </c>
      <c r="C41" s="8">
        <v>60336.57</v>
      </c>
      <c r="D41" s="7" t="s">
        <v>21</v>
      </c>
      <c r="E41" s="7" t="s">
        <v>40</v>
      </c>
    </row>
    <row r="42" spans="1:5" x14ac:dyDescent="0.25">
      <c r="A42" s="7" t="s">
        <v>114</v>
      </c>
      <c r="B42" s="7" t="s">
        <v>49</v>
      </c>
      <c r="C42" s="8">
        <v>924.16</v>
      </c>
      <c r="D42" s="7" t="s">
        <v>21</v>
      </c>
      <c r="E42" s="7" t="s">
        <v>46</v>
      </c>
    </row>
    <row r="43" spans="1:5" x14ac:dyDescent="0.25">
      <c r="A43" s="7" t="s">
        <v>115</v>
      </c>
      <c r="B43" s="7" t="s">
        <v>49</v>
      </c>
      <c r="C43" s="8">
        <v>279918.46000000002</v>
      </c>
      <c r="D43" s="7" t="s">
        <v>34</v>
      </c>
      <c r="E43" s="7" t="s">
        <v>35</v>
      </c>
    </row>
    <row r="44" spans="1:5" x14ac:dyDescent="0.25">
      <c r="A44" s="7" t="s">
        <v>118</v>
      </c>
      <c r="B44" s="7" t="s">
        <v>42</v>
      </c>
      <c r="C44" s="8">
        <v>10091</v>
      </c>
      <c r="D44" s="7" t="s">
        <v>21</v>
      </c>
      <c r="E44" s="7" t="s">
        <v>29</v>
      </c>
    </row>
    <row r="45" spans="1:5" x14ac:dyDescent="0.25">
      <c r="A45" s="7" t="s">
        <v>141</v>
      </c>
      <c r="B45" s="7" t="s">
        <v>49</v>
      </c>
      <c r="C45" s="8">
        <v>626430</v>
      </c>
      <c r="D45" s="7" t="s">
        <v>21</v>
      </c>
      <c r="E45" s="7" t="s">
        <v>142</v>
      </c>
    </row>
    <row r="46" spans="1:5" x14ac:dyDescent="0.25">
      <c r="A46" s="7" t="s">
        <v>145</v>
      </c>
      <c r="B46" s="7" t="s">
        <v>42</v>
      </c>
      <c r="C46" s="8">
        <v>54516.76</v>
      </c>
      <c r="D46" s="7" t="s">
        <v>21</v>
      </c>
      <c r="E46" s="7" t="s">
        <v>29</v>
      </c>
    </row>
    <row r="47" spans="1:5" x14ac:dyDescent="0.25">
      <c r="A47" s="7" t="s">
        <v>147</v>
      </c>
      <c r="B47" s="7" t="s">
        <v>45</v>
      </c>
      <c r="C47" s="8">
        <v>352640</v>
      </c>
      <c r="D47" s="7" t="s">
        <v>55</v>
      </c>
      <c r="E47" s="7" t="s">
        <v>45</v>
      </c>
    </row>
    <row r="48" spans="1:5" x14ac:dyDescent="0.25">
      <c r="A48" s="7" t="s">
        <v>159</v>
      </c>
      <c r="B48" s="7" t="s">
        <v>28</v>
      </c>
      <c r="C48" s="8">
        <v>9807</v>
      </c>
      <c r="D48" s="7" t="s">
        <v>21</v>
      </c>
      <c r="E48" s="7" t="s">
        <v>121</v>
      </c>
    </row>
    <row r="49" spans="1:5" x14ac:dyDescent="0.25">
      <c r="A49" s="7" t="s">
        <v>165</v>
      </c>
      <c r="B49" s="7" t="s">
        <v>49</v>
      </c>
      <c r="C49" s="8">
        <v>34684</v>
      </c>
      <c r="D49" s="7" t="s">
        <v>25</v>
      </c>
      <c r="E49" s="7" t="s">
        <v>26</v>
      </c>
    </row>
    <row r="50" spans="1:5" x14ac:dyDescent="0.25">
      <c r="A50" s="7" t="s">
        <v>171</v>
      </c>
      <c r="B50" s="7" t="s">
        <v>82</v>
      </c>
      <c r="C50" s="8">
        <v>600</v>
      </c>
      <c r="D50" s="7" t="s">
        <v>21</v>
      </c>
      <c r="E50" s="7" t="s">
        <v>22</v>
      </c>
    </row>
    <row r="51" spans="1:5" x14ac:dyDescent="0.25">
      <c r="A51" s="7" t="s">
        <v>184</v>
      </c>
      <c r="B51" s="7" t="s">
        <v>49</v>
      </c>
      <c r="C51" s="8">
        <v>33320</v>
      </c>
      <c r="D51" s="7" t="s">
        <v>21</v>
      </c>
      <c r="E51" s="7" t="s">
        <v>40</v>
      </c>
    </row>
    <row r="52" spans="1:5" x14ac:dyDescent="0.25">
      <c r="A52" s="7" t="s">
        <v>186</v>
      </c>
      <c r="B52" s="7" t="s">
        <v>154</v>
      </c>
      <c r="C52" s="8">
        <v>330463</v>
      </c>
      <c r="D52" s="7" t="s">
        <v>25</v>
      </c>
      <c r="E52" s="7" t="s">
        <v>26</v>
      </c>
    </row>
    <row r="53" spans="1:5" x14ac:dyDescent="0.25">
      <c r="A53" s="7" t="s">
        <v>221</v>
      </c>
      <c r="B53" s="7" t="s">
        <v>222</v>
      </c>
      <c r="C53" s="8">
        <v>26900</v>
      </c>
      <c r="D53" s="7" t="s">
        <v>25</v>
      </c>
      <c r="E53" s="7" t="s">
        <v>26</v>
      </c>
    </row>
    <row r="54" spans="1:5" x14ac:dyDescent="0.25">
      <c r="A54" s="7" t="s">
        <v>309</v>
      </c>
      <c r="B54" s="7" t="s">
        <v>49</v>
      </c>
      <c r="C54" s="8">
        <v>-146997.79</v>
      </c>
      <c r="D54" s="7" t="s">
        <v>25</v>
      </c>
      <c r="E54" s="7" t="s">
        <v>26</v>
      </c>
    </row>
    <row r="55" spans="1:5" x14ac:dyDescent="0.25">
      <c r="A55" s="7" t="s">
        <v>247</v>
      </c>
      <c r="B55" s="7" t="s">
        <v>49</v>
      </c>
      <c r="C55" s="8">
        <v>4516</v>
      </c>
      <c r="D55" s="7" t="s">
        <v>21</v>
      </c>
      <c r="E55" s="7" t="s">
        <v>121</v>
      </c>
    </row>
    <row r="57" spans="1:5" x14ac:dyDescent="0.25">
      <c r="A57" s="11" t="s">
        <v>343</v>
      </c>
    </row>
    <row r="58" spans="1:5" x14ac:dyDescent="0.25">
      <c r="A58" s="12" t="s">
        <v>4</v>
      </c>
      <c r="B58" s="12" t="s">
        <v>344</v>
      </c>
      <c r="C58" s="12" t="s">
        <v>339</v>
      </c>
      <c r="D58" s="12" t="s">
        <v>17</v>
      </c>
      <c r="E58" s="12" t="s">
        <v>18</v>
      </c>
    </row>
    <row r="59" spans="1:5" x14ac:dyDescent="0.25">
      <c r="A59" s="7" t="s">
        <v>86</v>
      </c>
      <c r="B59" s="7" t="s">
        <v>345</v>
      </c>
      <c r="C59" s="8">
        <v>700</v>
      </c>
      <c r="D59" s="8">
        <v>39.049999999999997</v>
      </c>
      <c r="E59" s="8">
        <v>660.95</v>
      </c>
    </row>
    <row r="60" spans="1:5" x14ac:dyDescent="0.25">
      <c r="A60" s="7" t="s">
        <v>282</v>
      </c>
      <c r="B60" s="7" t="s">
        <v>346</v>
      </c>
      <c r="C60" s="8">
        <v>-25507</v>
      </c>
      <c r="D60" s="8">
        <v>-4493</v>
      </c>
      <c r="E60" s="8">
        <v>-21014</v>
      </c>
    </row>
    <row r="61" spans="1:5" x14ac:dyDescent="0.25">
      <c r="A61" s="7" t="s">
        <v>283</v>
      </c>
      <c r="B61" s="7" t="s">
        <v>346</v>
      </c>
      <c r="C61" s="8">
        <v>-2874700</v>
      </c>
      <c r="D61" s="8">
        <v>-2596820</v>
      </c>
      <c r="E61" s="8">
        <v>-277880</v>
      </c>
    </row>
    <row r="63" spans="1:5" x14ac:dyDescent="0.25">
      <c r="A63" s="11" t="s">
        <v>347</v>
      </c>
    </row>
    <row r="64" spans="1:5" x14ac:dyDescent="0.25">
      <c r="A64" s="12" t="s">
        <v>4</v>
      </c>
      <c r="B64" s="12" t="s">
        <v>348</v>
      </c>
      <c r="C64" s="12" t="s">
        <v>349</v>
      </c>
      <c r="D64" s="12" t="s">
        <v>350</v>
      </c>
    </row>
    <row r="65" spans="1:4" x14ac:dyDescent="0.25">
      <c r="A65" s="7" t="s">
        <v>351</v>
      </c>
      <c r="B65" s="7">
        <v>1</v>
      </c>
      <c r="C65" s="8">
        <v>20512</v>
      </c>
      <c r="D65" s="8">
        <v>20512</v>
      </c>
    </row>
    <row r="66" spans="1:4" x14ac:dyDescent="0.25">
      <c r="A66" s="7" t="s">
        <v>352</v>
      </c>
      <c r="B66" s="7">
        <v>3</v>
      </c>
      <c r="C66" s="8">
        <v>216484</v>
      </c>
      <c r="D66" s="8">
        <v>0</v>
      </c>
    </row>
    <row r="67" spans="1:4" x14ac:dyDescent="0.25">
      <c r="A67" s="7" t="s">
        <v>353</v>
      </c>
      <c r="B67" s="7">
        <v>1</v>
      </c>
      <c r="C67" s="8">
        <v>600</v>
      </c>
      <c r="D67" s="8">
        <v>600</v>
      </c>
    </row>
    <row r="68" spans="1:4" x14ac:dyDescent="0.25">
      <c r="A68" s="7" t="s">
        <v>354</v>
      </c>
      <c r="B68" s="7">
        <v>2</v>
      </c>
      <c r="C68" s="8">
        <v>270400</v>
      </c>
      <c r="D68" s="8">
        <v>0</v>
      </c>
    </row>
    <row r="69" spans="1:4" x14ac:dyDescent="0.25">
      <c r="A69" s="7" t="s">
        <v>355</v>
      </c>
      <c r="B69" s="7">
        <v>2</v>
      </c>
      <c r="C69" s="8">
        <v>42812</v>
      </c>
      <c r="D69" s="8">
        <v>0</v>
      </c>
    </row>
    <row r="70" spans="1:4" x14ac:dyDescent="0.25">
      <c r="A70" s="7" t="s">
        <v>356</v>
      </c>
      <c r="B70" s="7">
        <v>1</v>
      </c>
      <c r="C70" s="8">
        <v>46135.360000000001</v>
      </c>
      <c r="D70" s="8">
        <v>46135.360000000001</v>
      </c>
    </row>
    <row r="71" spans="1:4" x14ac:dyDescent="0.25">
      <c r="A71" s="7" t="s">
        <v>357</v>
      </c>
      <c r="B71" s="7">
        <v>2</v>
      </c>
      <c r="C71" s="8">
        <v>162750</v>
      </c>
      <c r="D71" s="8">
        <v>0</v>
      </c>
    </row>
    <row r="72" spans="1:4" x14ac:dyDescent="0.25">
      <c r="A72" s="7" t="s">
        <v>358</v>
      </c>
      <c r="B72" s="7">
        <v>2</v>
      </c>
      <c r="C72" s="8">
        <v>5400</v>
      </c>
      <c r="D72" s="8">
        <v>0</v>
      </c>
    </row>
    <row r="73" spans="1:4" x14ac:dyDescent="0.25">
      <c r="A73" s="7" t="s">
        <v>359</v>
      </c>
      <c r="B73" s="7">
        <v>1</v>
      </c>
      <c r="C73" s="8">
        <v>5544</v>
      </c>
      <c r="D73" s="8">
        <v>5544</v>
      </c>
    </row>
    <row r="74" spans="1:4" x14ac:dyDescent="0.25">
      <c r="A74" s="7" t="s">
        <v>360</v>
      </c>
      <c r="B74" s="7">
        <v>2</v>
      </c>
      <c r="C74" s="8">
        <v>473416</v>
      </c>
      <c r="D74" s="8">
        <v>0</v>
      </c>
    </row>
    <row r="75" spans="1:4" x14ac:dyDescent="0.25">
      <c r="A75" s="7" t="s">
        <v>361</v>
      </c>
      <c r="B75" s="7">
        <v>2</v>
      </c>
      <c r="C75" s="8">
        <v>35000</v>
      </c>
      <c r="D75" s="8">
        <v>0</v>
      </c>
    </row>
    <row r="76" spans="1:4" x14ac:dyDescent="0.25">
      <c r="A76" s="7" t="s">
        <v>362</v>
      </c>
      <c r="B76" s="7">
        <v>2</v>
      </c>
      <c r="C76" s="8">
        <v>211911</v>
      </c>
      <c r="D76" s="8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5"/>
  <sheetViews>
    <sheetView showGridLines="0" topLeftCell="A2" zoomScaleNormal="100" workbookViewId="0">
      <pane xSplit="2" ySplit="2" topLeftCell="C4" activePane="bottomRight" state="frozen"/>
      <selection activeCell="A2" sqref="A2"/>
      <selection pane="topRight" activeCell="C2" sqref="C2"/>
      <selection pane="bottomLeft" activeCell="A4" sqref="A4"/>
      <selection pane="bottomRight" activeCell="A2" sqref="A2"/>
    </sheetView>
  </sheetViews>
  <sheetFormatPr defaultRowHeight="15" customHeight="1" x14ac:dyDescent="0.25"/>
  <cols>
    <col min="1" max="1" width="2.5703125" style="24" customWidth="1"/>
    <col min="2" max="2" width="18" style="24" bestFit="1" customWidth="1"/>
    <col min="3" max="3" width="25.7109375" style="24" customWidth="1"/>
    <col min="4" max="4" width="54.7109375" style="24" bestFit="1" customWidth="1"/>
    <col min="5" max="5" width="18.140625" style="37" customWidth="1"/>
    <col min="6" max="6" width="24.85546875" style="24" customWidth="1"/>
    <col min="7" max="7" width="16.7109375" style="24" customWidth="1"/>
    <col min="8" max="8" width="27.42578125" style="24" bestFit="1" customWidth="1"/>
    <col min="9" max="9" width="9.140625" style="24"/>
    <col min="10" max="10" width="21.140625" style="24" customWidth="1"/>
    <col min="11" max="11" width="14.5703125" style="24" customWidth="1"/>
    <col min="12" max="16384" width="9.140625" style="24"/>
  </cols>
  <sheetData>
    <row r="2" spans="2:8" ht="15" customHeight="1" x14ac:dyDescent="0.25">
      <c r="C2" s="25" t="s">
        <v>1861</v>
      </c>
      <c r="D2" s="25"/>
      <c r="E2" s="26">
        <f>SUBTOTAL(9,E4:E141)</f>
        <v>34536948.079999998</v>
      </c>
    </row>
    <row r="3" spans="2:8" ht="15" customHeight="1" x14ac:dyDescent="0.25">
      <c r="B3" s="27" t="s">
        <v>363</v>
      </c>
      <c r="C3" s="28" t="s">
        <v>1862</v>
      </c>
      <c r="D3" s="27" t="s">
        <v>1863</v>
      </c>
      <c r="E3" s="29" t="s">
        <v>1864</v>
      </c>
      <c r="F3" s="27" t="s">
        <v>1865</v>
      </c>
      <c r="G3" s="27" t="s">
        <v>5</v>
      </c>
      <c r="H3" s="27" t="s">
        <v>1866</v>
      </c>
    </row>
    <row r="4" spans="2:8" ht="15" customHeight="1" x14ac:dyDescent="0.25">
      <c r="B4" s="30">
        <v>46235.173680555556</v>
      </c>
      <c r="C4" s="31" t="s">
        <v>1867</v>
      </c>
      <c r="D4" s="32" t="s">
        <v>1868</v>
      </c>
      <c r="E4" s="33">
        <v>352078</v>
      </c>
      <c r="F4" s="34" t="s">
        <v>1869</v>
      </c>
      <c r="G4" s="31" t="s">
        <v>82</v>
      </c>
      <c r="H4" s="31" t="s">
        <v>82</v>
      </c>
    </row>
    <row r="5" spans="2:8" ht="15" customHeight="1" x14ac:dyDescent="0.25">
      <c r="B5" s="30">
        <v>46235.296342592592</v>
      </c>
      <c r="C5" s="31" t="s">
        <v>1870</v>
      </c>
      <c r="D5" s="32" t="s">
        <v>140</v>
      </c>
      <c r="E5" s="33">
        <v>730112</v>
      </c>
      <c r="F5" s="34" t="s">
        <v>1871</v>
      </c>
      <c r="G5" s="31" t="s">
        <v>45</v>
      </c>
      <c r="H5" s="31" t="s">
        <v>1872</v>
      </c>
    </row>
    <row r="6" spans="2:8" ht="15" customHeight="1" x14ac:dyDescent="0.25">
      <c r="B6" s="30">
        <v>46235.296342592592</v>
      </c>
      <c r="C6" s="31" t="s">
        <v>162</v>
      </c>
      <c r="D6" s="32" t="s">
        <v>162</v>
      </c>
      <c r="E6" s="33">
        <v>500000</v>
      </c>
      <c r="F6" s="34" t="s">
        <v>1873</v>
      </c>
      <c r="G6" s="31" t="s">
        <v>45</v>
      </c>
      <c r="H6" s="31" t="s">
        <v>1874</v>
      </c>
    </row>
    <row r="7" spans="2:8" ht="15" customHeight="1" x14ac:dyDescent="0.25">
      <c r="B7" s="30">
        <v>46235.296354166669</v>
      </c>
      <c r="C7" s="31" t="s">
        <v>1875</v>
      </c>
      <c r="D7" s="32" t="s">
        <v>128</v>
      </c>
      <c r="E7" s="33">
        <v>492928.21</v>
      </c>
      <c r="F7" s="34" t="s">
        <v>1876</v>
      </c>
      <c r="G7" s="31" t="s">
        <v>45</v>
      </c>
      <c r="H7" s="31" t="s">
        <v>1872</v>
      </c>
    </row>
    <row r="8" spans="2:8" ht="15" customHeight="1" x14ac:dyDescent="0.25">
      <c r="B8" s="30">
        <v>46235.572164351855</v>
      </c>
      <c r="C8" s="31" t="s">
        <v>1877</v>
      </c>
      <c r="D8" s="32" t="s">
        <v>1878</v>
      </c>
      <c r="E8" s="33">
        <v>590</v>
      </c>
      <c r="F8" s="34" t="s">
        <v>1879</v>
      </c>
      <c r="G8" s="31" t="s">
        <v>82</v>
      </c>
      <c r="H8" s="31" t="s">
        <v>1880</v>
      </c>
    </row>
    <row r="9" spans="2:8" ht="15" customHeight="1" x14ac:dyDescent="0.25">
      <c r="B9" s="30">
        <v>46235.635451388887</v>
      </c>
      <c r="C9" s="31" t="s">
        <v>1881</v>
      </c>
      <c r="D9" s="32" t="s">
        <v>268</v>
      </c>
      <c r="E9" s="33">
        <v>28000.000000000004</v>
      </c>
      <c r="F9" s="34" t="s">
        <v>1882</v>
      </c>
      <c r="G9" s="31" t="s">
        <v>42</v>
      </c>
      <c r="H9" s="31" t="s">
        <v>1880</v>
      </c>
    </row>
    <row r="10" spans="2:8" ht="15" customHeight="1" x14ac:dyDescent="0.25">
      <c r="B10" s="30">
        <v>46235.635451388887</v>
      </c>
      <c r="C10" s="31" t="s">
        <v>1881</v>
      </c>
      <c r="D10" s="32" t="s">
        <v>268</v>
      </c>
      <c r="E10" s="33">
        <v>172000</v>
      </c>
      <c r="F10" s="34" t="s">
        <v>1882</v>
      </c>
      <c r="G10" s="31" t="s">
        <v>45</v>
      </c>
      <c r="H10" s="31" t="s">
        <v>1872</v>
      </c>
    </row>
    <row r="11" spans="2:8" ht="15" customHeight="1" x14ac:dyDescent="0.25">
      <c r="B11" s="30">
        <v>46235.776331018518</v>
      </c>
      <c r="C11" s="31" t="s">
        <v>1883</v>
      </c>
      <c r="D11" s="32" t="s">
        <v>116</v>
      </c>
      <c r="E11" s="33">
        <v>300000</v>
      </c>
      <c r="F11" s="34">
        <v>608018651316</v>
      </c>
      <c r="G11" s="31" t="s">
        <v>20</v>
      </c>
      <c r="H11" s="31" t="s">
        <v>1880</v>
      </c>
    </row>
    <row r="12" spans="2:8" ht="15" customHeight="1" x14ac:dyDescent="0.25">
      <c r="B12" s="30">
        <v>46235.776342592595</v>
      </c>
      <c r="C12" s="31" t="s">
        <v>1884</v>
      </c>
      <c r="D12" s="32" t="s">
        <v>221</v>
      </c>
      <c r="E12" s="33">
        <v>192200</v>
      </c>
      <c r="F12" s="34">
        <v>608018651325</v>
      </c>
      <c r="G12" s="31" t="s">
        <v>79</v>
      </c>
      <c r="H12" s="31" t="s">
        <v>1885</v>
      </c>
    </row>
    <row r="13" spans="2:8" ht="15" customHeight="1" x14ac:dyDescent="0.25">
      <c r="B13" s="30">
        <v>46235.77648148148</v>
      </c>
      <c r="C13" s="31" t="s">
        <v>1886</v>
      </c>
      <c r="D13" s="32" t="s">
        <v>94</v>
      </c>
      <c r="E13" s="33">
        <v>756000</v>
      </c>
      <c r="F13" s="34" t="s">
        <v>1887</v>
      </c>
      <c r="G13" s="31" t="s">
        <v>82</v>
      </c>
      <c r="H13" s="31" t="s">
        <v>1880</v>
      </c>
    </row>
    <row r="14" spans="2:8" ht="15" customHeight="1" x14ac:dyDescent="0.25">
      <c r="B14" s="30">
        <v>46235.776493055557</v>
      </c>
      <c r="C14" s="31" t="s">
        <v>1888</v>
      </c>
      <c r="D14" s="32" t="s">
        <v>209</v>
      </c>
      <c r="E14" s="33">
        <v>41480</v>
      </c>
      <c r="F14" s="34" t="s">
        <v>1889</v>
      </c>
      <c r="G14" s="31" t="s">
        <v>42</v>
      </c>
      <c r="H14" s="31" t="s">
        <v>1880</v>
      </c>
    </row>
    <row r="15" spans="2:8" ht="15" customHeight="1" x14ac:dyDescent="0.25">
      <c r="B15" s="30">
        <v>46235.776504629626</v>
      </c>
      <c r="C15" s="31" t="s">
        <v>1890</v>
      </c>
      <c r="D15" s="32" t="s">
        <v>226</v>
      </c>
      <c r="E15" s="33">
        <v>94814.01</v>
      </c>
      <c r="F15" s="34" t="s">
        <v>1891</v>
      </c>
      <c r="G15" s="31" t="s">
        <v>42</v>
      </c>
      <c r="H15" s="31" t="s">
        <v>1880</v>
      </c>
    </row>
    <row r="16" spans="2:8" ht="15" customHeight="1" x14ac:dyDescent="0.25">
      <c r="B16" s="30">
        <v>46235.776516203703</v>
      </c>
      <c r="C16" s="31" t="s">
        <v>1892</v>
      </c>
      <c r="D16" s="32" t="s">
        <v>198</v>
      </c>
      <c r="E16" s="33">
        <v>136560.6</v>
      </c>
      <c r="F16" s="34" t="s">
        <v>1893</v>
      </c>
      <c r="G16" s="31" t="s">
        <v>1894</v>
      </c>
      <c r="H16" s="31" t="s">
        <v>1880</v>
      </c>
    </row>
    <row r="17" spans="2:8" ht="15" customHeight="1" x14ac:dyDescent="0.25">
      <c r="B17" s="30">
        <v>46235.776516203703</v>
      </c>
      <c r="C17" s="31" t="s">
        <v>1895</v>
      </c>
      <c r="D17" s="32" t="s">
        <v>19</v>
      </c>
      <c r="E17" s="33">
        <v>225000</v>
      </c>
      <c r="F17" s="34" t="s">
        <v>1896</v>
      </c>
      <c r="G17" s="31" t="s">
        <v>20</v>
      </c>
      <c r="H17" s="31" t="s">
        <v>1880</v>
      </c>
    </row>
    <row r="18" spans="2:8" ht="15" customHeight="1" x14ac:dyDescent="0.25">
      <c r="B18" s="30">
        <v>46235.77652777778</v>
      </c>
      <c r="C18" s="31" t="s">
        <v>1897</v>
      </c>
      <c r="D18" s="32" t="s">
        <v>106</v>
      </c>
      <c r="E18" s="33">
        <v>137428</v>
      </c>
      <c r="F18" s="34" t="s">
        <v>1898</v>
      </c>
      <c r="G18" s="31" t="s">
        <v>66</v>
      </c>
      <c r="H18" s="31" t="s">
        <v>1880</v>
      </c>
    </row>
    <row r="19" spans="2:8" ht="15" customHeight="1" x14ac:dyDescent="0.25">
      <c r="B19" s="30">
        <v>46236.493449074071</v>
      </c>
      <c r="C19" s="31" t="s">
        <v>1899</v>
      </c>
      <c r="D19" s="32" t="s">
        <v>276</v>
      </c>
      <c r="E19" s="33">
        <v>57999.999999999993</v>
      </c>
      <c r="F19" s="34">
        <v>607316199847</v>
      </c>
      <c r="G19" s="31" t="s">
        <v>42</v>
      </c>
      <c r="H19" s="31" t="s">
        <v>1880</v>
      </c>
    </row>
    <row r="20" spans="2:8" ht="15" customHeight="1" x14ac:dyDescent="0.25">
      <c r="B20" s="30">
        <v>46236.493449074071</v>
      </c>
      <c r="C20" s="31" t="s">
        <v>1899</v>
      </c>
      <c r="D20" s="32" t="s">
        <v>276</v>
      </c>
      <c r="E20" s="33">
        <v>42000</v>
      </c>
      <c r="F20" s="34">
        <v>607316199847</v>
      </c>
      <c r="G20" s="31" t="s">
        <v>35</v>
      </c>
      <c r="H20" s="31" t="s">
        <v>1900</v>
      </c>
    </row>
    <row r="21" spans="2:8" ht="15" customHeight="1" x14ac:dyDescent="0.25">
      <c r="B21" s="30">
        <v>46236.493449074071</v>
      </c>
      <c r="C21" s="31" t="s">
        <v>1899</v>
      </c>
      <c r="D21" s="32" t="s">
        <v>276</v>
      </c>
      <c r="E21" s="33">
        <v>100000</v>
      </c>
      <c r="F21" s="34">
        <v>607316199847</v>
      </c>
      <c r="G21" s="31" t="s">
        <v>45</v>
      </c>
      <c r="H21" s="31" t="s">
        <v>1872</v>
      </c>
    </row>
    <row r="22" spans="2:8" ht="15" customHeight="1" x14ac:dyDescent="0.25">
      <c r="B22" s="30">
        <v>46236.493460648147</v>
      </c>
      <c r="C22" s="31" t="s">
        <v>1899</v>
      </c>
      <c r="D22" s="32" t="s">
        <v>276</v>
      </c>
      <c r="E22" s="33">
        <v>57999.999999999993</v>
      </c>
      <c r="F22" s="34">
        <v>607316199845</v>
      </c>
      <c r="G22" s="31" t="s">
        <v>42</v>
      </c>
      <c r="H22" s="31" t="s">
        <v>1880</v>
      </c>
    </row>
    <row r="23" spans="2:8" ht="15" customHeight="1" x14ac:dyDescent="0.25">
      <c r="B23" s="30">
        <v>46236.493460648147</v>
      </c>
      <c r="C23" s="31" t="s">
        <v>1899</v>
      </c>
      <c r="D23" s="32" t="s">
        <v>276</v>
      </c>
      <c r="E23" s="33">
        <v>42000</v>
      </c>
      <c r="F23" s="34">
        <v>607316199845</v>
      </c>
      <c r="G23" s="31" t="s">
        <v>35</v>
      </c>
      <c r="H23" s="31" t="s">
        <v>1900</v>
      </c>
    </row>
    <row r="24" spans="2:8" ht="15" customHeight="1" x14ac:dyDescent="0.25">
      <c r="B24" s="30">
        <v>46236.493460648147</v>
      </c>
      <c r="C24" s="31" t="s">
        <v>1899</v>
      </c>
      <c r="D24" s="32" t="s">
        <v>276</v>
      </c>
      <c r="E24" s="33">
        <v>100000</v>
      </c>
      <c r="F24" s="34">
        <v>607316199845</v>
      </c>
      <c r="G24" s="31" t="s">
        <v>45</v>
      </c>
      <c r="H24" s="31" t="s">
        <v>1872</v>
      </c>
    </row>
    <row r="25" spans="2:8" ht="15" customHeight="1" x14ac:dyDescent="0.25">
      <c r="B25" s="30">
        <v>46237.543321759258</v>
      </c>
      <c r="C25" s="31" t="s">
        <v>1901</v>
      </c>
      <c r="D25" s="32" t="s">
        <v>76</v>
      </c>
      <c r="E25" s="33">
        <v>397403</v>
      </c>
      <c r="F25" s="34">
        <v>608038926716</v>
      </c>
      <c r="G25" s="31" t="s">
        <v>66</v>
      </c>
      <c r="H25" s="31" t="s">
        <v>1880</v>
      </c>
    </row>
    <row r="26" spans="2:8" ht="15" customHeight="1" x14ac:dyDescent="0.25">
      <c r="B26" s="30">
        <v>46237.543321759258</v>
      </c>
      <c r="C26" s="31" t="s">
        <v>1902</v>
      </c>
      <c r="D26" s="32" t="s">
        <v>173</v>
      </c>
      <c r="E26" s="33">
        <v>199520</v>
      </c>
      <c r="F26" s="34">
        <v>608018651342</v>
      </c>
      <c r="G26" s="31" t="s">
        <v>49</v>
      </c>
      <c r="H26" s="31" t="s">
        <v>90</v>
      </c>
    </row>
    <row r="27" spans="2:8" ht="15" customHeight="1" x14ac:dyDescent="0.25">
      <c r="B27" s="30">
        <v>46237.54346064815</v>
      </c>
      <c r="C27" s="31" t="s">
        <v>156</v>
      </c>
      <c r="D27" s="32" t="s">
        <v>156</v>
      </c>
      <c r="E27" s="33">
        <v>479644.55</v>
      </c>
      <c r="F27" s="34" t="s">
        <v>1903</v>
      </c>
      <c r="G27" s="31" t="s">
        <v>42</v>
      </c>
      <c r="H27" s="31" t="s">
        <v>1880</v>
      </c>
    </row>
    <row r="28" spans="2:8" ht="15" customHeight="1" x14ac:dyDescent="0.25">
      <c r="B28" s="30">
        <v>46237.54346064815</v>
      </c>
      <c r="C28" s="31" t="s">
        <v>1904</v>
      </c>
      <c r="D28" s="32" t="s">
        <v>194</v>
      </c>
      <c r="E28" s="33">
        <v>2192060</v>
      </c>
      <c r="F28" s="34" t="s">
        <v>1905</v>
      </c>
      <c r="G28" s="31" t="s">
        <v>66</v>
      </c>
      <c r="H28" s="31" t="s">
        <v>1880</v>
      </c>
    </row>
    <row r="29" spans="2:8" ht="15" customHeight="1" x14ac:dyDescent="0.25">
      <c r="B29" s="30">
        <v>46237.54347222222</v>
      </c>
      <c r="C29" s="31" t="s">
        <v>1906</v>
      </c>
      <c r="D29" s="32" t="s">
        <v>212</v>
      </c>
      <c r="E29" s="33">
        <v>456010</v>
      </c>
      <c r="F29" s="34" t="s">
        <v>1907</v>
      </c>
      <c r="G29" s="31" t="s">
        <v>42</v>
      </c>
      <c r="H29" s="31" t="s">
        <v>1880</v>
      </c>
    </row>
    <row r="30" spans="2:8" ht="15" customHeight="1" x14ac:dyDescent="0.25">
      <c r="B30" s="30">
        <v>46237.543483796297</v>
      </c>
      <c r="C30" s="31" t="s">
        <v>1908</v>
      </c>
      <c r="D30" s="32" t="s">
        <v>91</v>
      </c>
      <c r="E30" s="33">
        <v>500000</v>
      </c>
      <c r="F30" s="34" t="s">
        <v>1909</v>
      </c>
      <c r="G30" s="31" t="s">
        <v>79</v>
      </c>
      <c r="H30" s="31" t="s">
        <v>1885</v>
      </c>
    </row>
    <row r="31" spans="2:8" ht="15" customHeight="1" x14ac:dyDescent="0.25">
      <c r="B31" s="30">
        <v>46237.543483796297</v>
      </c>
      <c r="C31" s="31" t="s">
        <v>1910</v>
      </c>
      <c r="D31" s="32" t="s">
        <v>206</v>
      </c>
      <c r="E31" s="33">
        <v>373688</v>
      </c>
      <c r="F31" s="34" t="s">
        <v>1911</v>
      </c>
      <c r="G31" s="31" t="s">
        <v>42</v>
      </c>
      <c r="H31" s="31" t="s">
        <v>1880</v>
      </c>
    </row>
    <row r="32" spans="2:8" ht="15" customHeight="1" x14ac:dyDescent="0.25">
      <c r="B32" s="30">
        <v>46237.543495370373</v>
      </c>
      <c r="C32" s="31" t="s">
        <v>167</v>
      </c>
      <c r="D32" s="32" t="s">
        <v>167</v>
      </c>
      <c r="E32" s="33">
        <v>100000</v>
      </c>
      <c r="F32" s="34" t="s">
        <v>1912</v>
      </c>
      <c r="G32" s="31" t="s">
        <v>42</v>
      </c>
      <c r="H32" s="31" t="s">
        <v>1880</v>
      </c>
    </row>
    <row r="33" spans="2:8" ht="15" customHeight="1" x14ac:dyDescent="0.25">
      <c r="B33" s="30">
        <v>46237.787754629629</v>
      </c>
      <c r="C33" s="31" t="s">
        <v>1913</v>
      </c>
      <c r="D33" s="32" t="s">
        <v>259</v>
      </c>
      <c r="E33" s="33">
        <v>400000</v>
      </c>
      <c r="F33" s="34" t="s">
        <v>1914</v>
      </c>
      <c r="G33" s="31" t="s">
        <v>42</v>
      </c>
      <c r="H33" s="31" t="s">
        <v>1880</v>
      </c>
    </row>
    <row r="34" spans="2:8" ht="15" customHeight="1" x14ac:dyDescent="0.25">
      <c r="B34" s="30">
        <v>46237.800752314812</v>
      </c>
      <c r="C34" s="31" t="s">
        <v>1899</v>
      </c>
      <c r="D34" s="32" t="s">
        <v>276</v>
      </c>
      <c r="E34" s="33">
        <v>200000</v>
      </c>
      <c r="F34" s="34">
        <v>607316199846</v>
      </c>
      <c r="G34" s="31" t="s">
        <v>42</v>
      </c>
      <c r="H34" s="31" t="s">
        <v>1880</v>
      </c>
    </row>
    <row r="35" spans="2:8" ht="15" customHeight="1" x14ac:dyDescent="0.25">
      <c r="B35" s="30">
        <v>46237.800752314812</v>
      </c>
      <c r="C35" s="31" t="s">
        <v>1915</v>
      </c>
      <c r="D35" s="32" t="s">
        <v>84</v>
      </c>
      <c r="E35" s="33">
        <v>3933</v>
      </c>
      <c r="F35" s="34">
        <v>608018651328</v>
      </c>
      <c r="G35" s="31" t="s">
        <v>49</v>
      </c>
      <c r="H35" s="31" t="s">
        <v>1880</v>
      </c>
    </row>
    <row r="36" spans="2:8" ht="15" customHeight="1" x14ac:dyDescent="0.25">
      <c r="B36" s="30">
        <v>46237.800902777781</v>
      </c>
      <c r="C36" s="31" t="s">
        <v>1916</v>
      </c>
      <c r="D36" s="32" t="s">
        <v>69</v>
      </c>
      <c r="E36" s="33">
        <v>9150</v>
      </c>
      <c r="F36" s="34" t="s">
        <v>1917</v>
      </c>
      <c r="G36" s="31" t="s">
        <v>45</v>
      </c>
      <c r="H36" s="31" t="s">
        <v>1872</v>
      </c>
    </row>
    <row r="37" spans="2:8" ht="15" customHeight="1" x14ac:dyDescent="0.25">
      <c r="B37" s="30">
        <v>46237.80091435185</v>
      </c>
      <c r="C37" s="31" t="s">
        <v>1918</v>
      </c>
      <c r="D37" s="32" t="s">
        <v>97</v>
      </c>
      <c r="E37" s="33">
        <v>3286.91</v>
      </c>
      <c r="F37" s="34" t="s">
        <v>1919</v>
      </c>
      <c r="G37" s="31" t="s">
        <v>57</v>
      </c>
      <c r="H37" s="31" t="s">
        <v>1885</v>
      </c>
    </row>
    <row r="38" spans="2:8" ht="15" customHeight="1" x14ac:dyDescent="0.25">
      <c r="B38" s="30">
        <v>46237.80091435185</v>
      </c>
      <c r="C38" s="31" t="s">
        <v>152</v>
      </c>
      <c r="D38" s="32" t="s">
        <v>152</v>
      </c>
      <c r="E38" s="33">
        <v>20958</v>
      </c>
      <c r="F38" s="34" t="s">
        <v>1920</v>
      </c>
      <c r="G38" s="31" t="s">
        <v>45</v>
      </c>
      <c r="H38" s="31" t="s">
        <v>1872</v>
      </c>
    </row>
    <row r="39" spans="2:8" ht="15" customHeight="1" x14ac:dyDescent="0.25">
      <c r="B39" s="30">
        <v>46237.800925925927</v>
      </c>
      <c r="C39" s="31" t="s">
        <v>1921</v>
      </c>
      <c r="D39" s="32" t="s">
        <v>63</v>
      </c>
      <c r="E39" s="33">
        <v>36262.879999999997</v>
      </c>
      <c r="F39" s="34" t="s">
        <v>1922</v>
      </c>
      <c r="G39" s="31" t="s">
        <v>24</v>
      </c>
      <c r="H39" s="31" t="s">
        <v>1880</v>
      </c>
    </row>
    <row r="40" spans="2:8" ht="15" customHeight="1" x14ac:dyDescent="0.25">
      <c r="B40" s="30">
        <v>46237.800937499997</v>
      </c>
      <c r="C40" s="31" t="s">
        <v>1923</v>
      </c>
      <c r="D40" s="32" t="s">
        <v>89</v>
      </c>
      <c r="E40" s="33">
        <v>43200</v>
      </c>
      <c r="F40" s="34" t="s">
        <v>1924</v>
      </c>
      <c r="G40" s="31" t="s">
        <v>42</v>
      </c>
      <c r="H40" s="31" t="s">
        <v>90</v>
      </c>
    </row>
    <row r="41" spans="2:8" ht="15" customHeight="1" x14ac:dyDescent="0.25">
      <c r="B41" s="30">
        <v>46237.800937499997</v>
      </c>
      <c r="C41" s="31" t="s">
        <v>100</v>
      </c>
      <c r="D41" s="32" t="s">
        <v>100</v>
      </c>
      <c r="E41" s="33">
        <v>36049.4</v>
      </c>
      <c r="F41" s="34" t="s">
        <v>1925</v>
      </c>
      <c r="G41" s="31" t="s">
        <v>24</v>
      </c>
      <c r="H41" s="31" t="s">
        <v>1880</v>
      </c>
    </row>
    <row r="42" spans="2:8" ht="15" customHeight="1" x14ac:dyDescent="0.25">
      <c r="B42" s="30">
        <v>46237.800949074073</v>
      </c>
      <c r="C42" s="31" t="s">
        <v>119</v>
      </c>
      <c r="D42" s="32" t="s">
        <v>119</v>
      </c>
      <c r="E42" s="33">
        <v>10856</v>
      </c>
      <c r="F42" s="34" t="s">
        <v>1926</v>
      </c>
      <c r="G42" s="31" t="s">
        <v>45</v>
      </c>
      <c r="H42" s="31" t="s">
        <v>1872</v>
      </c>
    </row>
    <row r="43" spans="2:8" ht="15" customHeight="1" x14ac:dyDescent="0.25">
      <c r="B43" s="30">
        <v>46237.80096064815</v>
      </c>
      <c r="C43" s="31" t="s">
        <v>1927</v>
      </c>
      <c r="D43" s="32" t="s">
        <v>230</v>
      </c>
      <c r="E43" s="33">
        <v>27051</v>
      </c>
      <c r="F43" s="34" t="s">
        <v>1928</v>
      </c>
      <c r="G43" s="31" t="s">
        <v>28</v>
      </c>
      <c r="H43" s="31" t="s">
        <v>1880</v>
      </c>
    </row>
    <row r="44" spans="2:8" ht="15" customHeight="1" x14ac:dyDescent="0.25">
      <c r="B44" s="30">
        <v>46237.80096064815</v>
      </c>
      <c r="C44" s="31" t="s">
        <v>1929</v>
      </c>
      <c r="D44" s="32" t="s">
        <v>88</v>
      </c>
      <c r="E44" s="33">
        <v>3000</v>
      </c>
      <c r="F44" s="34" t="s">
        <v>1930</v>
      </c>
      <c r="G44" s="31" t="s">
        <v>49</v>
      </c>
      <c r="H44" s="31" t="s">
        <v>1880</v>
      </c>
    </row>
    <row r="45" spans="2:8" ht="15" customHeight="1" x14ac:dyDescent="0.25">
      <c r="B45" s="30">
        <v>46237.80097222222</v>
      </c>
      <c r="C45" s="31" t="s">
        <v>1931</v>
      </c>
      <c r="D45" s="32" t="s">
        <v>86</v>
      </c>
      <c r="E45" s="33">
        <v>700</v>
      </c>
      <c r="F45" s="34" t="s">
        <v>1932</v>
      </c>
      <c r="G45" s="31" t="s">
        <v>82</v>
      </c>
      <c r="H45" s="31" t="s">
        <v>1880</v>
      </c>
    </row>
    <row r="46" spans="2:8" ht="15" customHeight="1" x14ac:dyDescent="0.25">
      <c r="B46" s="30">
        <v>46237.80097222222</v>
      </c>
      <c r="C46" s="31" t="s">
        <v>1933</v>
      </c>
      <c r="D46" s="32" t="s">
        <v>177</v>
      </c>
      <c r="E46" s="33">
        <v>1000</v>
      </c>
      <c r="F46" s="34" t="s">
        <v>1934</v>
      </c>
      <c r="G46" s="31" t="s">
        <v>49</v>
      </c>
      <c r="H46" s="31" t="s">
        <v>1880</v>
      </c>
    </row>
    <row r="47" spans="2:8" ht="15" customHeight="1" x14ac:dyDescent="0.25">
      <c r="B47" s="30">
        <v>46238.296076388891</v>
      </c>
      <c r="C47" s="31" t="s">
        <v>1935</v>
      </c>
      <c r="D47" s="32" t="s">
        <v>148</v>
      </c>
      <c r="E47" s="33">
        <v>66080</v>
      </c>
      <c r="F47" s="34" t="s">
        <v>1936</v>
      </c>
      <c r="G47" s="31" t="s">
        <v>28</v>
      </c>
      <c r="H47" s="31" t="s">
        <v>1880</v>
      </c>
    </row>
    <row r="48" spans="2:8" ht="15" customHeight="1" x14ac:dyDescent="0.25">
      <c r="B48" s="30">
        <v>46238.296087962961</v>
      </c>
      <c r="C48" s="31" t="s">
        <v>1937</v>
      </c>
      <c r="D48" s="32" t="s">
        <v>205</v>
      </c>
      <c r="E48" s="33">
        <v>65170</v>
      </c>
      <c r="F48" s="34" t="s">
        <v>1938</v>
      </c>
      <c r="G48" s="31" t="s">
        <v>154</v>
      </c>
      <c r="H48" s="31" t="s">
        <v>1885</v>
      </c>
    </row>
    <row r="49" spans="2:8" ht="15" customHeight="1" x14ac:dyDescent="0.25">
      <c r="B49" s="30">
        <v>46238.296099537038</v>
      </c>
      <c r="C49" s="31" t="s">
        <v>1939</v>
      </c>
      <c r="D49" s="32" t="s">
        <v>245</v>
      </c>
      <c r="E49" s="33">
        <v>64900</v>
      </c>
      <c r="F49" s="34" t="s">
        <v>1940</v>
      </c>
      <c r="G49" s="31" t="s">
        <v>24</v>
      </c>
      <c r="H49" s="31" t="s">
        <v>1880</v>
      </c>
    </row>
    <row r="50" spans="2:8" ht="15" customHeight="1" x14ac:dyDescent="0.25">
      <c r="B50" s="30">
        <v>46238.296099537038</v>
      </c>
      <c r="C50" s="31" t="s">
        <v>1875</v>
      </c>
      <c r="D50" s="32" t="s">
        <v>128</v>
      </c>
      <c r="E50" s="33">
        <v>495970</v>
      </c>
      <c r="F50" s="34" t="s">
        <v>1941</v>
      </c>
      <c r="G50" s="31" t="s">
        <v>45</v>
      </c>
      <c r="H50" s="31" t="s">
        <v>1872</v>
      </c>
    </row>
    <row r="51" spans="2:8" ht="15" customHeight="1" x14ac:dyDescent="0.25">
      <c r="B51" s="30">
        <v>46238.296111111114</v>
      </c>
      <c r="C51" s="31" t="s">
        <v>1942</v>
      </c>
      <c r="D51" s="32" t="s">
        <v>210</v>
      </c>
      <c r="E51" s="33">
        <v>119678</v>
      </c>
      <c r="F51" s="34" t="s">
        <v>1943</v>
      </c>
      <c r="G51" s="31" t="s">
        <v>28</v>
      </c>
      <c r="H51" s="31" t="s">
        <v>1880</v>
      </c>
    </row>
    <row r="52" spans="2:8" ht="15" customHeight="1" x14ac:dyDescent="0.25">
      <c r="B52" s="30">
        <v>46238.296111111114</v>
      </c>
      <c r="C52" s="31" t="s">
        <v>1870</v>
      </c>
      <c r="D52" s="32" t="s">
        <v>140</v>
      </c>
      <c r="E52" s="33">
        <v>258143</v>
      </c>
      <c r="F52" s="34" t="s">
        <v>1944</v>
      </c>
      <c r="G52" s="31" t="s">
        <v>45</v>
      </c>
      <c r="H52" s="31" t="s">
        <v>1872</v>
      </c>
    </row>
    <row r="53" spans="2:8" ht="15" customHeight="1" x14ac:dyDescent="0.25">
      <c r="B53" s="30">
        <v>46238.296122685184</v>
      </c>
      <c r="C53" s="31" t="s">
        <v>1945</v>
      </c>
      <c r="D53" s="32" t="s">
        <v>211</v>
      </c>
      <c r="E53" s="33">
        <v>243929.42</v>
      </c>
      <c r="F53" s="34" t="s">
        <v>1946</v>
      </c>
      <c r="G53" s="31" t="s">
        <v>57</v>
      </c>
      <c r="H53" s="31" t="s">
        <v>1885</v>
      </c>
    </row>
    <row r="54" spans="2:8" ht="15" customHeight="1" x14ac:dyDescent="0.25">
      <c r="B54" s="30">
        <v>46238.296122685184</v>
      </c>
      <c r="C54" s="31" t="s">
        <v>228</v>
      </c>
      <c r="D54" s="32" t="s">
        <v>228</v>
      </c>
      <c r="E54" s="33">
        <v>57820</v>
      </c>
      <c r="F54" s="34" t="s">
        <v>1947</v>
      </c>
      <c r="G54" s="31" t="s">
        <v>24</v>
      </c>
      <c r="H54" s="31" t="s">
        <v>1880</v>
      </c>
    </row>
    <row r="55" spans="2:8" ht="15" customHeight="1" x14ac:dyDescent="0.25">
      <c r="B55" s="30">
        <v>46238.296759259261</v>
      </c>
      <c r="C55" s="31" t="s">
        <v>1945</v>
      </c>
      <c r="D55" s="32" t="s">
        <v>211</v>
      </c>
      <c r="E55" s="33">
        <v>320322.68</v>
      </c>
      <c r="F55" s="34" t="s">
        <v>1948</v>
      </c>
      <c r="G55" s="31" t="s">
        <v>57</v>
      </c>
      <c r="H55" s="31" t="s">
        <v>1885</v>
      </c>
    </row>
    <row r="56" spans="2:8" ht="15" customHeight="1" x14ac:dyDescent="0.25">
      <c r="B56" s="30">
        <v>46238.870983796296</v>
      </c>
      <c r="C56" s="31" t="s">
        <v>1949</v>
      </c>
      <c r="D56" s="32" t="s">
        <v>236</v>
      </c>
      <c r="E56" s="33">
        <v>514705.91999999998</v>
      </c>
      <c r="F56" s="34">
        <v>608040098026</v>
      </c>
      <c r="G56" s="31" t="s">
        <v>33</v>
      </c>
      <c r="H56" s="31" t="s">
        <v>1900</v>
      </c>
    </row>
    <row r="57" spans="2:8" ht="15" customHeight="1" x14ac:dyDescent="0.25">
      <c r="B57" s="30">
        <v>46238.871122685188</v>
      </c>
      <c r="C57" s="31" t="s">
        <v>1950</v>
      </c>
      <c r="D57" s="32" t="s">
        <v>306</v>
      </c>
      <c r="E57" s="33">
        <v>3000</v>
      </c>
      <c r="F57" s="34" t="s">
        <v>1951</v>
      </c>
      <c r="G57" s="31" t="s">
        <v>35</v>
      </c>
      <c r="H57" s="31" t="s">
        <v>1900</v>
      </c>
    </row>
    <row r="58" spans="2:8" ht="15" customHeight="1" x14ac:dyDescent="0.25">
      <c r="B58" s="30">
        <v>46238.871122685188</v>
      </c>
      <c r="C58" s="31" t="s">
        <v>1952</v>
      </c>
      <c r="D58" s="32" t="s">
        <v>257</v>
      </c>
      <c r="E58" s="33">
        <v>10516</v>
      </c>
      <c r="F58" s="34" t="s">
        <v>1953</v>
      </c>
      <c r="G58" s="31" t="s">
        <v>42</v>
      </c>
      <c r="H58" s="31" t="s">
        <v>1880</v>
      </c>
    </row>
    <row r="59" spans="2:8" ht="15" customHeight="1" x14ac:dyDescent="0.25">
      <c r="B59" s="30">
        <v>46238.871134259258</v>
      </c>
      <c r="C59" s="31" t="s">
        <v>1954</v>
      </c>
      <c r="D59" s="32" t="s">
        <v>275</v>
      </c>
      <c r="E59" s="33">
        <v>20579</v>
      </c>
      <c r="F59" s="34" t="s">
        <v>1955</v>
      </c>
      <c r="G59" s="31" t="s">
        <v>161</v>
      </c>
      <c r="H59" s="31" t="s">
        <v>1880</v>
      </c>
    </row>
    <row r="60" spans="2:8" ht="15" customHeight="1" x14ac:dyDescent="0.25">
      <c r="B60" s="30">
        <v>46239.296180555553</v>
      </c>
      <c r="C60" s="31" t="s">
        <v>1956</v>
      </c>
      <c r="D60" s="32" t="s">
        <v>111</v>
      </c>
      <c r="E60" s="33">
        <v>344995.2</v>
      </c>
      <c r="F60" s="34" t="s">
        <v>1957</v>
      </c>
      <c r="G60" s="31" t="s">
        <v>35</v>
      </c>
      <c r="H60" s="31" t="s">
        <v>1900</v>
      </c>
    </row>
    <row r="61" spans="2:8" ht="15" customHeight="1" x14ac:dyDescent="0.25">
      <c r="B61" s="30">
        <v>46239.41951388889</v>
      </c>
      <c r="C61" s="31" t="s">
        <v>1958</v>
      </c>
      <c r="D61" s="32" t="s">
        <v>1959</v>
      </c>
      <c r="E61" s="33">
        <v>16530</v>
      </c>
      <c r="F61" s="34" t="s">
        <v>1960</v>
      </c>
      <c r="G61" s="31" t="s">
        <v>42</v>
      </c>
      <c r="H61" s="31" t="s">
        <v>1880</v>
      </c>
    </row>
    <row r="62" spans="2:8" ht="15" customHeight="1" x14ac:dyDescent="0.25">
      <c r="B62" s="30">
        <v>46239.419525462959</v>
      </c>
      <c r="C62" s="31" t="s">
        <v>1908</v>
      </c>
      <c r="D62" s="32" t="s">
        <v>91</v>
      </c>
      <c r="E62" s="33">
        <v>500000</v>
      </c>
      <c r="F62" s="34" t="s">
        <v>1961</v>
      </c>
      <c r="G62" s="31" t="s">
        <v>79</v>
      </c>
      <c r="H62" s="31" t="s">
        <v>1885</v>
      </c>
    </row>
    <row r="63" spans="2:8" ht="15" customHeight="1" x14ac:dyDescent="0.25">
      <c r="B63" s="30">
        <v>46239.419525462959</v>
      </c>
      <c r="C63" s="31" t="s">
        <v>1962</v>
      </c>
      <c r="D63" s="32" t="s">
        <v>37</v>
      </c>
      <c r="E63" s="33">
        <v>561211.29</v>
      </c>
      <c r="F63" s="34" t="s">
        <v>1963</v>
      </c>
      <c r="G63" s="31" t="s">
        <v>35</v>
      </c>
      <c r="H63" s="31" t="s">
        <v>1900</v>
      </c>
    </row>
    <row r="64" spans="2:8" ht="15" customHeight="1" x14ac:dyDescent="0.25">
      <c r="B64" s="30">
        <v>46239.419537037036</v>
      </c>
      <c r="C64" s="31" t="s">
        <v>1899</v>
      </c>
      <c r="D64" s="32" t="s">
        <v>276</v>
      </c>
      <c r="E64" s="33">
        <v>57999.999999999993</v>
      </c>
      <c r="F64" s="34">
        <v>608050533676</v>
      </c>
      <c r="G64" s="31" t="s">
        <v>42</v>
      </c>
      <c r="H64" s="31" t="s">
        <v>1880</v>
      </c>
    </row>
    <row r="65" spans="2:8" ht="15" customHeight="1" x14ac:dyDescent="0.25">
      <c r="B65" s="30">
        <v>46239.419537037036</v>
      </c>
      <c r="C65" s="31" t="s">
        <v>1899</v>
      </c>
      <c r="D65" s="32" t="s">
        <v>276</v>
      </c>
      <c r="E65" s="33">
        <v>42000</v>
      </c>
      <c r="F65" s="34">
        <v>608050533676</v>
      </c>
      <c r="G65" s="31" t="s">
        <v>35</v>
      </c>
      <c r="H65" s="31" t="s">
        <v>1900</v>
      </c>
    </row>
    <row r="66" spans="2:8" ht="15" customHeight="1" x14ac:dyDescent="0.25">
      <c r="B66" s="30">
        <v>46239.419537037036</v>
      </c>
      <c r="C66" s="31" t="s">
        <v>1899</v>
      </c>
      <c r="D66" s="32" t="s">
        <v>276</v>
      </c>
      <c r="E66" s="33">
        <v>100000</v>
      </c>
      <c r="F66" s="34">
        <v>608050533676</v>
      </c>
      <c r="G66" s="31" t="s">
        <v>45</v>
      </c>
      <c r="H66" s="31" t="s">
        <v>1872</v>
      </c>
    </row>
    <row r="67" spans="2:8" ht="15" customHeight="1" x14ac:dyDescent="0.25">
      <c r="B67" s="30">
        <v>46239.419548611113</v>
      </c>
      <c r="C67" s="31" t="s">
        <v>1964</v>
      </c>
      <c r="D67" s="32" t="s">
        <v>44</v>
      </c>
      <c r="E67" s="33">
        <v>11328</v>
      </c>
      <c r="F67" s="34">
        <v>608040098031</v>
      </c>
      <c r="G67" s="31" t="s">
        <v>24</v>
      </c>
      <c r="H67" s="31" t="s">
        <v>1880</v>
      </c>
    </row>
    <row r="68" spans="2:8" ht="15" customHeight="1" x14ac:dyDescent="0.25">
      <c r="B68" s="30">
        <v>46239.422847222224</v>
      </c>
      <c r="C68" s="31" t="s">
        <v>1884</v>
      </c>
      <c r="D68" s="32" t="s">
        <v>221</v>
      </c>
      <c r="E68" s="33">
        <v>143200</v>
      </c>
      <c r="F68" s="34">
        <v>608018651324</v>
      </c>
      <c r="G68" s="31" t="s">
        <v>79</v>
      </c>
      <c r="H68" s="31" t="s">
        <v>1885</v>
      </c>
    </row>
    <row r="69" spans="2:8" ht="15" customHeight="1" x14ac:dyDescent="0.25">
      <c r="B69" s="30">
        <v>46239.529699074075</v>
      </c>
      <c r="C69" s="31" t="s">
        <v>1965</v>
      </c>
      <c r="D69" s="32" t="s">
        <v>53</v>
      </c>
      <c r="E69" s="33">
        <v>774736.17</v>
      </c>
      <c r="F69" s="34" t="s">
        <v>1966</v>
      </c>
      <c r="G69" s="31" t="s">
        <v>35</v>
      </c>
      <c r="H69" s="31" t="s">
        <v>1900</v>
      </c>
    </row>
    <row r="70" spans="2:8" ht="15" customHeight="1" x14ac:dyDescent="0.25">
      <c r="B70" s="30">
        <v>46239.529699074075</v>
      </c>
      <c r="C70" s="31" t="s">
        <v>1967</v>
      </c>
      <c r="D70" s="32" t="s">
        <v>1968</v>
      </c>
      <c r="E70" s="33">
        <v>3697042</v>
      </c>
      <c r="F70" s="34">
        <v>608050764175</v>
      </c>
      <c r="G70" s="31" t="s">
        <v>82</v>
      </c>
      <c r="H70" s="31" t="s">
        <v>82</v>
      </c>
    </row>
    <row r="71" spans="2:8" ht="15" customHeight="1" x14ac:dyDescent="0.25">
      <c r="B71" s="30">
        <v>46239.529699074075</v>
      </c>
      <c r="C71" s="31" t="s">
        <v>1901</v>
      </c>
      <c r="D71" s="32" t="s">
        <v>76</v>
      </c>
      <c r="E71" s="33">
        <v>157729</v>
      </c>
      <c r="F71" s="34">
        <v>608050764176</v>
      </c>
      <c r="G71" s="31" t="s">
        <v>66</v>
      </c>
      <c r="H71" s="31" t="s">
        <v>1880</v>
      </c>
    </row>
    <row r="72" spans="2:8" ht="15" customHeight="1" x14ac:dyDescent="0.25">
      <c r="B72" s="30">
        <v>46239.529826388891</v>
      </c>
      <c r="C72" s="31" t="s">
        <v>1969</v>
      </c>
      <c r="D72" s="32" t="s">
        <v>218</v>
      </c>
      <c r="E72" s="33">
        <v>100000</v>
      </c>
      <c r="F72" s="34" t="s">
        <v>1970</v>
      </c>
      <c r="G72" s="31" t="s">
        <v>42</v>
      </c>
      <c r="H72" s="31" t="s">
        <v>1880</v>
      </c>
    </row>
    <row r="73" spans="2:8" ht="15" customHeight="1" x14ac:dyDescent="0.25">
      <c r="B73" s="30">
        <v>46239.52983796296</v>
      </c>
      <c r="C73" s="31" t="s">
        <v>1971</v>
      </c>
      <c r="D73" s="35" t="s">
        <v>141</v>
      </c>
      <c r="E73" s="33">
        <v>626430</v>
      </c>
      <c r="F73" s="34" t="s">
        <v>1972</v>
      </c>
      <c r="G73" s="31" t="s">
        <v>49</v>
      </c>
      <c r="H73" s="31" t="s">
        <v>1880</v>
      </c>
    </row>
    <row r="74" spans="2:8" ht="15" customHeight="1" x14ac:dyDescent="0.25">
      <c r="B74" s="30">
        <v>46239.529849537037</v>
      </c>
      <c r="C74" s="31" t="s">
        <v>1973</v>
      </c>
      <c r="D74" s="32" t="s">
        <v>193</v>
      </c>
      <c r="E74" s="33">
        <v>122052.63</v>
      </c>
      <c r="F74" s="34" t="s">
        <v>1974</v>
      </c>
      <c r="G74" s="31" t="s">
        <v>42</v>
      </c>
      <c r="H74" s="31" t="s">
        <v>1880</v>
      </c>
    </row>
    <row r="75" spans="2:8" ht="15" customHeight="1" x14ac:dyDescent="0.25">
      <c r="B75" s="30">
        <v>46239.529861111114</v>
      </c>
      <c r="C75" s="31" t="s">
        <v>1975</v>
      </c>
      <c r="D75" s="32" t="s">
        <v>134</v>
      </c>
      <c r="E75" s="33">
        <v>197225</v>
      </c>
      <c r="F75" s="34" t="s">
        <v>1976</v>
      </c>
      <c r="G75" s="31" t="s">
        <v>42</v>
      </c>
      <c r="H75" s="31" t="s">
        <v>1880</v>
      </c>
    </row>
    <row r="76" spans="2:8" ht="15" customHeight="1" x14ac:dyDescent="0.25">
      <c r="B76" s="30">
        <v>46239.747094907405</v>
      </c>
      <c r="C76" s="31" t="s">
        <v>1977</v>
      </c>
      <c r="D76" s="32" t="s">
        <v>186</v>
      </c>
      <c r="E76" s="33">
        <v>241290</v>
      </c>
      <c r="F76" s="34" t="s">
        <v>1978</v>
      </c>
      <c r="G76" s="31" t="s">
        <v>49</v>
      </c>
      <c r="H76" s="31" t="s">
        <v>1880</v>
      </c>
    </row>
    <row r="77" spans="2:8" ht="15" customHeight="1" x14ac:dyDescent="0.25">
      <c r="B77" s="30">
        <v>46239.747291666667</v>
      </c>
      <c r="C77" s="31" t="s">
        <v>1899</v>
      </c>
      <c r="D77" s="32" t="s">
        <v>276</v>
      </c>
      <c r="E77" s="33">
        <v>57999.999999999993</v>
      </c>
      <c r="F77" s="34">
        <v>608050533674</v>
      </c>
      <c r="G77" s="31" t="s">
        <v>42</v>
      </c>
      <c r="H77" s="31" t="s">
        <v>1880</v>
      </c>
    </row>
    <row r="78" spans="2:8" ht="15" customHeight="1" x14ac:dyDescent="0.25">
      <c r="B78" s="30">
        <v>46239.747291666667</v>
      </c>
      <c r="C78" s="31" t="s">
        <v>1899</v>
      </c>
      <c r="D78" s="32" t="s">
        <v>276</v>
      </c>
      <c r="E78" s="33">
        <v>42000</v>
      </c>
      <c r="F78" s="34">
        <v>608050533674</v>
      </c>
      <c r="G78" s="31" t="s">
        <v>35</v>
      </c>
      <c r="H78" s="31" t="s">
        <v>1900</v>
      </c>
    </row>
    <row r="79" spans="2:8" ht="15" customHeight="1" x14ac:dyDescent="0.25">
      <c r="B79" s="30">
        <v>46239.747291666667</v>
      </c>
      <c r="C79" s="31" t="s">
        <v>1899</v>
      </c>
      <c r="D79" s="32" t="s">
        <v>276</v>
      </c>
      <c r="E79" s="33">
        <v>100000</v>
      </c>
      <c r="F79" s="34">
        <v>608050533674</v>
      </c>
      <c r="G79" s="31" t="s">
        <v>45</v>
      </c>
      <c r="H79" s="31" t="s">
        <v>1872</v>
      </c>
    </row>
    <row r="80" spans="2:8" ht="15" customHeight="1" x14ac:dyDescent="0.25">
      <c r="B80" s="30">
        <v>46240.106377314813</v>
      </c>
      <c r="C80" s="31" t="s">
        <v>1979</v>
      </c>
      <c r="D80" s="32" t="str">
        <f>VLOOKUP(C80,[1]Payments!$C$4:$D$459,2,0)</f>
        <v>HDFC Term Loan</v>
      </c>
      <c r="E80" s="33">
        <v>1666666.67</v>
      </c>
      <c r="F80" s="34" t="s">
        <v>1869</v>
      </c>
      <c r="G80" s="31" t="s">
        <v>82</v>
      </c>
      <c r="H80" s="31" t="s">
        <v>82</v>
      </c>
    </row>
    <row r="81" spans="2:8" ht="15" customHeight="1" x14ac:dyDescent="0.25">
      <c r="B81" s="30">
        <v>46240.50608796296</v>
      </c>
      <c r="C81" s="31" t="s">
        <v>1980</v>
      </c>
      <c r="D81" s="32" t="str">
        <f>VLOOKUP(C81,[1]Payments!$C$4:$D$459,2,0)</f>
        <v>Krishna Konar - Crs</v>
      </c>
      <c r="E81" s="33">
        <v>18000</v>
      </c>
      <c r="F81" s="34" t="s">
        <v>1981</v>
      </c>
      <c r="G81" s="31" t="s">
        <v>24</v>
      </c>
      <c r="H81" s="31" t="s">
        <v>1880</v>
      </c>
    </row>
    <row r="82" spans="2:8" ht="15" customHeight="1" x14ac:dyDescent="0.25">
      <c r="B82" s="30">
        <v>46240.506099537037</v>
      </c>
      <c r="C82" s="31" t="s">
        <v>1982</v>
      </c>
      <c r="D82" s="32" t="str">
        <f>VLOOKUP(C82,[1]Payments!$C$4:$D$459,2,0)</f>
        <v>Krishnendu Konar CRS</v>
      </c>
      <c r="E82" s="33">
        <v>37000</v>
      </c>
      <c r="F82" s="34" t="s">
        <v>1983</v>
      </c>
      <c r="G82" s="31" t="s">
        <v>24</v>
      </c>
      <c r="H82" s="31" t="s">
        <v>1880</v>
      </c>
    </row>
    <row r="83" spans="2:8" ht="15" customHeight="1" x14ac:dyDescent="0.25">
      <c r="B83" s="30">
        <v>46240.506099537037</v>
      </c>
      <c r="C83" s="31" t="s">
        <v>1984</v>
      </c>
      <c r="D83" s="32" t="str">
        <f>VLOOKUP(C83,[1]Payments!$C$4:$D$459,2,0)</f>
        <v>Purnendu Konar - Crs</v>
      </c>
      <c r="E83" s="33">
        <v>18000</v>
      </c>
      <c r="F83" s="34" t="s">
        <v>1985</v>
      </c>
      <c r="G83" s="31" t="s">
        <v>24</v>
      </c>
      <c r="H83" s="31" t="s">
        <v>1880</v>
      </c>
    </row>
    <row r="84" spans="2:8" ht="15" customHeight="1" x14ac:dyDescent="0.25">
      <c r="B84" s="30">
        <v>46240.506111111114</v>
      </c>
      <c r="C84" s="31" t="s">
        <v>1986</v>
      </c>
      <c r="D84" s="32" t="s">
        <v>87</v>
      </c>
      <c r="E84" s="33">
        <v>45611.199999999997</v>
      </c>
      <c r="F84" s="34" t="s">
        <v>1987</v>
      </c>
      <c r="G84" s="31" t="s">
        <v>49</v>
      </c>
      <c r="H84" s="31" t="s">
        <v>1880</v>
      </c>
    </row>
    <row r="85" spans="2:8" ht="15" customHeight="1" x14ac:dyDescent="0.25">
      <c r="B85" s="30">
        <v>46240.506122685183</v>
      </c>
      <c r="C85" s="31" t="s">
        <v>1988</v>
      </c>
      <c r="D85" s="32" t="str">
        <f>VLOOKUP(C85,[1]Payments!$C$4:$D$459,2,0)</f>
        <v>BHARTIBEN SATISHBHAI PATEL-CR</v>
      </c>
      <c r="E85" s="33">
        <v>8000</v>
      </c>
      <c r="F85" s="34" t="s">
        <v>1989</v>
      </c>
      <c r="G85" s="31" t="s">
        <v>42</v>
      </c>
      <c r="H85" s="31" t="s">
        <v>1880</v>
      </c>
    </row>
    <row r="86" spans="2:8" ht="15" customHeight="1" x14ac:dyDescent="0.25">
      <c r="B86" s="30">
        <v>46240.506122685183</v>
      </c>
      <c r="C86" s="31" t="s">
        <v>1990</v>
      </c>
      <c r="D86" s="32" t="str">
        <f>VLOOKUP(C86,[1]Payments!$C$4:$D$459,2,0)</f>
        <v>TEAMLEASE SERVICES LTD. - Crs</v>
      </c>
      <c r="E86" s="33">
        <v>775143.28</v>
      </c>
      <c r="F86" s="34">
        <v>608061632898</v>
      </c>
      <c r="G86" s="31" t="s">
        <v>24</v>
      </c>
      <c r="H86" s="31" t="s">
        <v>1880</v>
      </c>
    </row>
    <row r="87" spans="2:8" ht="15" customHeight="1" x14ac:dyDescent="0.25">
      <c r="B87" s="30">
        <v>46240.506122685183</v>
      </c>
      <c r="C87" s="31" t="s">
        <v>1990</v>
      </c>
      <c r="D87" s="32" t="str">
        <f>VLOOKUP(C87,[1]Payments!$C$4:$D$459,2,0)</f>
        <v>TEAMLEASE SERVICES LTD. - Crs</v>
      </c>
      <c r="E87" s="33">
        <v>876681.34</v>
      </c>
      <c r="F87" s="34">
        <v>608061632898</v>
      </c>
      <c r="G87" s="31" t="s">
        <v>42</v>
      </c>
      <c r="H87" s="31" t="s">
        <v>1880</v>
      </c>
    </row>
    <row r="88" spans="2:8" ht="15" customHeight="1" x14ac:dyDescent="0.25">
      <c r="B88" s="30">
        <v>46240.506122685183</v>
      </c>
      <c r="C88" s="31" t="s">
        <v>1990</v>
      </c>
      <c r="D88" s="32" t="str">
        <f>VLOOKUP(C88,[1]Payments!$C$4:$D$459,2,0)</f>
        <v>TEAMLEASE SERVICES LTD. - Crs</v>
      </c>
      <c r="E88" s="33">
        <v>33296</v>
      </c>
      <c r="F88" s="34">
        <v>608061632898</v>
      </c>
      <c r="G88" s="31" t="s">
        <v>79</v>
      </c>
      <c r="H88" s="31" t="s">
        <v>1885</v>
      </c>
    </row>
    <row r="89" spans="2:8" ht="15" customHeight="1" x14ac:dyDescent="0.25">
      <c r="B89" s="30">
        <v>46240.506122685183</v>
      </c>
      <c r="C89" s="31" t="s">
        <v>1990</v>
      </c>
      <c r="D89" s="32" t="str">
        <f>VLOOKUP(C89,[1]Payments!$C$4:$D$459,2,0)</f>
        <v>TEAMLEASE SERVICES LTD. - Crs</v>
      </c>
      <c r="E89" s="33">
        <v>1002421</v>
      </c>
      <c r="F89" s="34">
        <v>608061632898</v>
      </c>
      <c r="G89" s="31" t="s">
        <v>49</v>
      </c>
      <c r="H89" s="31" t="s">
        <v>1880</v>
      </c>
    </row>
    <row r="90" spans="2:8" ht="15" customHeight="1" x14ac:dyDescent="0.25">
      <c r="B90" s="30">
        <v>46240.506122685183</v>
      </c>
      <c r="C90" s="31" t="s">
        <v>1991</v>
      </c>
      <c r="D90" s="32" t="str">
        <f>VLOOKUP(C90,[1]Payments!$C$4:$D$459,2,0)</f>
        <v>Veena Dilip Bokde - Crs</v>
      </c>
      <c r="E90" s="33">
        <v>12000</v>
      </c>
      <c r="F90" s="34" t="s">
        <v>1992</v>
      </c>
      <c r="G90" s="31" t="s">
        <v>49</v>
      </c>
      <c r="H90" s="31" t="s">
        <v>1880</v>
      </c>
    </row>
    <row r="91" spans="2:8" ht="15" customHeight="1" x14ac:dyDescent="0.25">
      <c r="B91" s="30">
        <v>46240.50613425926</v>
      </c>
      <c r="C91" s="31" t="s">
        <v>1993</v>
      </c>
      <c r="D91" s="32" t="str">
        <f>VLOOKUP(C91,[1]Payments!$C$4:$D$459,2,0)</f>
        <v>Balram Kumar Chakrawarti - Employee</v>
      </c>
      <c r="E91" s="33">
        <v>73224</v>
      </c>
      <c r="F91" s="34">
        <v>608061632896</v>
      </c>
      <c r="G91" s="31" t="s">
        <v>82</v>
      </c>
      <c r="H91" s="31" t="s">
        <v>1880</v>
      </c>
    </row>
    <row r="92" spans="2:8" ht="15" customHeight="1" x14ac:dyDescent="0.25">
      <c r="B92" s="30">
        <v>46240.50613425926</v>
      </c>
      <c r="C92" s="31" t="s">
        <v>1994</v>
      </c>
      <c r="D92" s="32" t="str">
        <f>VLOOKUP(C92,[1]Payments!$C$4:$D$459,2,0)</f>
        <v>Subhendu Konar - Crs</v>
      </c>
      <c r="E92" s="33">
        <v>37000</v>
      </c>
      <c r="F92" s="34" t="s">
        <v>1995</v>
      </c>
      <c r="G92" s="31" t="s">
        <v>24</v>
      </c>
      <c r="H92" s="31" t="s">
        <v>1880</v>
      </c>
    </row>
    <row r="93" spans="2:8" ht="15" customHeight="1" x14ac:dyDescent="0.25">
      <c r="B93" s="30">
        <v>46240.506145833337</v>
      </c>
      <c r="C93" s="31" t="s">
        <v>1956</v>
      </c>
      <c r="D93" s="32" t="str">
        <f>VLOOKUP(C93,[1]Payments!$C$4:$D$459,2,0)</f>
        <v>Harish Ludhani - Employee</v>
      </c>
      <c r="E93" s="33">
        <v>629100</v>
      </c>
      <c r="F93" s="34" t="s">
        <v>1996</v>
      </c>
      <c r="G93" s="31" t="s">
        <v>35</v>
      </c>
      <c r="H93" s="31" t="s">
        <v>1900</v>
      </c>
    </row>
    <row r="94" spans="2:8" ht="15" customHeight="1" x14ac:dyDescent="0.25">
      <c r="B94" s="30">
        <v>46240.506145833337</v>
      </c>
      <c r="C94" s="31" t="s">
        <v>1997</v>
      </c>
      <c r="D94" s="32" t="str">
        <f>VLOOKUP(C94,[1]Payments!$C$4:$D$459,2,0)</f>
        <v>VANDANA SHARMA - Crs</v>
      </c>
      <c r="E94" s="33">
        <v>75000</v>
      </c>
      <c r="F94" s="34" t="s">
        <v>1998</v>
      </c>
      <c r="G94" s="31" t="s">
        <v>49</v>
      </c>
      <c r="H94" s="31" t="s">
        <v>1880</v>
      </c>
    </row>
    <row r="95" spans="2:8" ht="15" customHeight="1" x14ac:dyDescent="0.25">
      <c r="B95" s="30">
        <v>46240.506145833337</v>
      </c>
      <c r="C95" s="31" t="s">
        <v>1993</v>
      </c>
      <c r="D95" s="32" t="str">
        <f>VLOOKUP(C95,[1]Payments!$C$4:$D$459,2,0)</f>
        <v>Balram Kumar Chakrawarti - Employee</v>
      </c>
      <c r="E95" s="33">
        <v>340200</v>
      </c>
      <c r="F95" s="34">
        <v>608061632897</v>
      </c>
      <c r="G95" s="31" t="s">
        <v>82</v>
      </c>
      <c r="H95" s="31" t="s">
        <v>1880</v>
      </c>
    </row>
    <row r="96" spans="2:8" ht="15" customHeight="1" x14ac:dyDescent="0.25">
      <c r="B96" s="30">
        <v>46240.506157407406</v>
      </c>
      <c r="C96" s="31" t="s">
        <v>1999</v>
      </c>
      <c r="D96" s="32" t="str">
        <f>VLOOKUP(C96,[1]Payments!$C$4:$D$459,2,0)</f>
        <v>Joshi Dharmarajan Andezath - Employee</v>
      </c>
      <c r="E96" s="33">
        <v>150000</v>
      </c>
      <c r="F96" s="34" t="s">
        <v>2000</v>
      </c>
      <c r="G96" s="31" t="s">
        <v>66</v>
      </c>
      <c r="H96" s="31" t="s">
        <v>1880</v>
      </c>
    </row>
    <row r="97" spans="2:8" ht="15" customHeight="1" x14ac:dyDescent="0.25">
      <c r="B97" s="30">
        <v>46240.506168981483</v>
      </c>
      <c r="C97" s="31" t="s">
        <v>2001</v>
      </c>
      <c r="D97" s="32" t="s">
        <v>104</v>
      </c>
      <c r="E97" s="33">
        <v>20000</v>
      </c>
      <c r="F97" s="34" t="s">
        <v>2002</v>
      </c>
      <c r="G97" s="31" t="s">
        <v>42</v>
      </c>
      <c r="H97" s="31" t="s">
        <v>1880</v>
      </c>
    </row>
    <row r="98" spans="2:8" ht="15" customHeight="1" x14ac:dyDescent="0.25">
      <c r="B98" s="30">
        <v>46240.506585648145</v>
      </c>
      <c r="C98" s="31" t="s">
        <v>2003</v>
      </c>
      <c r="D98" s="32" t="str">
        <f>VLOOKUP(C98,[1]Payments!$C$4:$D$459,2,0)</f>
        <v>KAMAL S PATIL - Crs</v>
      </c>
      <c r="E98" s="33">
        <v>34630.199999999997</v>
      </c>
      <c r="F98" s="34" t="s">
        <v>2004</v>
      </c>
      <c r="G98" s="31" t="s">
        <v>28</v>
      </c>
      <c r="H98" s="31" t="s">
        <v>1880</v>
      </c>
    </row>
    <row r="99" spans="2:8" ht="15" customHeight="1" x14ac:dyDescent="0.25">
      <c r="B99" s="30">
        <v>46240.663935185185</v>
      </c>
      <c r="C99" s="31" t="s">
        <v>1918</v>
      </c>
      <c r="D99" s="32" t="str">
        <f>VLOOKUP(C99,[1]Payments!$C$4:$D$459,2,0)</f>
        <v>Dmk Logistic - Crs</v>
      </c>
      <c r="E99" s="33">
        <v>462079.8</v>
      </c>
      <c r="F99" s="34" t="s">
        <v>2005</v>
      </c>
      <c r="G99" s="31" t="s">
        <v>57</v>
      </c>
      <c r="H99" s="31" t="s">
        <v>1885</v>
      </c>
    </row>
    <row r="100" spans="2:8" ht="15" customHeight="1" x14ac:dyDescent="0.25">
      <c r="B100" s="30">
        <v>46240.795335648145</v>
      </c>
      <c r="C100" s="31" t="s">
        <v>2006</v>
      </c>
      <c r="D100" s="32" t="str">
        <f>VLOOKUP(C100,[1]Payments!$C$4:$D$459,2,0)</f>
        <v>AMBUJA CEMENTS LIMITED -Crs</v>
      </c>
      <c r="E100" s="33">
        <v>456116.66</v>
      </c>
      <c r="F100" s="34" t="s">
        <v>2007</v>
      </c>
      <c r="G100" s="31" t="s">
        <v>35</v>
      </c>
      <c r="H100" s="31" t="s">
        <v>1900</v>
      </c>
    </row>
    <row r="101" spans="2:8" ht="15" customHeight="1" x14ac:dyDescent="0.25">
      <c r="B101" s="30">
        <v>46240.795347222222</v>
      </c>
      <c r="C101" s="31" t="s">
        <v>2006</v>
      </c>
      <c r="D101" s="32" t="str">
        <f>VLOOKUP(C101,[1]Payments!$C$4:$D$459,2,0)</f>
        <v>AMBUJA CEMENTS LIMITED -Crs</v>
      </c>
      <c r="E101" s="33">
        <v>548281.68999999994</v>
      </c>
      <c r="F101" s="34" t="s">
        <v>2008</v>
      </c>
      <c r="G101" s="31" t="s">
        <v>35</v>
      </c>
      <c r="H101" s="31" t="s">
        <v>1900</v>
      </c>
    </row>
    <row r="102" spans="2:8" ht="15" customHeight="1" x14ac:dyDescent="0.25">
      <c r="B102" s="30">
        <v>46241.410115740742</v>
      </c>
      <c r="C102" s="31" t="s">
        <v>1899</v>
      </c>
      <c r="D102" s="32" t="s">
        <v>276</v>
      </c>
      <c r="E102" s="33">
        <v>57999.999999999993</v>
      </c>
      <c r="F102" s="34">
        <v>608050533675</v>
      </c>
      <c r="G102" s="31" t="s">
        <v>42</v>
      </c>
      <c r="H102" s="31" t="s">
        <v>1880</v>
      </c>
    </row>
    <row r="103" spans="2:8" ht="15" customHeight="1" x14ac:dyDescent="0.25">
      <c r="B103" s="30">
        <v>46241.410115740742</v>
      </c>
      <c r="C103" s="31" t="s">
        <v>1899</v>
      </c>
      <c r="D103" s="32" t="s">
        <v>276</v>
      </c>
      <c r="E103" s="33">
        <v>42000</v>
      </c>
      <c r="F103" s="34">
        <v>608050533675</v>
      </c>
      <c r="G103" s="31" t="s">
        <v>35</v>
      </c>
      <c r="H103" s="31" t="s">
        <v>1900</v>
      </c>
    </row>
    <row r="104" spans="2:8" ht="15" customHeight="1" x14ac:dyDescent="0.25">
      <c r="B104" s="30">
        <v>46241.410115740742</v>
      </c>
      <c r="C104" s="31" t="s">
        <v>1899</v>
      </c>
      <c r="D104" s="32" t="s">
        <v>276</v>
      </c>
      <c r="E104" s="33">
        <v>100000</v>
      </c>
      <c r="F104" s="34">
        <v>608050533675</v>
      </c>
      <c r="G104" s="31" t="s">
        <v>45</v>
      </c>
      <c r="H104" s="31" t="s">
        <v>1872</v>
      </c>
    </row>
    <row r="105" spans="2:8" ht="15" customHeight="1" x14ac:dyDescent="0.25">
      <c r="B105" s="30">
        <v>46241.419456018521</v>
      </c>
      <c r="C105" s="31" t="s">
        <v>2009</v>
      </c>
      <c r="D105" s="32" t="s">
        <v>259</v>
      </c>
      <c r="E105" s="33">
        <v>400000</v>
      </c>
      <c r="F105" s="34" t="s">
        <v>2010</v>
      </c>
      <c r="G105" s="31" t="s">
        <v>42</v>
      </c>
      <c r="H105" s="31" t="s">
        <v>1880</v>
      </c>
    </row>
    <row r="106" spans="2:8" ht="15" customHeight="1" x14ac:dyDescent="0.25">
      <c r="B106" s="30">
        <v>46241.419456018521</v>
      </c>
      <c r="C106" s="31" t="s">
        <v>2011</v>
      </c>
      <c r="D106" s="32" t="s">
        <v>259</v>
      </c>
      <c r="E106" s="33">
        <v>400000</v>
      </c>
      <c r="F106" s="34" t="s">
        <v>2012</v>
      </c>
      <c r="G106" s="31" t="s">
        <v>42</v>
      </c>
      <c r="H106" s="31" t="s">
        <v>1880</v>
      </c>
    </row>
    <row r="107" spans="2:8" ht="15" customHeight="1" x14ac:dyDescent="0.25">
      <c r="B107" s="30">
        <v>46241.600393518522</v>
      </c>
      <c r="C107" s="31" t="s">
        <v>1908</v>
      </c>
      <c r="D107" s="32" t="s">
        <v>91</v>
      </c>
      <c r="E107" s="33">
        <v>500000</v>
      </c>
      <c r="F107" s="34" t="s">
        <v>2013</v>
      </c>
      <c r="G107" s="31" t="s">
        <v>79</v>
      </c>
      <c r="H107" s="31" t="s">
        <v>1885</v>
      </c>
    </row>
    <row r="108" spans="2:8" ht="15" customHeight="1" x14ac:dyDescent="0.25">
      <c r="B108" s="30">
        <v>46241.600393518522</v>
      </c>
      <c r="C108" s="31" t="s">
        <v>2014</v>
      </c>
      <c r="D108" s="32" t="s">
        <v>308</v>
      </c>
      <c r="E108" s="33">
        <v>344000</v>
      </c>
      <c r="F108" s="34" t="s">
        <v>2015</v>
      </c>
      <c r="G108" s="31" t="s">
        <v>199</v>
      </c>
      <c r="H108" s="31" t="s">
        <v>90</v>
      </c>
    </row>
    <row r="109" spans="2:8" ht="15" customHeight="1" x14ac:dyDescent="0.25">
      <c r="B109" s="30">
        <v>46241.60050925926</v>
      </c>
      <c r="C109" s="31" t="s">
        <v>2016</v>
      </c>
      <c r="D109" s="32" t="s">
        <v>91</v>
      </c>
      <c r="E109" s="33">
        <v>200000</v>
      </c>
      <c r="F109" s="34">
        <v>608072722067</v>
      </c>
      <c r="G109" s="31" t="s">
        <v>79</v>
      </c>
      <c r="H109" s="31" t="s">
        <v>1885</v>
      </c>
    </row>
    <row r="110" spans="2:8" ht="15" customHeight="1" x14ac:dyDescent="0.25">
      <c r="B110" s="30">
        <v>46241.775995370372</v>
      </c>
      <c r="C110" s="31" t="s">
        <v>1899</v>
      </c>
      <c r="D110" s="32" t="s">
        <v>276</v>
      </c>
      <c r="E110" s="33">
        <v>43500</v>
      </c>
      <c r="F110" s="34">
        <v>608050533677</v>
      </c>
      <c r="G110" s="31" t="s">
        <v>42</v>
      </c>
      <c r="H110" s="31" t="s">
        <v>1880</v>
      </c>
    </row>
    <row r="111" spans="2:8" ht="15" customHeight="1" x14ac:dyDescent="0.25">
      <c r="B111" s="30">
        <v>46241.775995370372</v>
      </c>
      <c r="C111" s="31" t="s">
        <v>1899</v>
      </c>
      <c r="D111" s="32" t="s">
        <v>276</v>
      </c>
      <c r="E111" s="33">
        <v>31500</v>
      </c>
      <c r="F111" s="34">
        <v>608050533677</v>
      </c>
      <c r="G111" s="31" t="s">
        <v>35</v>
      </c>
      <c r="H111" s="31" t="s">
        <v>1900</v>
      </c>
    </row>
    <row r="112" spans="2:8" ht="15" customHeight="1" x14ac:dyDescent="0.25">
      <c r="B112" s="30">
        <v>46241.775995370372</v>
      </c>
      <c r="C112" s="31" t="s">
        <v>1899</v>
      </c>
      <c r="D112" s="32" t="s">
        <v>276</v>
      </c>
      <c r="E112" s="33">
        <v>75000</v>
      </c>
      <c r="F112" s="34">
        <v>608050533677</v>
      </c>
      <c r="G112" s="31" t="s">
        <v>45</v>
      </c>
      <c r="H112" s="31" t="s">
        <v>1872</v>
      </c>
    </row>
    <row r="113" spans="2:8" ht="15" customHeight="1" x14ac:dyDescent="0.25">
      <c r="B113" s="30">
        <v>46241.776018518518</v>
      </c>
      <c r="C113" s="31" t="s">
        <v>1899</v>
      </c>
      <c r="D113" s="32" t="s">
        <v>276</v>
      </c>
      <c r="E113" s="33">
        <v>43500</v>
      </c>
      <c r="F113" s="34">
        <v>608050533678</v>
      </c>
      <c r="G113" s="31" t="s">
        <v>42</v>
      </c>
      <c r="H113" s="31" t="s">
        <v>1880</v>
      </c>
    </row>
    <row r="114" spans="2:8" ht="15" customHeight="1" x14ac:dyDescent="0.25">
      <c r="B114" s="30">
        <v>46241.776018518518</v>
      </c>
      <c r="C114" s="31" t="s">
        <v>1899</v>
      </c>
      <c r="D114" s="32" t="s">
        <v>276</v>
      </c>
      <c r="E114" s="33">
        <v>31500</v>
      </c>
      <c r="F114" s="34">
        <v>608050533678</v>
      </c>
      <c r="G114" s="31" t="s">
        <v>35</v>
      </c>
      <c r="H114" s="31" t="s">
        <v>1900</v>
      </c>
    </row>
    <row r="115" spans="2:8" ht="15" customHeight="1" x14ac:dyDescent="0.25">
      <c r="B115" s="30">
        <v>46241.776018518518</v>
      </c>
      <c r="C115" s="31" t="s">
        <v>1899</v>
      </c>
      <c r="D115" s="32" t="s">
        <v>276</v>
      </c>
      <c r="E115" s="33">
        <v>75000</v>
      </c>
      <c r="F115" s="34">
        <v>608050533678</v>
      </c>
      <c r="G115" s="31" t="s">
        <v>45</v>
      </c>
      <c r="H115" s="31" t="s">
        <v>1872</v>
      </c>
    </row>
    <row r="116" spans="2:8" ht="15" customHeight="1" x14ac:dyDescent="0.25">
      <c r="B116" s="30">
        <v>46241.776226851849</v>
      </c>
      <c r="C116" s="31" t="s">
        <v>2017</v>
      </c>
      <c r="D116" s="32" t="s">
        <v>197</v>
      </c>
      <c r="E116" s="33">
        <v>300000</v>
      </c>
      <c r="F116" s="34" t="s">
        <v>2018</v>
      </c>
      <c r="G116" s="31" t="s">
        <v>42</v>
      </c>
      <c r="H116" s="31" t="s">
        <v>90</v>
      </c>
    </row>
    <row r="117" spans="2:8" ht="15" customHeight="1" x14ac:dyDescent="0.25">
      <c r="B117" s="30">
        <v>46241.776238425926</v>
      </c>
      <c r="C117" s="31" t="s">
        <v>2019</v>
      </c>
      <c r="D117" s="32" t="s">
        <v>2020</v>
      </c>
      <c r="E117" s="33">
        <v>47970</v>
      </c>
      <c r="F117" s="34" t="s">
        <v>2021</v>
      </c>
      <c r="G117" s="31" t="s">
        <v>42</v>
      </c>
      <c r="H117" s="31" t="s">
        <v>1880</v>
      </c>
    </row>
    <row r="118" spans="2:8" ht="15" customHeight="1" x14ac:dyDescent="0.25">
      <c r="B118" s="30">
        <v>46241.776238425926</v>
      </c>
      <c r="C118" s="31" t="s">
        <v>2022</v>
      </c>
      <c r="D118" s="54" t="s">
        <v>2049</v>
      </c>
      <c r="E118" s="33">
        <v>7540</v>
      </c>
      <c r="F118" s="34" t="s">
        <v>2023</v>
      </c>
      <c r="G118" s="31" t="s">
        <v>199</v>
      </c>
      <c r="H118" s="31" t="s">
        <v>1880</v>
      </c>
    </row>
    <row r="119" spans="2:8" ht="15" customHeight="1" x14ac:dyDescent="0.25">
      <c r="B119" s="30">
        <v>46241.776458333334</v>
      </c>
      <c r="C119" s="31" t="s">
        <v>2024</v>
      </c>
      <c r="D119" s="32" t="s">
        <v>2025</v>
      </c>
      <c r="E119" s="33">
        <v>489904.99</v>
      </c>
      <c r="F119" s="34">
        <v>260807180038798</v>
      </c>
      <c r="G119" s="31" t="s">
        <v>82</v>
      </c>
      <c r="H119" s="31" t="s">
        <v>1880</v>
      </c>
    </row>
    <row r="120" spans="2:8" ht="15" customHeight="1" x14ac:dyDescent="0.25">
      <c r="B120" s="30">
        <v>46241.776458333334</v>
      </c>
      <c r="C120" s="31" t="s">
        <v>2024</v>
      </c>
      <c r="D120" s="32" t="s">
        <v>2025</v>
      </c>
      <c r="E120" s="33">
        <v>57912.2</v>
      </c>
      <c r="F120" s="34">
        <v>260807180038798</v>
      </c>
      <c r="G120" s="31" t="s">
        <v>35</v>
      </c>
      <c r="H120" s="31" t="s">
        <v>1900</v>
      </c>
    </row>
    <row r="121" spans="2:8" ht="15" customHeight="1" x14ac:dyDescent="0.25">
      <c r="B121" s="30">
        <v>46241.776458333334</v>
      </c>
      <c r="C121" s="31" t="s">
        <v>2024</v>
      </c>
      <c r="D121" s="32" t="s">
        <v>2025</v>
      </c>
      <c r="E121" s="33">
        <v>84183.810000000012</v>
      </c>
      <c r="F121" s="34">
        <v>260807180038798</v>
      </c>
      <c r="G121" s="31" t="s">
        <v>82</v>
      </c>
      <c r="H121" s="31" t="s">
        <v>1872</v>
      </c>
    </row>
    <row r="122" spans="2:8" ht="15" customHeight="1" x14ac:dyDescent="0.25">
      <c r="B122" s="30">
        <v>46241.776469907411</v>
      </c>
      <c r="C122" s="31" t="s">
        <v>2026</v>
      </c>
      <c r="D122" s="32" t="s">
        <v>2025</v>
      </c>
      <c r="E122" s="33">
        <v>249826.87</v>
      </c>
      <c r="F122" s="34">
        <v>260807180031252</v>
      </c>
      <c r="G122" s="31" t="s">
        <v>82</v>
      </c>
      <c r="H122" s="31" t="s">
        <v>1880</v>
      </c>
    </row>
    <row r="123" spans="2:8" ht="15" customHeight="1" x14ac:dyDescent="0.25">
      <c r="B123" s="30">
        <v>46241.776469907411</v>
      </c>
      <c r="C123" s="31" t="s">
        <v>2026</v>
      </c>
      <c r="D123" s="32" t="s">
        <v>2025</v>
      </c>
      <c r="E123" s="33">
        <v>796482</v>
      </c>
      <c r="F123" s="34">
        <v>260807180031252</v>
      </c>
      <c r="G123" s="31" t="s">
        <v>82</v>
      </c>
      <c r="H123" s="31" t="s">
        <v>82</v>
      </c>
    </row>
    <row r="124" spans="2:8" ht="15" customHeight="1" x14ac:dyDescent="0.25">
      <c r="B124" s="30">
        <v>46241.776469907411</v>
      </c>
      <c r="C124" s="31" t="s">
        <v>2026</v>
      </c>
      <c r="D124" s="32" t="s">
        <v>2025</v>
      </c>
      <c r="E124" s="33">
        <v>14033.13</v>
      </c>
      <c r="F124" s="34">
        <v>260807180031252</v>
      </c>
      <c r="G124" s="31" t="s">
        <v>45</v>
      </c>
      <c r="H124" s="31" t="s">
        <v>1872</v>
      </c>
    </row>
    <row r="125" spans="2:8" ht="15" customHeight="1" x14ac:dyDescent="0.25">
      <c r="B125" s="30">
        <v>46241.776469907411</v>
      </c>
      <c r="C125" s="31" t="s">
        <v>2026</v>
      </c>
      <c r="D125" s="32" t="s">
        <v>2025</v>
      </c>
      <c r="E125" s="33">
        <v>5296.369999999999</v>
      </c>
      <c r="F125" s="34">
        <v>260807180031252</v>
      </c>
      <c r="G125" s="31" t="s">
        <v>35</v>
      </c>
      <c r="H125" s="31" t="s">
        <v>1900</v>
      </c>
    </row>
    <row r="126" spans="2:8" ht="15" customHeight="1" x14ac:dyDescent="0.25">
      <c r="B126" s="30">
        <v>46241.776469907411</v>
      </c>
      <c r="C126" s="31" t="s">
        <v>2027</v>
      </c>
      <c r="D126" s="32" t="s">
        <v>2025</v>
      </c>
      <c r="E126" s="33">
        <v>186991</v>
      </c>
      <c r="F126" s="34">
        <v>260807170131382</v>
      </c>
      <c r="G126" s="31" t="s">
        <v>82</v>
      </c>
      <c r="H126" s="31" t="s">
        <v>1880</v>
      </c>
    </row>
    <row r="127" spans="2:8" ht="15" customHeight="1" x14ac:dyDescent="0.25">
      <c r="B127" s="30">
        <v>46241.776469907411</v>
      </c>
      <c r="C127" s="31" t="s">
        <v>2027</v>
      </c>
      <c r="D127" s="32" t="s">
        <v>2025</v>
      </c>
      <c r="E127" s="33">
        <v>20471</v>
      </c>
      <c r="F127" s="34">
        <v>260807170131382</v>
      </c>
      <c r="G127" s="31" t="s">
        <v>82</v>
      </c>
      <c r="H127" s="31" t="s">
        <v>1872</v>
      </c>
    </row>
    <row r="128" spans="2:8" ht="15" customHeight="1" x14ac:dyDescent="0.25">
      <c r="B128" s="30">
        <v>46242.312337962961</v>
      </c>
      <c r="C128" s="31" t="s">
        <v>2028</v>
      </c>
      <c r="D128" s="32" t="s">
        <v>109</v>
      </c>
      <c r="E128" s="33">
        <v>703638.0199999999</v>
      </c>
      <c r="F128" s="34">
        <v>758784975</v>
      </c>
      <c r="G128" s="31" t="s">
        <v>42</v>
      </c>
      <c r="H128" s="31" t="s">
        <v>1880</v>
      </c>
    </row>
    <row r="129" spans="2:8" ht="15" customHeight="1" x14ac:dyDescent="0.25">
      <c r="B129" s="30">
        <v>46242.312337962961</v>
      </c>
      <c r="C129" s="31" t="s">
        <v>2028</v>
      </c>
      <c r="D129" s="32" t="s">
        <v>109</v>
      </c>
      <c r="E129" s="33">
        <v>509530.98</v>
      </c>
      <c r="F129" s="34">
        <v>758784975</v>
      </c>
      <c r="G129" s="31" t="s">
        <v>35</v>
      </c>
      <c r="H129" s="31" t="s">
        <v>1900</v>
      </c>
    </row>
    <row r="130" spans="2:8" ht="15" customHeight="1" x14ac:dyDescent="0.25">
      <c r="B130" s="30">
        <v>46242.312337962961</v>
      </c>
      <c r="C130" s="31" t="s">
        <v>2028</v>
      </c>
      <c r="D130" s="32" t="s">
        <v>109</v>
      </c>
      <c r="E130" s="33">
        <v>1213169</v>
      </c>
      <c r="F130" s="34">
        <v>758784975</v>
      </c>
      <c r="G130" s="31" t="s">
        <v>45</v>
      </c>
      <c r="H130" s="31" t="s">
        <v>1872</v>
      </c>
    </row>
    <row r="131" spans="2:8" ht="15" customHeight="1" x14ac:dyDescent="0.25">
      <c r="B131" s="30"/>
      <c r="C131" s="31"/>
      <c r="D131" s="32"/>
      <c r="E131" s="33"/>
      <c r="F131" s="34"/>
      <c r="G131" s="31"/>
      <c r="H131" s="31"/>
    </row>
    <row r="132" spans="2:8" ht="15" customHeight="1" x14ac:dyDescent="0.25">
      <c r="B132" s="30"/>
      <c r="C132" s="31"/>
      <c r="D132" s="32"/>
      <c r="E132" s="33"/>
      <c r="F132" s="34"/>
      <c r="G132" s="31"/>
      <c r="H132" s="31"/>
    </row>
    <row r="133" spans="2:8" ht="15" customHeight="1" x14ac:dyDescent="0.25">
      <c r="B133" s="30"/>
      <c r="C133" s="31"/>
      <c r="D133" s="32"/>
      <c r="E133" s="33"/>
      <c r="F133" s="34"/>
      <c r="G133" s="31"/>
      <c r="H133" s="31"/>
    </row>
    <row r="134" spans="2:8" ht="15" customHeight="1" x14ac:dyDescent="0.25">
      <c r="B134" s="30"/>
      <c r="C134" s="31"/>
      <c r="D134" s="32"/>
      <c r="E134" s="33"/>
      <c r="F134" s="34"/>
      <c r="G134" s="31"/>
      <c r="H134" s="31"/>
    </row>
    <row r="135" spans="2:8" ht="15" customHeight="1" x14ac:dyDescent="0.25">
      <c r="B135" s="30"/>
      <c r="C135" s="31"/>
      <c r="D135" s="32"/>
      <c r="E135" s="33"/>
      <c r="F135" s="34"/>
      <c r="G135" s="31"/>
      <c r="H135" s="31"/>
    </row>
    <row r="136" spans="2:8" ht="15" customHeight="1" x14ac:dyDescent="0.25">
      <c r="B136" s="30"/>
      <c r="C136" s="31"/>
      <c r="D136" s="32"/>
      <c r="E136" s="33"/>
      <c r="F136" s="34"/>
      <c r="G136" s="31"/>
      <c r="H136" s="31"/>
    </row>
    <row r="137" spans="2:8" ht="15" customHeight="1" x14ac:dyDescent="0.25">
      <c r="B137" s="30"/>
      <c r="C137" s="31"/>
      <c r="D137" s="32"/>
      <c r="E137" s="33"/>
      <c r="F137" s="34"/>
      <c r="G137" s="31"/>
      <c r="H137" s="31"/>
    </row>
    <row r="138" spans="2:8" ht="15" customHeight="1" x14ac:dyDescent="0.25">
      <c r="B138" s="30"/>
      <c r="C138" s="31"/>
      <c r="D138" s="32"/>
      <c r="E138" s="33"/>
      <c r="F138" s="34"/>
      <c r="G138" s="31"/>
      <c r="H138" s="31"/>
    </row>
    <row r="139" spans="2:8" ht="15" customHeight="1" x14ac:dyDescent="0.25">
      <c r="B139" s="30"/>
      <c r="C139" s="31"/>
      <c r="D139" s="32"/>
      <c r="E139" s="33"/>
      <c r="F139" s="34"/>
      <c r="G139" s="31"/>
      <c r="H139" s="31"/>
    </row>
    <row r="140" spans="2:8" ht="15" customHeight="1" x14ac:dyDescent="0.25">
      <c r="B140" s="36" t="s">
        <v>2029</v>
      </c>
      <c r="C140" s="36" t="s">
        <v>2029</v>
      </c>
      <c r="D140" s="36" t="s">
        <v>2029</v>
      </c>
      <c r="E140" s="36" t="s">
        <v>2029</v>
      </c>
      <c r="F140" s="36" t="s">
        <v>2029</v>
      </c>
      <c r="G140" s="36" t="s">
        <v>2029</v>
      </c>
      <c r="H140" s="36" t="s">
        <v>2029</v>
      </c>
    </row>
    <row r="144" spans="2:8" ht="15" customHeight="1" x14ac:dyDescent="0.25">
      <c r="B144" s="27" t="s">
        <v>363</v>
      </c>
      <c r="C144" s="28" t="s">
        <v>1862</v>
      </c>
      <c r="D144" s="27" t="s">
        <v>1863</v>
      </c>
      <c r="E144" s="29" t="s">
        <v>1864</v>
      </c>
      <c r="F144" s="27" t="s">
        <v>1865</v>
      </c>
      <c r="G144" s="27" t="s">
        <v>5</v>
      </c>
    </row>
    <row r="145" spans="2:7" ht="15" customHeight="1" x14ac:dyDescent="0.25">
      <c r="B145" s="30">
        <v>46239.422847222224</v>
      </c>
      <c r="C145" s="31" t="s">
        <v>1884</v>
      </c>
      <c r="D145" s="32" t="s">
        <v>221</v>
      </c>
      <c r="E145" s="33">
        <v>143200</v>
      </c>
      <c r="F145" s="34">
        <v>608018651324</v>
      </c>
      <c r="G145" s="31" t="s">
        <v>79</v>
      </c>
    </row>
  </sheetData>
  <autoFilter ref="B3:I1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TB</vt:lpstr>
      <vt:lpstr>Bill Wise</vt:lpstr>
      <vt:lpstr>Only Creditors</vt:lpstr>
      <vt:lpstr>Advances</vt:lpstr>
      <vt:lpstr>Sheet1</vt:lpstr>
      <vt:lpstr>Intercompany</vt:lpstr>
      <vt:lpstr>Review</vt:lpstr>
      <vt:lpstr>Payments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Desai</cp:lastModifiedBy>
  <cp:revision>0</cp:revision>
  <dcterms:created xsi:type="dcterms:W3CDTF">2026-08-10T05:18:59Z</dcterms:created>
  <dcterms:modified xsi:type="dcterms:W3CDTF">2026-08-14T09:25:59Z</dcterms:modified>
  <dc:language>en-US</dc:language>
</cp:coreProperties>
</file>