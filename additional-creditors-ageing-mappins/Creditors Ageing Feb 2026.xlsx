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hidePivotFieldList="1" defaultThemeVersion="124226"/>
  <bookViews>
    <workbookView xWindow="240" yWindow="60" windowWidth="20115" windowHeight="8010"/>
  </bookViews>
  <sheets>
    <sheet name="TB" sheetId="1" r:id="rId1"/>
    <sheet name="Advances" sheetId="7" r:id="rId2"/>
    <sheet name="Only Creditors" sheetId="16" r:id="rId3"/>
    <sheet name="BillWise" sheetId="2" r:id="rId4"/>
  </sheets>
  <definedNames>
    <definedName name="_xlnm._FilterDatabase" localSheetId="1" hidden="1">Advances!$A$3:$Q$53</definedName>
    <definedName name="_xlnm._FilterDatabase" localSheetId="3" hidden="1">BillWise!$A$4:$K$1443</definedName>
    <definedName name="_xlnm._FilterDatabase" localSheetId="2" hidden="1">'Only Creditors'!$A$4:$N$258</definedName>
    <definedName name="_xlnm._FilterDatabase" localSheetId="0" hidden="1">TB!$A$13:$C$313</definedName>
  </definedNames>
  <calcPr calcId="144525"/>
</workbook>
</file>

<file path=xl/calcChain.xml><?xml version="1.0" encoding="utf-8"?>
<calcChain xmlns="http://schemas.openxmlformats.org/spreadsheetml/2006/main">
  <c r="E95" i="16" l="1"/>
  <c r="F258" i="16"/>
  <c r="N258" i="16"/>
  <c r="M258" i="16"/>
  <c r="L258" i="16"/>
  <c r="K258" i="16"/>
  <c r="J258" i="16"/>
  <c r="I258" i="16"/>
  <c r="H258" i="16"/>
  <c r="G258" i="16"/>
  <c r="N3" i="16"/>
  <c r="M3" i="16"/>
  <c r="L3" i="16"/>
  <c r="K3" i="16"/>
  <c r="J3" i="16"/>
  <c r="I3" i="16"/>
  <c r="H3" i="16"/>
  <c r="G3" i="16"/>
  <c r="F3" i="16"/>
  <c r="E257" i="16"/>
  <c r="E256" i="16"/>
  <c r="E255" i="16"/>
  <c r="E254" i="16"/>
  <c r="E253" i="16"/>
  <c r="E252" i="16"/>
  <c r="E251" i="16"/>
  <c r="E250" i="16"/>
  <c r="E249" i="16"/>
  <c r="E248" i="16"/>
  <c r="E247" i="16"/>
  <c r="E246" i="16"/>
  <c r="E245" i="16"/>
  <c r="E244" i="16"/>
  <c r="E243" i="16"/>
  <c r="E242" i="16"/>
  <c r="E241" i="16"/>
  <c r="E240" i="16"/>
  <c r="E239" i="16"/>
  <c r="E238" i="16"/>
  <c r="E237" i="16"/>
  <c r="E236" i="16"/>
  <c r="E235" i="16"/>
  <c r="E234" i="16"/>
  <c r="E233" i="16"/>
  <c r="E232" i="16"/>
  <c r="E231" i="16"/>
  <c r="E230" i="16"/>
  <c r="E229" i="16"/>
  <c r="E228" i="16"/>
  <c r="E227" i="16"/>
  <c r="E226" i="16"/>
  <c r="E225" i="16"/>
  <c r="E224" i="16"/>
  <c r="E223" i="16"/>
  <c r="E222" i="16"/>
  <c r="E221" i="16"/>
  <c r="E220" i="16"/>
  <c r="E219" i="16"/>
  <c r="E218" i="16"/>
  <c r="E217" i="16"/>
  <c r="E216" i="16"/>
  <c r="E215" i="16"/>
  <c r="E214" i="16"/>
  <c r="E213" i="16"/>
  <c r="E212" i="16"/>
  <c r="E211" i="16"/>
  <c r="E210" i="16"/>
  <c r="E209" i="16"/>
  <c r="E208" i="16"/>
  <c r="E207" i="16"/>
  <c r="E206" i="16"/>
  <c r="E205" i="16"/>
  <c r="E204" i="16"/>
  <c r="E203" i="16"/>
  <c r="E202" i="16"/>
  <c r="E201" i="16"/>
  <c r="E200" i="16"/>
  <c r="E199" i="16"/>
  <c r="E198" i="16"/>
  <c r="E197" i="16"/>
  <c r="E196" i="16"/>
  <c r="E195" i="16"/>
  <c r="E194" i="16"/>
  <c r="E193" i="16"/>
  <c r="E192" i="16"/>
  <c r="E191" i="16"/>
  <c r="E190" i="16"/>
  <c r="E189" i="16"/>
  <c r="E188" i="16"/>
  <c r="E187" i="16"/>
  <c r="E186" i="16"/>
  <c r="E185" i="16"/>
  <c r="E184" i="16"/>
  <c r="E183" i="16"/>
  <c r="E182" i="16"/>
  <c r="E181" i="16"/>
  <c r="E180" i="16"/>
  <c r="E179" i="16"/>
  <c r="E178" i="16"/>
  <c r="E177" i="16"/>
  <c r="E176" i="16"/>
  <c r="E175" i="16"/>
  <c r="E174" i="16"/>
  <c r="E173" i="16"/>
  <c r="E172" i="16"/>
  <c r="E171" i="16"/>
  <c r="E170" i="16"/>
  <c r="E169" i="16"/>
  <c r="E168" i="16"/>
  <c r="E167" i="16"/>
  <c r="E166" i="16"/>
  <c r="E165" i="16"/>
  <c r="E164" i="16"/>
  <c r="E163" i="16"/>
  <c r="E162" i="16"/>
  <c r="E161" i="16"/>
  <c r="E160" i="16"/>
  <c r="E159" i="16"/>
  <c r="E158" i="16"/>
  <c r="E157" i="16"/>
  <c r="E156" i="16"/>
  <c r="E155" i="16"/>
  <c r="E154" i="16"/>
  <c r="E153" i="16"/>
  <c r="E152" i="16"/>
  <c r="E151" i="16"/>
  <c r="E150" i="16"/>
  <c r="E149" i="16"/>
  <c r="E148" i="16"/>
  <c r="E147" i="16"/>
  <c r="E146" i="16"/>
  <c r="E145" i="16"/>
  <c r="E144" i="16"/>
  <c r="E143" i="16"/>
  <c r="E142" i="16"/>
  <c r="E141" i="16"/>
  <c r="E140" i="16"/>
  <c r="E139" i="16"/>
  <c r="E138" i="16"/>
  <c r="E137" i="16"/>
  <c r="E136" i="16"/>
  <c r="E135" i="16"/>
  <c r="E134" i="16"/>
  <c r="E133" i="16"/>
  <c r="E132" i="16"/>
  <c r="E131" i="16"/>
  <c r="E130" i="16"/>
  <c r="E129" i="16"/>
  <c r="E128" i="16"/>
  <c r="E127" i="16"/>
  <c r="E126" i="16"/>
  <c r="E125" i="16"/>
  <c r="E124" i="16"/>
  <c r="E123" i="16"/>
  <c r="E122" i="16"/>
  <c r="E121" i="16"/>
  <c r="E120" i="16"/>
  <c r="E119" i="16"/>
  <c r="E118" i="16"/>
  <c r="E117" i="16"/>
  <c r="E116" i="16"/>
  <c r="E115" i="16"/>
  <c r="E114" i="16"/>
  <c r="E113" i="16"/>
  <c r="E112" i="16"/>
  <c r="E111" i="16"/>
  <c r="E110" i="16"/>
  <c r="E109" i="16"/>
  <c r="E108" i="16"/>
  <c r="E107" i="16"/>
  <c r="E106" i="16"/>
  <c r="E105" i="16"/>
  <c r="E104" i="16"/>
  <c r="E103" i="16"/>
  <c r="E102" i="16"/>
  <c r="E101" i="16"/>
  <c r="E100" i="16"/>
  <c r="E99" i="16"/>
  <c r="E98" i="16"/>
  <c r="E97" i="16"/>
  <c r="E96" i="16"/>
  <c r="E94" i="16"/>
  <c r="E93" i="16"/>
  <c r="E92" i="16"/>
  <c r="E91" i="16"/>
  <c r="E90" i="16"/>
  <c r="E89" i="16"/>
  <c r="E88" i="16"/>
  <c r="E87" i="16"/>
  <c r="E86" i="16"/>
  <c r="E85" i="16"/>
  <c r="E84" i="16"/>
  <c r="E83" i="16"/>
  <c r="E82" i="16"/>
  <c r="E81" i="16"/>
  <c r="E80" i="16"/>
  <c r="E79" i="16"/>
  <c r="E78" i="16"/>
  <c r="E77" i="16"/>
  <c r="E76" i="16"/>
  <c r="E75" i="16"/>
  <c r="E74" i="16"/>
  <c r="E73" i="16"/>
  <c r="E72" i="16"/>
  <c r="E71" i="16"/>
  <c r="E70" i="16"/>
  <c r="E69" i="16"/>
  <c r="E68" i="16"/>
  <c r="E67" i="16"/>
  <c r="E66" i="16"/>
  <c r="E65" i="16"/>
  <c r="E64" i="16"/>
  <c r="E63" i="16"/>
  <c r="E62" i="16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48" i="16"/>
  <c r="E47" i="16"/>
  <c r="E46" i="16"/>
  <c r="E45" i="16"/>
  <c r="E44" i="16"/>
  <c r="E43" i="16"/>
  <c r="E42" i="16"/>
  <c r="E41" i="16"/>
  <c r="E40" i="16"/>
  <c r="E39" i="16"/>
  <c r="E38" i="16"/>
  <c r="E37" i="16"/>
  <c r="E36" i="16"/>
  <c r="E35" i="16"/>
  <c r="E34" i="16"/>
  <c r="E33" i="16"/>
  <c r="E32" i="16"/>
  <c r="E31" i="16"/>
  <c r="E30" i="16"/>
  <c r="E29" i="16"/>
  <c r="E28" i="16"/>
  <c r="E27" i="16"/>
  <c r="E26" i="16"/>
  <c r="E25" i="16"/>
  <c r="E24" i="16"/>
  <c r="E23" i="16"/>
  <c r="E22" i="16"/>
  <c r="E21" i="16"/>
  <c r="E20" i="16"/>
  <c r="E19" i="16"/>
  <c r="E18" i="16"/>
  <c r="E17" i="16"/>
  <c r="E16" i="16"/>
  <c r="E15" i="16"/>
  <c r="E14" i="16"/>
  <c r="E13" i="16"/>
  <c r="E12" i="16"/>
  <c r="E11" i="16"/>
  <c r="E10" i="16"/>
  <c r="E9" i="16"/>
  <c r="E8" i="16"/>
  <c r="E7" i="16"/>
  <c r="E6" i="16"/>
  <c r="E5" i="16"/>
  <c r="J1430" i="2"/>
  <c r="J1429" i="2"/>
  <c r="J1427" i="2"/>
  <c r="J1415" i="2"/>
  <c r="J1414" i="2"/>
  <c r="J1407" i="2"/>
  <c r="J1406" i="2"/>
  <c r="J1405" i="2"/>
  <c r="J1404" i="2"/>
  <c r="J1403" i="2"/>
  <c r="J1383" i="2"/>
  <c r="J1378" i="2"/>
  <c r="J1363" i="2"/>
  <c r="J1351" i="2"/>
  <c r="J1338" i="2"/>
  <c r="J1337" i="2"/>
  <c r="J1336" i="2"/>
  <c r="J1335" i="2"/>
  <c r="J1334" i="2"/>
  <c r="J1333" i="2"/>
  <c r="J1332" i="2"/>
  <c r="J1331" i="2"/>
  <c r="J1328" i="2"/>
  <c r="J1327" i="2"/>
  <c r="J1324" i="2"/>
  <c r="J1286" i="2"/>
  <c r="J1267" i="2"/>
  <c r="J1266" i="2"/>
  <c r="J1265" i="2"/>
  <c r="J1228" i="2"/>
  <c r="J1224" i="2"/>
  <c r="J1223" i="2"/>
  <c r="J1216" i="2"/>
  <c r="J1215" i="2"/>
  <c r="J1204" i="2"/>
  <c r="J1203" i="2"/>
  <c r="J1201" i="2"/>
  <c r="J1198" i="2"/>
  <c r="J1197" i="2"/>
  <c r="J1194" i="2"/>
  <c r="J1190" i="2"/>
  <c r="J1188" i="2"/>
  <c r="J1186" i="2"/>
  <c r="J1185" i="2"/>
  <c r="J1183" i="2"/>
  <c r="J1182" i="2"/>
  <c r="J1180" i="2"/>
  <c r="J1179" i="2"/>
  <c r="J1162" i="2"/>
  <c r="J1161" i="2"/>
  <c r="J1157" i="2"/>
  <c r="J1156" i="2"/>
  <c r="J1152" i="2"/>
  <c r="J1148" i="2"/>
  <c r="J1147" i="2"/>
  <c r="J1140" i="2"/>
  <c r="J1138" i="2"/>
  <c r="J1132" i="2"/>
  <c r="J1130" i="2"/>
  <c r="J1129" i="2"/>
  <c r="J1128" i="2"/>
  <c r="J1111" i="2"/>
  <c r="J1110" i="2"/>
  <c r="J1109" i="2"/>
  <c r="J1108" i="2"/>
  <c r="J1106" i="2"/>
  <c r="J1105" i="2"/>
  <c r="J1104" i="2"/>
  <c r="J1103" i="2"/>
  <c r="J1102" i="2"/>
  <c r="J1101" i="2"/>
  <c r="J1100" i="2"/>
  <c r="J1099" i="2"/>
  <c r="J1087" i="2"/>
  <c r="J1082" i="2"/>
  <c r="J1080" i="2"/>
  <c r="J1079" i="2"/>
  <c r="J1069" i="2"/>
  <c r="J1068" i="2"/>
  <c r="J1066" i="2"/>
  <c r="J1065" i="2"/>
  <c r="J1063" i="2"/>
  <c r="J1047" i="2"/>
  <c r="J1046" i="2"/>
  <c r="J1045" i="2"/>
  <c r="J1040" i="2"/>
  <c r="J1033" i="2"/>
  <c r="J1032" i="2"/>
  <c r="J1031" i="2"/>
  <c r="J1022" i="2"/>
  <c r="J1018" i="2"/>
  <c r="J1017" i="2"/>
  <c r="J1011" i="2"/>
  <c r="J999" i="2"/>
  <c r="J991" i="2"/>
  <c r="J985" i="2"/>
  <c r="J981" i="2"/>
  <c r="J980" i="2"/>
  <c r="J966" i="2"/>
  <c r="J965" i="2"/>
  <c r="J942" i="2"/>
  <c r="J940" i="2"/>
  <c r="J939" i="2"/>
  <c r="J930" i="2"/>
  <c r="J929" i="2"/>
  <c r="J928" i="2"/>
  <c r="J919" i="2"/>
  <c r="J917" i="2"/>
  <c r="J908" i="2"/>
  <c r="J903" i="2"/>
  <c r="J900" i="2"/>
  <c r="J897" i="2"/>
  <c r="J888" i="2"/>
  <c r="J887" i="2"/>
  <c r="J873" i="2"/>
  <c r="J872" i="2"/>
  <c r="J867" i="2"/>
  <c r="J866" i="2"/>
  <c r="J857" i="2"/>
  <c r="J853" i="2"/>
  <c r="J800" i="2"/>
  <c r="J799" i="2"/>
  <c r="J798" i="2"/>
  <c r="J797" i="2"/>
  <c r="J796" i="2"/>
  <c r="J795" i="2"/>
  <c r="J794" i="2"/>
  <c r="J793" i="2"/>
  <c r="J784" i="2"/>
  <c r="J755" i="2"/>
  <c r="J754" i="2"/>
  <c r="J749" i="2"/>
  <c r="J748" i="2"/>
  <c r="J738" i="2"/>
  <c r="J737" i="2"/>
  <c r="J731" i="2"/>
  <c r="J730" i="2"/>
  <c r="J726" i="2"/>
  <c r="J725" i="2"/>
  <c r="J718" i="2"/>
  <c r="J717" i="2"/>
  <c r="J712" i="2"/>
  <c r="J711" i="2"/>
  <c r="J708" i="2"/>
  <c r="J707" i="2"/>
  <c r="J700" i="2"/>
  <c r="J699" i="2"/>
  <c r="J690" i="2"/>
  <c r="J689" i="2"/>
  <c r="J679" i="2"/>
  <c r="J678" i="2"/>
  <c r="J674" i="2"/>
  <c r="J670" i="2"/>
  <c r="J669" i="2"/>
  <c r="J649" i="2"/>
  <c r="J648" i="2"/>
  <c r="J642" i="2"/>
  <c r="J641" i="2"/>
  <c r="J632" i="2"/>
  <c r="J631" i="2"/>
  <c r="J627" i="2"/>
  <c r="J626" i="2"/>
  <c r="J621" i="2"/>
  <c r="J618" i="2"/>
  <c r="J587" i="2"/>
  <c r="J586" i="2"/>
  <c r="J585" i="2"/>
  <c r="J530" i="2"/>
  <c r="J528" i="2"/>
  <c r="J513" i="2"/>
  <c r="J512" i="2"/>
  <c r="E4" i="7"/>
  <c r="E2" i="7" s="1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M2" i="7"/>
  <c r="L2" i="7"/>
  <c r="K2" i="7"/>
  <c r="J2" i="7"/>
  <c r="I2" i="7"/>
  <c r="H2" i="7"/>
  <c r="G2" i="7"/>
  <c r="F2" i="7"/>
  <c r="E3" i="16" l="1"/>
  <c r="E258" i="16"/>
</calcChain>
</file>

<file path=xl/sharedStrings.xml><?xml version="1.0" encoding="utf-8"?>
<sst xmlns="http://schemas.openxmlformats.org/spreadsheetml/2006/main" count="7331" uniqueCount="1858">
  <si>
    <t>Ultrafine Mineral &amp; Admixtures Pvt. Ltd.</t>
  </si>
  <si>
    <t>76/1N, Wardha Road, Mouza Dongargaon, Nagpur,</t>
  </si>
  <si>
    <t>Maharashtra- 441108</t>
  </si>
  <si>
    <t>UDYAM : HADJUQJIDJDQ (Micro)</t>
  </si>
  <si>
    <t>CIN: U24100MH2020PTC338575</t>
  </si>
  <si>
    <t>Sundry Creditors</t>
  </si>
  <si>
    <t>Group Summary</t>
  </si>
  <si>
    <t>1-Apr-25 to 28-Feb-26</t>
  </si>
  <si>
    <t/>
  </si>
  <si>
    <t>Particulars</t>
  </si>
  <si>
    <t>Closing Balance</t>
  </si>
  <si>
    <t>Debit</t>
  </si>
  <si>
    <t>Credit</t>
  </si>
  <si>
    <t>Aadhya Shakti Enterprise-Crs</t>
  </si>
  <si>
    <t>Accpl Automobile Services-Crs</t>
  </si>
  <si>
    <t>Accurate Engineering Works-Crs</t>
  </si>
  <si>
    <t>ADHUNIK TRASNPORT ORGANISATION LIMITED - Crs</t>
  </si>
  <si>
    <t>ADVITA POLYCRAFT LLP - Crs</t>
  </si>
  <si>
    <t>AI INDUSTRIAL SOLUTIONS-Crs</t>
  </si>
  <si>
    <t>AIM INFOCOM SERVICES PVT LTD - Crs</t>
  </si>
  <si>
    <t>AIRMAX AUTOMATION - CRS</t>
  </si>
  <si>
    <t>Akash Body Bildders-CRS</t>
  </si>
  <si>
    <t>AKBAR TRAVELS OF INDIA PVT. LTD-Crs</t>
  </si>
  <si>
    <t>AKRUTI ENTERPRISE-CRS</t>
  </si>
  <si>
    <t>Ali Crane Service - Crs</t>
  </si>
  <si>
    <t>Allumera Engineering Solutions Private Limited-Cr</t>
  </si>
  <si>
    <t>AMBUJA CEMENTS LIMITED -Crs</t>
  </si>
  <si>
    <t>Anku Vishwakarma - Employee ( FNF)</t>
  </si>
  <si>
    <t>Arcelormittal Nippon Steel India Limited - Crs</t>
  </si>
  <si>
    <t>Arjun Enterprises - Crs</t>
  </si>
  <si>
    <t>ARKAY LOGISTICS-Crs</t>
  </si>
  <si>
    <t>Arya CS - Crs</t>
  </si>
  <si>
    <t>ASHCONNECT GLOBAL TRADING Pvt Ltd- Crs</t>
  </si>
  <si>
    <t>ASHOKA BUILDCON LIMITED-Crs</t>
  </si>
  <si>
    <t>Ashvarya Kumar Verma-Employee</t>
  </si>
  <si>
    <t>Asia Minerals and Machinery Company - Crs</t>
  </si>
  <si>
    <t>Asl Logistics Private Limited-Crs</t>
  </si>
  <si>
    <t>Atharva Enterprises - Crs</t>
  </si>
  <si>
    <t>Automotive Manufacturers Private Limited - Crs</t>
  </si>
  <si>
    <t>Avijit Chaubey - Employee</t>
  </si>
  <si>
    <t>BAHUBALI CHEMICAL INDUSTRIES-CRS</t>
  </si>
  <si>
    <t>Balram Kumar Chakrawarti - Employee</t>
  </si>
  <si>
    <t>Bandu Naik - Employee</t>
  </si>
  <si>
    <t>BGR Constructions - Crs</t>
  </si>
  <si>
    <t>Bhamra Transport - Crs</t>
  </si>
  <si>
    <t>Bhandari Automobiles Pvt Ltd - Crs</t>
  </si>
  <si>
    <t>Bharat Engineering - Crs</t>
  </si>
  <si>
    <t>Bharti Airtel Limited - Crs</t>
  </si>
  <si>
    <t>BHARTIBEN SATISHBHAI PATEL-CR</t>
  </si>
  <si>
    <t>BHASKAR ENTERPRISE - Crs</t>
  </si>
  <si>
    <t>BHEEMAA INFRA SOLUTIONS PRIVATE LIMITED-CRS</t>
  </si>
  <si>
    <t>BHUMAN ENTERPRISE-Crs</t>
  </si>
  <si>
    <t>Bipin Jadhav Guest House - Crs</t>
  </si>
  <si>
    <t>BISWAJIT RUI DAS - Crs</t>
  </si>
  <si>
    <t>BN TRADING AND TRANSPORT COMPANY-CR</t>
  </si>
  <si>
    <t>BOMMI SUNEEL KUMAR-Employee</t>
  </si>
  <si>
    <t>B Stone Product - Crs</t>
  </si>
  <si>
    <t>Bureau Veritas (India) Private Limited - Crs</t>
  </si>
  <si>
    <t>Caculo Earthmovers Pvt Ltd - Crs</t>
  </si>
  <si>
    <t>CAREWELL WAREHOUSERS PVT LTD - Crs</t>
  </si>
  <si>
    <t>CB SURATWALA AND SONS-CRS</t>
  </si>
  <si>
    <t>Cement Mart / Shree Sai Corporation - Crs</t>
  </si>
  <si>
    <t>Chettinad Cement Corporation Private Limited - Crs</t>
  </si>
  <si>
    <t>CJ DARCL Logistics Limited-Crs</t>
  </si>
  <si>
    <t>CtrlP Solutions Private Limited - Crs</t>
  </si>
  <si>
    <t>Dattakrupa Minerals - Crs</t>
  </si>
  <si>
    <t>Deejay Fibc Bag-Crs</t>
  </si>
  <si>
    <t>Deepak Shrivastava - Employee</t>
  </si>
  <si>
    <t>DEEP ENTERPRISES-CRS</t>
  </si>
  <si>
    <t>Desai Cement Company Pvt Ltd-Crs</t>
  </si>
  <si>
    <t>Devanand B. Singh - Employee</t>
  </si>
  <si>
    <t>Dev Security Services- Crs</t>
  </si>
  <si>
    <t>D &amp; H SECHERON INFRASTRUCTURE PVT LTD - CRS</t>
  </si>
  <si>
    <t>Digambar A. Naik - Crs</t>
  </si>
  <si>
    <t>Divu Enterprise-CRS</t>
  </si>
  <si>
    <t>D.K. SERVICES - Crs</t>
  </si>
  <si>
    <t>DOED JUNG KUEN PHEN TRADING HOUSE-CRS</t>
  </si>
  <si>
    <t>Durocrete Engineering Ser Vices PVT LTD-Crs</t>
  </si>
  <si>
    <t>Dutta Auto Centre</t>
  </si>
  <si>
    <t>EIE INSTRUMENTS PRIVATE LIMITED - Crs</t>
  </si>
  <si>
    <t>ELECTRO STEEL EMG CO - Crs</t>
  </si>
  <si>
    <t>Enmas Minerals Private Limited - Crs</t>
  </si>
  <si>
    <t>ETC POOL - Crs</t>
  </si>
  <si>
    <t>Evergreen Construction &amp; Engineerings - Crs</t>
  </si>
  <si>
    <t>Excel Plants &amp; Equipment Private Limited - Crs</t>
  </si>
  <si>
    <t>FAITH INFRA-CRS</t>
  </si>
  <si>
    <t>FINE EQUIPMENTS INDIA PVT LTD - Crs</t>
  </si>
  <si>
    <t>FIRDOSH ERUCH ICHHAPORIA-Crs</t>
  </si>
  <si>
    <t>Flash Enterprise -CRS</t>
  </si>
  <si>
    <t>Fourteckh Enviro India Pvt Ltd - Crs</t>
  </si>
  <si>
    <t>Ganesh Trading &amp; Industries LLP - Crs</t>
  </si>
  <si>
    <t>G D Packaging - Crs</t>
  </si>
  <si>
    <t>Generali Central Insurance Company Limited - Crs</t>
  </si>
  <si>
    <t>Go Digit General Insurance Ltd - Crs</t>
  </si>
  <si>
    <t>Happy Card - Crs</t>
  </si>
  <si>
    <t>Harish Ludhani - Crs</t>
  </si>
  <si>
    <t>Harrier Security Services Private Limited-Crs</t>
  </si>
  <si>
    <t>Harsh Raj - EMPLOYEE</t>
  </si>
  <si>
    <t>HDFC IOCL CREDIT CARD</t>
  </si>
  <si>
    <t>Hella Infra Market Limited-Crs</t>
  </si>
  <si>
    <t>H R Industries -  Crs</t>
  </si>
  <si>
    <t>INDIA INTERNATIONAL COMPANY - Crs</t>
  </si>
  <si>
    <t>INDIAN ELECTRICAL WORKS-Crs</t>
  </si>
  <si>
    <t>Indian Oil Corporation Limited - Crs</t>
  </si>
  <si>
    <t>INDUSTRIAL SECURITY BUREAU-1-CRS</t>
  </si>
  <si>
    <t>INTERGLOBE AVIATION LIMITED-Crs</t>
  </si>
  <si>
    <t>Jagannath Electric Works</t>
  </si>
  <si>
    <t>Jai Bhairunath</t>
  </si>
  <si>
    <t>JAI Energy Giant Engineering and consultancy - Crs</t>
  </si>
  <si>
    <t>JANTA CEMENT INDUSTRIES-Crs</t>
  </si>
  <si>
    <t>Jason Vaz (POA Josefine Fernandez) - Crs</t>
  </si>
  <si>
    <t>JASSPER SHIPPING INDIA LIMITED- CRS</t>
  </si>
  <si>
    <t>Jay Malhar Logistics</t>
  </si>
  <si>
    <t>JFC Logistics - Crs</t>
  </si>
  <si>
    <t>JHILIMILI ENTERPRISE-CRS</t>
  </si>
  <si>
    <t>JINDAL POWER LIMITED-Crs</t>
  </si>
  <si>
    <t>J K CONSTRUCTION &amp; BLACK STONE CHIPS SUPPLIERS - Crs</t>
  </si>
  <si>
    <t>Joshi Dharmarajan Andezath - Employee</t>
  </si>
  <si>
    <t>Jyoti Innovision Pvt Ltd-Crs</t>
  </si>
  <si>
    <t>Kailastej Engineering - CRS</t>
  </si>
  <si>
    <t>Kamakhya Enterprises - Crs</t>
  </si>
  <si>
    <t>KAMAL S PATIL - Crs</t>
  </si>
  <si>
    <t>Kaneria Building Solutions Pvt Ltd - Crs</t>
  </si>
  <si>
    <t>KAPIL THAKARE - Crs</t>
  </si>
  <si>
    <t>Karim Shah - Employee</t>
  </si>
  <si>
    <t>Karishma Ramnaresh Sharma-Crs</t>
  </si>
  <si>
    <t>K D Enterprises-Crs</t>
  </si>
  <si>
    <t>KGR Logistics - Crs</t>
  </si>
  <si>
    <t>K P INFRA-CRS</t>
  </si>
  <si>
    <t>Krishna Enterprise - Crs</t>
  </si>
  <si>
    <t>Krishna Konar - Crs</t>
  </si>
  <si>
    <t>KRISHNA WAX (P) LTD - Crs</t>
  </si>
  <si>
    <t>Krishnendu Konar CRS</t>
  </si>
  <si>
    <t>Kusumben Jayantkumar Makwana</t>
  </si>
  <si>
    <t>KWICK ENTERPRISES-CRS</t>
  </si>
  <si>
    <t>LAXMI ENGINEERING INDUSTRIES - CRS</t>
  </si>
  <si>
    <t>Lubricating Centre Pvt Ltd</t>
  </si>
  <si>
    <t>Lub Solutions Pvt Ltd - Crs</t>
  </si>
  <si>
    <t>LUCKY TOOLS CENTRE-CRS</t>
  </si>
  <si>
    <t>Luk Enterprises - Crs</t>
  </si>
  <si>
    <t>Maa Jodh Roadways-Crs</t>
  </si>
  <si>
    <t>Maa Kali Decorators - Crs</t>
  </si>
  <si>
    <t>Maa Krupa Tyre Service-Crs</t>
  </si>
  <si>
    <t>Mahalaxmi Industrial &amp; Hardware Store - Crs</t>
  </si>
  <si>
    <t>Mahesh Trading Company (Vendor) - Crs</t>
  </si>
  <si>
    <t>Mangal Packaging Industries - Crs</t>
  </si>
  <si>
    <t>M B ENTERPRISE- Crs</t>
  </si>
  <si>
    <t>M.B.S. Construction</t>
  </si>
  <si>
    <t>Mhatre Motors-Crs</t>
  </si>
  <si>
    <t>Mohd. Saif - Employee</t>
  </si>
  <si>
    <t>Mollick Tube- Crs</t>
  </si>
  <si>
    <t>MSEDCL - CRS</t>
  </si>
  <si>
    <t>M/s Global Lab</t>
  </si>
  <si>
    <t>M/s  Jadav  Enterprise - Crs</t>
  </si>
  <si>
    <t>MSJ Movers - CRS</t>
  </si>
  <si>
    <t>M/s Manuwar Shaikh - Crs</t>
  </si>
  <si>
    <t>M/s Manuwar Shaikh (Crusher)- Crs</t>
  </si>
  <si>
    <t>M/S SHAKTI MACHINERY &amp; MILL STORE-CRS</t>
  </si>
  <si>
    <t>M/s. S.R. Industrial Corporation - Crs</t>
  </si>
  <si>
    <t>M/s Sterling Spares (India)-Crs</t>
  </si>
  <si>
    <t>Naresh Kumar Rajuji Khatik-Crs</t>
  </si>
  <si>
    <t>NAVEEN P REDDY - Crs</t>
  </si>
  <si>
    <t>NAVJIVAN TRUCKS AND BUSES-CRS</t>
  </si>
  <si>
    <t>Neofines Solution-CRS</t>
  </si>
  <si>
    <t>Neptune Readymix Concrete Pvt. Ltd.(Cochin)-Vendor - Crs</t>
  </si>
  <si>
    <t>Neptune Readymix Concrete Pvt. Ltd. - Crs</t>
  </si>
  <si>
    <t>NEPTUNE READYMIX CONCRETE.PVT.LTD - MUPPATHADOM - Crs</t>
  </si>
  <si>
    <t>Nilesh Amrut Desai - Crs</t>
  </si>
  <si>
    <t>Nurjahan Khatun - CRS</t>
  </si>
  <si>
    <t>Om Sai Constructions - Crs</t>
  </si>
  <si>
    <t>Om Sai Krupa Chai - Crs</t>
  </si>
  <si>
    <t>Orrlee Enterprises Private Limited - Crs</t>
  </si>
  <si>
    <t>Paras Sales Corporation -Crs</t>
  </si>
  <si>
    <t>Parshuram Jog - Employee</t>
  </si>
  <si>
    <t>P A Steel and Co - Crs</t>
  </si>
  <si>
    <t>Patel Consultancy -CRS</t>
  </si>
  <si>
    <t>PATRA AND SUPPLIER-CRS</t>
  </si>
  <si>
    <t>Powercraft Industries-Crs</t>
  </si>
  <si>
    <t>Prabhat Crane Service-CRS</t>
  </si>
  <si>
    <t>Praful Moharle - Employee</t>
  </si>
  <si>
    <t>Pramod  Marotirao Kumbhare- Crs</t>
  </si>
  <si>
    <t>Pranali Avinash Jain - Crs</t>
  </si>
  <si>
    <t>PRANAV KHARAT-CRS</t>
  </si>
  <si>
    <t>Prashant Shivaji Pawar - Crs</t>
  </si>
  <si>
    <t>Premier Electricals-Crs</t>
  </si>
  <si>
    <t>Premier Roadlines Ltd - Crs</t>
  </si>
  <si>
    <t>P.S. Agency-CRS</t>
  </si>
  <si>
    <t>PUNAGHAR MATA TOOL CENTER - Crs</t>
  </si>
  <si>
    <t>Puneet Logistics-Crs</t>
  </si>
  <si>
    <t>Purnendu Konar - Crs</t>
  </si>
  <si>
    <t>Rabiul Ansari - Crs</t>
  </si>
  <si>
    <t>Rajeswar Polai - Employee</t>
  </si>
  <si>
    <t>Rajkumar Vishala - Employee</t>
  </si>
  <si>
    <t>Raju &amp; Prasad Charted Accountant-Crs</t>
  </si>
  <si>
    <t>Ramakant L Dalal - Crs</t>
  </si>
  <si>
    <t>Ram Innovation &amp; Solutions-Crs</t>
  </si>
  <si>
    <t>Randhir Singh Bajwa-Crs</t>
  </si>
  <si>
    <t>RANJAN MAHANANDA - Employee</t>
  </si>
  <si>
    <t>RDC Concrete (India) Pvt Ltd (Bangalore)-Crs</t>
  </si>
  <si>
    <t>RDC Concrete (India) Pvt Ltd (chattisgarh) - Crs</t>
  </si>
  <si>
    <t>RDC Concrete (India) Pvt Ltd (Chennai)-Crs</t>
  </si>
  <si>
    <t>RDC Concrete (India) Pvt Ltd (Gujarat)-Crs</t>
  </si>
  <si>
    <t>RDC Concrete (India) Pvt Ltd (Head Office) - Crs</t>
  </si>
  <si>
    <t>RDC Concrete (India) Pvt Ltd (Kolkata)-Crs</t>
  </si>
  <si>
    <t>RDC Concrete India Pvt Ltd (NCR)-Crs</t>
  </si>
  <si>
    <t>RDC Concrete (India) Pvt Ltd (Pune)- Crs</t>
  </si>
  <si>
    <t>RDC Concrete India Pvt. Ltd. Punjab - Crs</t>
  </si>
  <si>
    <t>RDC Concrete (India) Pvt Ltd (Telangana)- Crs</t>
  </si>
  <si>
    <t>Ready Mixed Concrete Manufacturers Association-CRS</t>
  </si>
  <si>
    <t>Rehaman Transport - Crs</t>
  </si>
  <si>
    <t>R. G. Brothers Engineering Works - Crs</t>
  </si>
  <si>
    <t>RIJU CONSTRUCTION-CRS</t>
  </si>
  <si>
    <t>RISING STAR ELECTRICAL &amp; CO. - Crs</t>
  </si>
  <si>
    <t>RITHIK ELECTRICALS-Crs</t>
  </si>
  <si>
    <t>RMB KNOVATECH PVT LTD. - Crs</t>
  </si>
  <si>
    <t>RND Bearings - Crs</t>
  </si>
  <si>
    <t>ROBO SILICON PRIVATE LIMITED - Crs</t>
  </si>
  <si>
    <t>Rohit Prasad - Employee</t>
  </si>
  <si>
    <t>ROYAL ENGINEERING WORKS - Crs</t>
  </si>
  <si>
    <t>R R Business Associates-Crs</t>
  </si>
  <si>
    <t>RRW LOGISTICS PVT LTD-Crs</t>
  </si>
  <si>
    <t>Rushika Enterprise - Crs</t>
  </si>
  <si>
    <t>Safewin International Services-Crs</t>
  </si>
  <si>
    <t>SAHIL ENTERPRISES - Crs</t>
  </si>
  <si>
    <t>Sai Mishra Engineering-Crs-Exp.</t>
  </si>
  <si>
    <t>Sainath Roadways &amp; Co. - Crs</t>
  </si>
  <si>
    <t>Saiprasad Naik &amp; Associates - Crs</t>
  </si>
  <si>
    <t>Sairaj Enterprises - Crs</t>
  </si>
  <si>
    <t>SAI SAMARTH SECURITY SERVICES &amp; LABOUR SUPPLIER - Crs</t>
  </si>
  <si>
    <t>Saket Road Carriers Pvt Ltd - Crs</t>
  </si>
  <si>
    <t>SAM Contruction-Crs</t>
  </si>
  <si>
    <t>Sandeep Singh - Employee</t>
  </si>
  <si>
    <t>Sangam Transport New - CRS</t>
  </si>
  <si>
    <t>SCIENTIFIC CORPORATION - CRS</t>
  </si>
  <si>
    <t>SGS Impex - Crs</t>
  </si>
  <si>
    <t>Shahabaz Khan - Employee</t>
  </si>
  <si>
    <t>SHIV OM PREFAB INFRA AND LOGISTICS-Crs</t>
  </si>
  <si>
    <t>SHIVSHAKTI ENTERPRISES - Crs</t>
  </si>
  <si>
    <t>SHREE AASHAPURA COMPUTERS - Crs</t>
  </si>
  <si>
    <t>Shree Dev Enterprise-Crs</t>
  </si>
  <si>
    <t>Shree Ganesh Engineering Work - CRS</t>
  </si>
  <si>
    <t>Shree Guru Enterprise - Crs</t>
  </si>
  <si>
    <t>SHREEKRISHNA SUPPLIERS-Crs</t>
  </si>
  <si>
    <t>Shree Mahalaxmi Traders-Crs</t>
  </si>
  <si>
    <t>Shree Parivahan Limited - Crs</t>
  </si>
  <si>
    <t>SHREE PAWAN ENTERPRISES -CRS</t>
  </si>
  <si>
    <t>SHREE SIDDHIVINAYAK COOL CARS - CRS</t>
  </si>
  <si>
    <t>SHREYASHI H VAKHARIA - Crs</t>
  </si>
  <si>
    <t>SHRI BIRLA BUILDMAT PRIVATE LIMITED - Crs</t>
  </si>
  <si>
    <t>Shri Mangalmurti Logistics - Crs</t>
  </si>
  <si>
    <t>Shri Rajeshwari Industrial Essentials - Crs</t>
  </si>
  <si>
    <t>SHRI RAM SINGH-Crs</t>
  </si>
  <si>
    <t>SIS LIMITED-CRS</t>
  </si>
  <si>
    <t>S.K EARTHMOVERS-CRS</t>
  </si>
  <si>
    <t>Skf Bio Tech - Crs</t>
  </si>
  <si>
    <t>SOCIAM EQUIPMENT SOLUTIONS PRIVATE LIMITED-CRS</t>
  </si>
  <si>
    <t>SOUTHERNPOWERDISTRIBUTIONCOMPANYOFANDHRA-Cr</t>
  </si>
  <si>
    <t>Spectro Ssa Labs Private Limited - Crs</t>
  </si>
  <si>
    <t>SREERAMA INDUSTRIES PRIVATE LIMITED-Crs</t>
  </si>
  <si>
    <t>Sree Sai Industries-Crs</t>
  </si>
  <si>
    <t>S.R.N.Enterprise</t>
  </si>
  <si>
    <t>Steel Authority of India Ltd-Crs</t>
  </si>
  <si>
    <t>STEEL ENTERPRISE-CRS</t>
  </si>
  <si>
    <t>Steel &amp; Power-CR (CAP) - Crs</t>
  </si>
  <si>
    <t>Subhendu Konar - Crs</t>
  </si>
  <si>
    <t>SULTAN ENTERPRISES-CRS</t>
  </si>
  <si>
    <t>Sumit Goods Carrier(Arabinda Kumar Das) - CRS</t>
  </si>
  <si>
    <t>Sunita Enterprises- Crs</t>
  </si>
  <si>
    <t>Sunshine Associates-Crs</t>
  </si>
  <si>
    <t>Surya Transport - Crs</t>
  </si>
  <si>
    <t>Swaraj Pandey - Employee</t>
  </si>
  <si>
    <t>Swastik Enterprises and Engineering Works - Crs</t>
  </si>
  <si>
    <t>Tara Maa Enterprise - Crs</t>
  </si>
  <si>
    <t>Tara Ma Enterprise (Bags) - Crs</t>
  </si>
  <si>
    <t>Tara Shree Enterprises</t>
  </si>
  <si>
    <t>TEAMLEASE SERVICES LTD. - Crs</t>
  </si>
  <si>
    <t>Terex India Pvt Ltd- Crs</t>
  </si>
  <si>
    <t>The New India Assurance Co Limited - Crs</t>
  </si>
  <si>
    <t>Thirumala Enterprises - Crs</t>
  </si>
  <si>
    <t>THORON TURNKEY SOLUTION PVT LTD - Crs</t>
  </si>
  <si>
    <t>THORON TURNKEY SOLUTIONS PRIVATE LIMITED-CRS</t>
  </si>
  <si>
    <t>TIMES TRADING CORPORATION - Crs</t>
  </si>
  <si>
    <t>TMS ENTERPRISES - Crs</t>
  </si>
  <si>
    <t>Toshali Cements Pvt Ltd - Crs</t>
  </si>
  <si>
    <t>TPI Industries</t>
  </si>
  <si>
    <t>Ultrafine Mineral &amp; Admixtures (Gujarat) - Crs</t>
  </si>
  <si>
    <t>Ultrafine Mineral &amp; Admixtures (Haryana) - Crs</t>
  </si>
  <si>
    <t>Ultrafine Mineral &amp; Admixtures (Maharashtra) - Crs</t>
  </si>
  <si>
    <t>United Telecoms Limited - CRS</t>
  </si>
  <si>
    <t>URC Logistics Private Limited - Crs</t>
  </si>
  <si>
    <t>Uttam Engineering - Crs</t>
  </si>
  <si>
    <t>Vadlamudi Veerabhadra Rao - Crs</t>
  </si>
  <si>
    <t>Vaishnavi Aggregates - Crs</t>
  </si>
  <si>
    <t>Vedanta Limited (Goa) - Crs</t>
  </si>
  <si>
    <t>Venspra Impex - Crs</t>
  </si>
  <si>
    <t>Vifa Enterprises- Crs</t>
  </si>
  <si>
    <t>Vinayak Minerals - Crs</t>
  </si>
  <si>
    <t>Vinayak Oil Industries - Crs</t>
  </si>
  <si>
    <t>VIRAJ PROFILES PRIVATE LIMITED - Crs</t>
  </si>
  <si>
    <t>Vodafone Idea Ltd-crs</t>
  </si>
  <si>
    <t>WAM INDIA PRIVATE LTD-CRS</t>
  </si>
  <si>
    <t>WARSI ROADWAYS-CRS</t>
  </si>
  <si>
    <t>WBSEDCL-CRS</t>
  </si>
  <si>
    <t>WBSEDCL (Galsi) - Crs</t>
  </si>
  <si>
    <t>Well Erectors Of Engineering Technology Private Limited - Crs</t>
  </si>
  <si>
    <t>Wilh Loesch India Private Limited-Crs</t>
  </si>
  <si>
    <t>Xinda Group Cementious Material Co. Ltd - Crs</t>
  </si>
  <si>
    <t>Yaa Baba Taj Restaurants - CRS</t>
  </si>
  <si>
    <t>Yahska Polymers Pvt. Ltd. - Crs</t>
  </si>
  <si>
    <t>Yogya Logistics Pvt Ltd-CRS</t>
  </si>
  <si>
    <t>YUVRAJ ENTERPRISES-CRS</t>
  </si>
  <si>
    <t>Zippmat Private Limited - Crs</t>
  </si>
  <si>
    <t>Grand Total</t>
  </si>
  <si>
    <t>Group :</t>
  </si>
  <si>
    <t>Details of:</t>
  </si>
  <si>
    <t>Pending Bills</t>
  </si>
  <si>
    <t>Date</t>
  </si>
  <si>
    <t>Ref. No.</t>
  </si>
  <si>
    <t>Party's Name</t>
  </si>
  <si>
    <t>Cost Center/Location</t>
  </si>
  <si>
    <t>Due on</t>
  </si>
  <si>
    <t>Amount</t>
  </si>
  <si>
    <t>CHN/2122/00447</t>
  </si>
  <si>
    <t>Bangalore</t>
  </si>
  <si>
    <t>CHN/2122/00452</t>
  </si>
  <si>
    <t>CHN/2122/00448</t>
  </si>
  <si>
    <t>CHN/2122/00453</t>
  </si>
  <si>
    <t>CHN/2122/00543</t>
  </si>
  <si>
    <t>CHN/2122/00547</t>
  </si>
  <si>
    <t>CHN/2122/00548</t>
  </si>
  <si>
    <t>CHN/2122/00560</t>
  </si>
  <si>
    <t>CHN/2122/00562</t>
  </si>
  <si>
    <t>CHN/2122/00579</t>
  </si>
  <si>
    <t>CHN/21-22/00577</t>
  </si>
  <si>
    <t>CHN/21-22/00578</t>
  </si>
  <si>
    <t>CHN/2122/00580</t>
  </si>
  <si>
    <t>CHN/2122/00581</t>
  </si>
  <si>
    <t>CHN/2122/00604</t>
  </si>
  <si>
    <t>CHN/21-22/00606</t>
  </si>
  <si>
    <t>CHN/2122/00561</t>
  </si>
  <si>
    <t>73</t>
  </si>
  <si>
    <t>wada</t>
  </si>
  <si>
    <t>CHN/2122/00624</t>
  </si>
  <si>
    <t>CHN/2122/00612</t>
  </si>
  <si>
    <t>81</t>
  </si>
  <si>
    <t>CHN/2122/00686</t>
  </si>
  <si>
    <t>Kerala</t>
  </si>
  <si>
    <t>CHN/2122/00708</t>
  </si>
  <si>
    <t>CHN/2122/00710</t>
  </si>
  <si>
    <t>CHN/2122/00711</t>
  </si>
  <si>
    <t>CHN/2122/00712</t>
  </si>
  <si>
    <t>CHN/2122/00754</t>
  </si>
  <si>
    <t>Tamilnadu</t>
  </si>
  <si>
    <t>CHN/2122/00643</t>
  </si>
  <si>
    <t>CHN/2122/00637</t>
  </si>
  <si>
    <t>CHN/2122/00645</t>
  </si>
  <si>
    <t>CHN/2223/00005</t>
  </si>
  <si>
    <t>CHN/2223/00002</t>
  </si>
  <si>
    <t>CHN/2223/00003</t>
  </si>
  <si>
    <t>CHN/2223/00004</t>
  </si>
  <si>
    <t>CHN/2223/00001</t>
  </si>
  <si>
    <t>CHN/2223/00109</t>
  </si>
  <si>
    <t>CHN/2223/00111</t>
  </si>
  <si>
    <t>CHN/2223/00110</t>
  </si>
  <si>
    <t>CHN/2223/00112</t>
  </si>
  <si>
    <t>CHN/2223/00044</t>
  </si>
  <si>
    <t>CHN/2223/00113</t>
  </si>
  <si>
    <t>CHN/2223/00024</t>
  </si>
  <si>
    <t>CHN/2223/00114</t>
  </si>
  <si>
    <t>CHN/2223/00115</t>
  </si>
  <si>
    <t>CHN/2223/00182</t>
  </si>
  <si>
    <t>CHN/2223//00198</t>
  </si>
  <si>
    <t>4322</t>
  </si>
  <si>
    <t>Nagpur</t>
  </si>
  <si>
    <t>CHN/2223/00226</t>
  </si>
  <si>
    <t>KW/S/0051/22-23</t>
  </si>
  <si>
    <t>Panagarh (Aggregat-WB)</t>
  </si>
  <si>
    <t>CHN/2223/00253</t>
  </si>
  <si>
    <t>2722230001</t>
  </si>
  <si>
    <t>Telangana</t>
  </si>
  <si>
    <t>93</t>
  </si>
  <si>
    <t>WAM/216/22-23</t>
  </si>
  <si>
    <t>West bengal</t>
  </si>
  <si>
    <t>CHN/2223/00287</t>
  </si>
  <si>
    <t>40787</t>
  </si>
  <si>
    <t>CHN/2223/00304</t>
  </si>
  <si>
    <t>CHN/2223/00352</t>
  </si>
  <si>
    <t>62</t>
  </si>
  <si>
    <t>CHN/2324/00028</t>
  </si>
  <si>
    <t>CHN/2324/00049</t>
  </si>
  <si>
    <t>27jun23</t>
  </si>
  <si>
    <t>CHN/2324/00067</t>
  </si>
  <si>
    <t>29/2023-24</t>
  </si>
  <si>
    <t>Goa</t>
  </si>
  <si>
    <t>CHN/2324/00084</t>
  </si>
  <si>
    <t>Happy Aug23</t>
  </si>
  <si>
    <t>CHN/2324/00102</t>
  </si>
  <si>
    <t>CHN2324/00129</t>
  </si>
  <si>
    <t>CHN2324/00153</t>
  </si>
  <si>
    <t>CHN2324/00178</t>
  </si>
  <si>
    <t>CHN2324/00194</t>
  </si>
  <si>
    <t>KPI/23-24/006</t>
  </si>
  <si>
    <t>Gujarat</t>
  </si>
  <si>
    <t>3453</t>
  </si>
  <si>
    <t>CHN/2324/00214</t>
  </si>
  <si>
    <t>CHN/2324/00237</t>
  </si>
  <si>
    <t>RC/19/2023-2024</t>
  </si>
  <si>
    <t>CHN/2324/00271</t>
  </si>
  <si>
    <t>INV/23-24/21</t>
  </si>
  <si>
    <t>CHN/2425/00021</t>
  </si>
  <si>
    <t>PRL/01134/24-25</t>
  </si>
  <si>
    <t>2024-25/0634</t>
  </si>
  <si>
    <t>Panagarh (Microsilica) WB</t>
  </si>
  <si>
    <t>WB1242505AF58634</t>
  </si>
  <si>
    <t>CHN/2425/00050</t>
  </si>
  <si>
    <t>BISPL/S234/24-25</t>
  </si>
  <si>
    <t>CHN/2425/00073</t>
  </si>
  <si>
    <t>CHN/2425/00094</t>
  </si>
  <si>
    <t>577</t>
  </si>
  <si>
    <t>1750246298</t>
  </si>
  <si>
    <t>PE/35/23</t>
  </si>
  <si>
    <t>LSPL/24-25/400</t>
  </si>
  <si>
    <t>48</t>
  </si>
  <si>
    <t>SPL/2744/24-25</t>
  </si>
  <si>
    <t>ATL/M/24-25/046</t>
  </si>
  <si>
    <t>AADARSH TRADLINK LIMITED - CRS</t>
  </si>
  <si>
    <t>flyash</t>
  </si>
  <si>
    <t>Gst Not Paid</t>
  </si>
  <si>
    <t>035/24-25</t>
  </si>
  <si>
    <t>GST/24-25/310</t>
  </si>
  <si>
    <t>GST/24-25/393</t>
  </si>
  <si>
    <t>509</t>
  </si>
  <si>
    <t>22</t>
  </si>
  <si>
    <t>Panagarh (Aggregate) WB</t>
  </si>
  <si>
    <t>1750246755</t>
  </si>
  <si>
    <t>Howrah</t>
  </si>
  <si>
    <t>065</t>
  </si>
  <si>
    <t>139/2024-25</t>
  </si>
  <si>
    <t>140/2024-25</t>
  </si>
  <si>
    <t>RGB24-25/152</t>
  </si>
  <si>
    <t>WEET/RDC/024</t>
  </si>
  <si>
    <t>37/PS/UM/24-25</t>
  </si>
  <si>
    <t>M/S. P.S.ENTERPRISE- CRS</t>
  </si>
  <si>
    <t>3/2025-26</t>
  </si>
  <si>
    <t>13HY25ARMN1</t>
  </si>
  <si>
    <t>13HY25ARMN2</t>
  </si>
  <si>
    <t>1CH25ARMN40</t>
  </si>
  <si>
    <t>304</t>
  </si>
  <si>
    <t>JV/HO/2526/0009</t>
  </si>
  <si>
    <t>Head Office</t>
  </si>
  <si>
    <t>2KL25ARMN1</t>
  </si>
  <si>
    <t>3KL25ARMN2</t>
  </si>
  <si>
    <t>3KL25ARMN1</t>
  </si>
  <si>
    <t>13HY25ARMN4</t>
  </si>
  <si>
    <t>252900001</t>
  </si>
  <si>
    <t>JML/25-26/75</t>
  </si>
  <si>
    <t>PV/HO/2526/0021</t>
  </si>
  <si>
    <t>BE-2526-010</t>
  </si>
  <si>
    <t>17KGRL/2025-26</t>
  </si>
  <si>
    <t>20KGRL/2025-26</t>
  </si>
  <si>
    <t>253</t>
  </si>
  <si>
    <t>SRN/25-26/006</t>
  </si>
  <si>
    <t>SRN/25-26/007</t>
  </si>
  <si>
    <t>JV/HO/2526/0024</t>
  </si>
  <si>
    <t>2KL25ARMN5</t>
  </si>
  <si>
    <t>3KL25ARMN3</t>
  </si>
  <si>
    <t>Ash/09</t>
  </si>
  <si>
    <t>242</t>
  </si>
  <si>
    <t>252900002</t>
  </si>
  <si>
    <t>252900003</t>
  </si>
  <si>
    <t>Ash/10</t>
  </si>
  <si>
    <t>027</t>
  </si>
  <si>
    <t>PV/GUJ/2526/0123</t>
  </si>
  <si>
    <t>190</t>
  </si>
  <si>
    <t>189</t>
  </si>
  <si>
    <t>Ash/11</t>
  </si>
  <si>
    <t>191</t>
  </si>
  <si>
    <t>13HY25ARMN17</t>
  </si>
  <si>
    <t>192</t>
  </si>
  <si>
    <t>Ash/12</t>
  </si>
  <si>
    <t>17090131252000000169</t>
  </si>
  <si>
    <t>2025/JUNE/004</t>
  </si>
  <si>
    <t>2025/JUNE/006</t>
  </si>
  <si>
    <t>2025/JUNE/005</t>
  </si>
  <si>
    <t>ASH/13</t>
  </si>
  <si>
    <t>183</t>
  </si>
  <si>
    <t>9/2025-26</t>
  </si>
  <si>
    <t>LUK/UF-ST/RA 19</t>
  </si>
  <si>
    <t>1CH25ARMN102</t>
  </si>
  <si>
    <t>2KL25ARMN8</t>
  </si>
  <si>
    <t>3KL25ARMN4</t>
  </si>
  <si>
    <t>2KL25ARMN10</t>
  </si>
  <si>
    <t>2KL25ARMN11</t>
  </si>
  <si>
    <t>2KL25ARMN12</t>
  </si>
  <si>
    <t>2KL25ARMN9</t>
  </si>
  <si>
    <t>252900004</t>
  </si>
  <si>
    <t>252900005</t>
  </si>
  <si>
    <t>SRN/25-26/010</t>
  </si>
  <si>
    <t>SRN/25-26/009</t>
  </si>
  <si>
    <t>SRN/25-26/008</t>
  </si>
  <si>
    <t>2CH24ARMN417</t>
  </si>
  <si>
    <t>JV/HO/2526/0073</t>
  </si>
  <si>
    <t>JV/GUJ/2526/0038</t>
  </si>
  <si>
    <t>63</t>
  </si>
  <si>
    <t>JML/25-26/318</t>
  </si>
  <si>
    <t>64</t>
  </si>
  <si>
    <t>Ash/14</t>
  </si>
  <si>
    <t>ECE/624/25-26</t>
  </si>
  <si>
    <t>168</t>
  </si>
  <si>
    <t>ECE/625/25-26</t>
  </si>
  <si>
    <t>ECE/626/25-26</t>
  </si>
  <si>
    <t>69</t>
  </si>
  <si>
    <t>156</t>
  </si>
  <si>
    <t>Ash/15</t>
  </si>
  <si>
    <t>72</t>
  </si>
  <si>
    <t>2CH25ARMN236</t>
  </si>
  <si>
    <t>Ash/16</t>
  </si>
  <si>
    <t>74</t>
  </si>
  <si>
    <t>75</t>
  </si>
  <si>
    <t>76</t>
  </si>
  <si>
    <t>HM27/2526/069328</t>
  </si>
  <si>
    <t>GOA/25-26/0164</t>
  </si>
  <si>
    <t>1859</t>
  </si>
  <si>
    <t>122</t>
  </si>
  <si>
    <t>1CH25ARMN116</t>
  </si>
  <si>
    <t>JV/HO/2526/0070</t>
  </si>
  <si>
    <t>3KL25ARMN12</t>
  </si>
  <si>
    <t>2KL25ARMN18</t>
  </si>
  <si>
    <t>13HY25ARMN18</t>
  </si>
  <si>
    <t>252900006</t>
  </si>
  <si>
    <t>252900007</t>
  </si>
  <si>
    <t>24-25/83</t>
  </si>
  <si>
    <t>2025/JULY/008</t>
  </si>
  <si>
    <t>Ash/17</t>
  </si>
  <si>
    <t>Ash/18</t>
  </si>
  <si>
    <t>78</t>
  </si>
  <si>
    <t>79</t>
  </si>
  <si>
    <t>178</t>
  </si>
  <si>
    <t>80</t>
  </si>
  <si>
    <t>1CH25ARMN126</t>
  </si>
  <si>
    <t>TL19T2526/2502</t>
  </si>
  <si>
    <t>Ash/19</t>
  </si>
  <si>
    <t>83</t>
  </si>
  <si>
    <t>20</t>
  </si>
  <si>
    <t>39</t>
  </si>
  <si>
    <t>84</t>
  </si>
  <si>
    <t>85</t>
  </si>
  <si>
    <t>Ash/20</t>
  </si>
  <si>
    <t>1826</t>
  </si>
  <si>
    <t>SE/27/2526/00182</t>
  </si>
  <si>
    <t>Ash/21</t>
  </si>
  <si>
    <t>88</t>
  </si>
  <si>
    <t>89</t>
  </si>
  <si>
    <t>Palava</t>
  </si>
  <si>
    <t>Ash/22</t>
  </si>
  <si>
    <t>GOA/25-26/0272</t>
  </si>
  <si>
    <t>GOA/25-26/0258</t>
  </si>
  <si>
    <t>JV/HO/2526/0085</t>
  </si>
  <si>
    <t>2KL25ARMN56</t>
  </si>
  <si>
    <t>3KL25ARMN17</t>
  </si>
  <si>
    <t>13HY25ARMN19</t>
  </si>
  <si>
    <t>Vizag</t>
  </si>
  <si>
    <t>GST/71/2024</t>
  </si>
  <si>
    <t>RGB25-26/170</t>
  </si>
  <si>
    <t>REW949/25-26</t>
  </si>
  <si>
    <t>Panagarh Galsi (WB)</t>
  </si>
  <si>
    <t>REW954/25-26</t>
  </si>
  <si>
    <t>24-25/84</t>
  </si>
  <si>
    <t>27</t>
  </si>
  <si>
    <t>WEET/RDC/026</t>
  </si>
  <si>
    <t>1902</t>
  </si>
  <si>
    <t>SKA/ULT/0625/001</t>
  </si>
  <si>
    <t>180</t>
  </si>
  <si>
    <t>SKA/ULT/0625/002</t>
  </si>
  <si>
    <t>92</t>
  </si>
  <si>
    <t>SE/29/2526/00146</t>
  </si>
  <si>
    <t>SE/29/2526/00181</t>
  </si>
  <si>
    <t>95</t>
  </si>
  <si>
    <t>99</t>
  </si>
  <si>
    <t>102_11.09.2025</t>
  </si>
  <si>
    <t>PV/WBA/2526/0170</t>
  </si>
  <si>
    <t>PV/WBA/2526/0156</t>
  </si>
  <si>
    <t>GOA/25-26/0312</t>
  </si>
  <si>
    <t>GOA/25-26/0309</t>
  </si>
  <si>
    <t>55</t>
  </si>
  <si>
    <t>INV/25-26/119</t>
  </si>
  <si>
    <t>107</t>
  </si>
  <si>
    <t>153</t>
  </si>
  <si>
    <t>13HY25ARMN23</t>
  </si>
  <si>
    <t>GOA/25-26/0340</t>
  </si>
  <si>
    <t>6CH25ARMN109</t>
  </si>
  <si>
    <t>JV/HO/2526/0099</t>
  </si>
  <si>
    <t>3KL25ARMN26</t>
  </si>
  <si>
    <t>2KL25ARMN86</t>
  </si>
  <si>
    <t>13HY25ARMN22</t>
  </si>
  <si>
    <t>13HY25ARMN21</t>
  </si>
  <si>
    <t>252900008</t>
  </si>
  <si>
    <t>252900009</t>
  </si>
  <si>
    <t>24-25/85</t>
  </si>
  <si>
    <t>BBY-10651</t>
  </si>
  <si>
    <t>Raipur</t>
  </si>
  <si>
    <t>BBY-10653</t>
  </si>
  <si>
    <t>BBY-10652</t>
  </si>
  <si>
    <t>25-26/038</t>
  </si>
  <si>
    <t>32</t>
  </si>
  <si>
    <t>2SR25ARS33</t>
  </si>
  <si>
    <t>2SR25ARS34</t>
  </si>
  <si>
    <t>BNWBDRG25000223</t>
  </si>
  <si>
    <t>BNWBDRG25000386</t>
  </si>
  <si>
    <t>ST/2025-26/133</t>
  </si>
  <si>
    <t>110</t>
  </si>
  <si>
    <t>PV/WBA/2526/0188</t>
  </si>
  <si>
    <t>1RA25ARMN10</t>
  </si>
  <si>
    <t>1CH25ARMN37</t>
  </si>
  <si>
    <t>2KL25ARMN7</t>
  </si>
  <si>
    <t>2GN25ARMN26</t>
  </si>
  <si>
    <t>Haryana</t>
  </si>
  <si>
    <t>1PU25ARMN9</t>
  </si>
  <si>
    <t>1PU25ARMN4</t>
  </si>
  <si>
    <t>1LU25ARMN75</t>
  </si>
  <si>
    <t>13HY25ARMN20</t>
  </si>
  <si>
    <t>LUK/U-ST/SUP 01</t>
  </si>
  <si>
    <t>920027663</t>
  </si>
  <si>
    <t>920027728</t>
  </si>
  <si>
    <t>920027727</t>
  </si>
  <si>
    <t>920027659</t>
  </si>
  <si>
    <t>JV/HO/2526/0158</t>
  </si>
  <si>
    <t>JML/ 25-26/655</t>
  </si>
  <si>
    <t>PV/GOA/2526/0532</t>
  </si>
  <si>
    <t>130</t>
  </si>
  <si>
    <t>114_2025-26</t>
  </si>
  <si>
    <t>PV/KA/2526/0041</t>
  </si>
  <si>
    <t>BBY-10767</t>
  </si>
  <si>
    <t>Ash/23</t>
  </si>
  <si>
    <t>FI3937004275</t>
  </si>
  <si>
    <t>120</t>
  </si>
  <si>
    <t>FI3937004276</t>
  </si>
  <si>
    <t>FI3937004274</t>
  </si>
  <si>
    <t>FI3937004273</t>
  </si>
  <si>
    <t>FI3937004278</t>
  </si>
  <si>
    <t>FI3937004279</t>
  </si>
  <si>
    <t>FI3937004277</t>
  </si>
  <si>
    <t>Nellore</t>
  </si>
  <si>
    <t>FI3927013741</t>
  </si>
  <si>
    <t>FI3919006241</t>
  </si>
  <si>
    <t>FI3919006243</t>
  </si>
  <si>
    <t>07</t>
  </si>
  <si>
    <t>2025/OCT/009</t>
  </si>
  <si>
    <t>JE/23-24/OCT/25</t>
  </si>
  <si>
    <t>LEI/384/2025-26</t>
  </si>
  <si>
    <t>LUK/UF-ES/RA 11</t>
  </si>
  <si>
    <t>LUK/UF-ST/RA 10</t>
  </si>
  <si>
    <t>LUK/UF-ES/RA 07</t>
  </si>
  <si>
    <t>6CH25ARMN120</t>
  </si>
  <si>
    <t>JV/HO/2526/0124</t>
  </si>
  <si>
    <t>2KL25ARMN116</t>
  </si>
  <si>
    <t>3KL25ARMN29</t>
  </si>
  <si>
    <t>13HY25ARMN24</t>
  </si>
  <si>
    <t>252900012</t>
  </si>
  <si>
    <t>252900011</t>
  </si>
  <si>
    <t>252900010</t>
  </si>
  <si>
    <t>24-25/86</t>
  </si>
  <si>
    <t>BBY--10763</t>
  </si>
  <si>
    <t>BBY-10764</t>
  </si>
  <si>
    <t>SE/29/2526/00252</t>
  </si>
  <si>
    <t>SE/29/2526/00254</t>
  </si>
  <si>
    <t>DLI25BL006011</t>
  </si>
  <si>
    <t>202525_2809</t>
  </si>
  <si>
    <t>ABB/018/25-26</t>
  </si>
  <si>
    <t>6</t>
  </si>
  <si>
    <t>DAC/25-26/2899</t>
  </si>
  <si>
    <t>Flash80</t>
  </si>
  <si>
    <t>Flash81</t>
  </si>
  <si>
    <t>JV/GOA/2526/0231</t>
  </si>
  <si>
    <t>RMB-073-2023-24</t>
  </si>
  <si>
    <t>RMB-028-2025-26</t>
  </si>
  <si>
    <t>BBY-10768</t>
  </si>
  <si>
    <t>BBY-10772</t>
  </si>
  <si>
    <t>BBY-10769</t>
  </si>
  <si>
    <t>BNWBDRG25000213</t>
  </si>
  <si>
    <t>BNWBDRG25000104</t>
  </si>
  <si>
    <t>SE/29/2526/00253</t>
  </si>
  <si>
    <t>SE/29/2526/00255</t>
  </si>
  <si>
    <t>118</t>
  </si>
  <si>
    <t>114</t>
  </si>
  <si>
    <t>13HY25ARMN25</t>
  </si>
  <si>
    <t>SE/25-26/1438</t>
  </si>
  <si>
    <t>BE-2526-066</t>
  </si>
  <si>
    <t>APC/2025-26/257</t>
  </si>
  <si>
    <t>BNWBDRG24001113</t>
  </si>
  <si>
    <t>PV/GUJ/2526/0558</t>
  </si>
  <si>
    <t>BNWBDRG24001232</t>
  </si>
  <si>
    <t>BNWBDRG24001231</t>
  </si>
  <si>
    <t>MUMB-088908</t>
  </si>
  <si>
    <t>124</t>
  </si>
  <si>
    <t>2025-26/NOV120</t>
  </si>
  <si>
    <t>PCR6260250000405</t>
  </si>
  <si>
    <t>125</t>
  </si>
  <si>
    <t>2025-26/641</t>
  </si>
  <si>
    <t>1055</t>
  </si>
  <si>
    <t>PV/HO/2526/0445</t>
  </si>
  <si>
    <t>13HY25ARMN32</t>
  </si>
  <si>
    <t>FA0000914</t>
  </si>
  <si>
    <t>100</t>
  </si>
  <si>
    <t>JV/MHW/2425/0023</t>
  </si>
  <si>
    <t>250016847</t>
  </si>
  <si>
    <t>96</t>
  </si>
  <si>
    <t>250016849</t>
  </si>
  <si>
    <t>250016850</t>
  </si>
  <si>
    <t>250016851</t>
  </si>
  <si>
    <t>250016852</t>
  </si>
  <si>
    <t>13HY25ARMN28</t>
  </si>
  <si>
    <t>13HY25ARMN29</t>
  </si>
  <si>
    <t>13HY25ARMN30</t>
  </si>
  <si>
    <t>13HY25ARMN31</t>
  </si>
  <si>
    <t>13HY25ARMN26</t>
  </si>
  <si>
    <t>RGB25-26/155</t>
  </si>
  <si>
    <t>94</t>
  </si>
  <si>
    <t>102/25-26</t>
  </si>
  <si>
    <t>PV/MHN/2526/0323</t>
  </si>
  <si>
    <t>MUMINV2526100528</t>
  </si>
  <si>
    <t>MUMINV2526100521</t>
  </si>
  <si>
    <t>MUMINV2526100503</t>
  </si>
  <si>
    <t>PV/GUJ/2526/0605</t>
  </si>
  <si>
    <t>FI3927016169</t>
  </si>
  <si>
    <t>FI3927016170</t>
  </si>
  <si>
    <t>FI3937005585</t>
  </si>
  <si>
    <t>FI3937005586</t>
  </si>
  <si>
    <t>FI3927016171</t>
  </si>
  <si>
    <t>FI3927016172</t>
  </si>
  <si>
    <t>FI3927016173</t>
  </si>
  <si>
    <t>FI3927016174</t>
  </si>
  <si>
    <t>FI3927016175</t>
  </si>
  <si>
    <t>FI3927016177</t>
  </si>
  <si>
    <t>FI3927016282</t>
  </si>
  <si>
    <t>FI3927016283</t>
  </si>
  <si>
    <t>SE/29/2526/00290</t>
  </si>
  <si>
    <t>APC/2025-26/302</t>
  </si>
  <si>
    <t>ASL2526TRS01090</t>
  </si>
  <si>
    <t>FI3937005649</t>
  </si>
  <si>
    <t>FI3937005601</t>
  </si>
  <si>
    <t>FI3937005602</t>
  </si>
  <si>
    <t>FI3937005603</t>
  </si>
  <si>
    <t>FI3937005604</t>
  </si>
  <si>
    <t>FI3937005605</t>
  </si>
  <si>
    <t>FI3937005643</t>
  </si>
  <si>
    <t>2025/NOV/004</t>
  </si>
  <si>
    <t>INV-420</t>
  </si>
  <si>
    <t>SLS/25000622</t>
  </si>
  <si>
    <t>SLS/25000643</t>
  </si>
  <si>
    <t>347</t>
  </si>
  <si>
    <t>18</t>
  </si>
  <si>
    <t>19</t>
  </si>
  <si>
    <t>245/25-26</t>
  </si>
  <si>
    <t>243/25-26</t>
  </si>
  <si>
    <t>2025-26/NOV255</t>
  </si>
  <si>
    <t>2025-26/NOV407</t>
  </si>
  <si>
    <t>2BG25ARMN61</t>
  </si>
  <si>
    <t>JV/HO/2526/0165</t>
  </si>
  <si>
    <t>3KL25ARMN31</t>
  </si>
  <si>
    <t>RMB-118-2025-26</t>
  </si>
  <si>
    <t>REW984/25-26</t>
  </si>
  <si>
    <t>REW985/25-26</t>
  </si>
  <si>
    <t>24-25/87</t>
  </si>
  <si>
    <t>BBY-10898</t>
  </si>
  <si>
    <t>BBY-10896</t>
  </si>
  <si>
    <t>BBY-10897</t>
  </si>
  <si>
    <t>BBY-10765</t>
  </si>
  <si>
    <t>BBY-10766</t>
  </si>
  <si>
    <t>BBY-10891</t>
  </si>
  <si>
    <t>BBY-10892</t>
  </si>
  <si>
    <t>BBY-10893</t>
  </si>
  <si>
    <t>112</t>
  </si>
  <si>
    <t>TE/25-26/127</t>
  </si>
  <si>
    <t>043</t>
  </si>
  <si>
    <t>DLI25ALOO6935</t>
  </si>
  <si>
    <t>DN/GOA/2526/027</t>
  </si>
  <si>
    <t>202526/3975</t>
  </si>
  <si>
    <t>202526/3499</t>
  </si>
  <si>
    <t>JV/GOA/2526/0249</t>
  </si>
  <si>
    <t>132</t>
  </si>
  <si>
    <t>SE/25-26/1675</t>
  </si>
  <si>
    <t>PV/GUJ/2526/0618</t>
  </si>
  <si>
    <t>APC/2025-26/306</t>
  </si>
  <si>
    <t>PV/GOA/2526/0589</t>
  </si>
  <si>
    <t>72_04.12.2025</t>
  </si>
  <si>
    <t>13HY25ARMN36</t>
  </si>
  <si>
    <t>139</t>
  </si>
  <si>
    <t>2025-26/DEC201</t>
  </si>
  <si>
    <t>INV-25-28/334</t>
  </si>
  <si>
    <t>ASL2526TRS01165</t>
  </si>
  <si>
    <t>PV/HO/2526/0521</t>
  </si>
  <si>
    <t>13HY25ARMN39</t>
  </si>
  <si>
    <t>LEI/492/2025-26</t>
  </si>
  <si>
    <t>222/25-26</t>
  </si>
  <si>
    <t>DLI25BLO07258</t>
  </si>
  <si>
    <t>145</t>
  </si>
  <si>
    <t>267/25-26</t>
  </si>
  <si>
    <t>13HY25ARMN40</t>
  </si>
  <si>
    <t>25/26/232</t>
  </si>
  <si>
    <t>BE-1420/25-26</t>
  </si>
  <si>
    <t>PV/WBM/2526/0241</t>
  </si>
  <si>
    <t>PV/WBA/2526/0302</t>
  </si>
  <si>
    <t>25/26/235</t>
  </si>
  <si>
    <t>25/26/234</t>
  </si>
  <si>
    <t>25/26/233</t>
  </si>
  <si>
    <t>DLI25BL008001</t>
  </si>
  <si>
    <t>37</t>
  </si>
  <si>
    <t>VG20043100</t>
  </si>
  <si>
    <t>VG20043098</t>
  </si>
  <si>
    <t>25/26/236</t>
  </si>
  <si>
    <t>25/26/239</t>
  </si>
  <si>
    <t>25/26/238</t>
  </si>
  <si>
    <t>25/26/237</t>
  </si>
  <si>
    <t>VG20043168</t>
  </si>
  <si>
    <t>VG20043164</t>
  </si>
  <si>
    <t>VG20043160</t>
  </si>
  <si>
    <t>VG20043159</t>
  </si>
  <si>
    <t>SPL/2255/25-26</t>
  </si>
  <si>
    <t>25/26/241</t>
  </si>
  <si>
    <t>65</t>
  </si>
  <si>
    <t>25/26/240</t>
  </si>
  <si>
    <t>APC/2025-26/328</t>
  </si>
  <si>
    <t>PV/MHN/2526/0358</t>
  </si>
  <si>
    <t>SC/2025-26/895</t>
  </si>
  <si>
    <t>25/26/242</t>
  </si>
  <si>
    <t>VG20043256</t>
  </si>
  <si>
    <t>VG20043255</t>
  </si>
  <si>
    <t>25/26/244</t>
  </si>
  <si>
    <t>25/26/243</t>
  </si>
  <si>
    <t>DLI25BL007263</t>
  </si>
  <si>
    <t>VG20043325</t>
  </si>
  <si>
    <t>VG20043322</t>
  </si>
  <si>
    <t>VG20043310</t>
  </si>
  <si>
    <t>VG20043305</t>
  </si>
  <si>
    <t>25/26/245</t>
  </si>
  <si>
    <t>A150</t>
  </si>
  <si>
    <t>JV/MHN/2526/0111</t>
  </si>
  <si>
    <t>13HY25ARMN41</t>
  </si>
  <si>
    <t>13HY25ARMN42</t>
  </si>
  <si>
    <t>25/26/247</t>
  </si>
  <si>
    <t>25/26/246</t>
  </si>
  <si>
    <t>VG20043413</t>
  </si>
  <si>
    <t>VG20043383</t>
  </si>
  <si>
    <t>FI3937006392</t>
  </si>
  <si>
    <t>FI3937006393</t>
  </si>
  <si>
    <t>FI3937006394</t>
  </si>
  <si>
    <t>FI3937006395</t>
  </si>
  <si>
    <t>FI3937006396</t>
  </si>
  <si>
    <t>FI3937006397</t>
  </si>
  <si>
    <t>FI3937006398</t>
  </si>
  <si>
    <t>FI3919008049</t>
  </si>
  <si>
    <t>RMT-UF-36</t>
  </si>
  <si>
    <t>25/26/248</t>
  </si>
  <si>
    <t>25/26/249</t>
  </si>
  <si>
    <t>DLI25BL006938</t>
  </si>
  <si>
    <t>APC/2025-26/338</t>
  </si>
  <si>
    <t>AIIS-0290/25-26</t>
  </si>
  <si>
    <t>Ash/29</t>
  </si>
  <si>
    <t>Ash/28</t>
  </si>
  <si>
    <t>1969723</t>
  </si>
  <si>
    <t>ASL2526TRS01250</t>
  </si>
  <si>
    <t>Avijit/Dec/2025/2</t>
  </si>
  <si>
    <t>019</t>
  </si>
  <si>
    <t>BE/56/25</t>
  </si>
  <si>
    <t>BE/60/25</t>
  </si>
  <si>
    <t>BE/61/25</t>
  </si>
  <si>
    <t>VG20043472</t>
  </si>
  <si>
    <t>VG20043456</t>
  </si>
  <si>
    <t>FI3937006426</t>
  </si>
  <si>
    <t>FI3937006425</t>
  </si>
  <si>
    <t>FI3937006486</t>
  </si>
  <si>
    <t>FI3927018373</t>
  </si>
  <si>
    <t>FI3927018366</t>
  </si>
  <si>
    <t>FI3927018367</t>
  </si>
  <si>
    <t>FI3927018369</t>
  </si>
  <si>
    <t>FI3927018370</t>
  </si>
  <si>
    <t>FI3927018372</t>
  </si>
  <si>
    <t>GIN0006885</t>
  </si>
  <si>
    <t>2025/DEC/003</t>
  </si>
  <si>
    <t>2025/Dec/002</t>
  </si>
  <si>
    <t>IIC/1073/1225</t>
  </si>
  <si>
    <t>MPI/25-26/377</t>
  </si>
  <si>
    <t>411</t>
  </si>
  <si>
    <t>420</t>
  </si>
  <si>
    <t>412</t>
  </si>
  <si>
    <t>21</t>
  </si>
  <si>
    <t>NK/25-26/0013</t>
  </si>
  <si>
    <t>256/25-26</t>
  </si>
  <si>
    <t>258/25-26</t>
  </si>
  <si>
    <t>260/25-26</t>
  </si>
  <si>
    <t>275/25-26</t>
  </si>
  <si>
    <t>273/25-26</t>
  </si>
  <si>
    <t>AES2024250071</t>
  </si>
  <si>
    <t>1CH25ARMN212</t>
  </si>
  <si>
    <t>1CH25ARMN227</t>
  </si>
  <si>
    <t>1CH25ARMN242</t>
  </si>
  <si>
    <t>JV/HO/2526/0174</t>
  </si>
  <si>
    <t>3KL25ARMN46</t>
  </si>
  <si>
    <t>2KL25ARMN166</t>
  </si>
  <si>
    <t>1PG25ARMN9</t>
  </si>
  <si>
    <t>13HY25ARMN43</t>
  </si>
  <si>
    <t>13HY25ARMN44</t>
  </si>
  <si>
    <t>13HY25ARMN33</t>
  </si>
  <si>
    <t>13HY25ARMN34</t>
  </si>
  <si>
    <t>13HY25ARMN35</t>
  </si>
  <si>
    <t>Inv-25-29/342</t>
  </si>
  <si>
    <t>252900014</t>
  </si>
  <si>
    <t>252900015</t>
  </si>
  <si>
    <t>REW1092/25-26</t>
  </si>
  <si>
    <t>REW1091/25-26</t>
  </si>
  <si>
    <t>MBI/303/16808</t>
  </si>
  <si>
    <t>450</t>
  </si>
  <si>
    <t>466</t>
  </si>
  <si>
    <t>24-25/88</t>
  </si>
  <si>
    <t>BBY-11088</t>
  </si>
  <si>
    <t>BBY-11084</t>
  </si>
  <si>
    <t>BBY-11086</t>
  </si>
  <si>
    <t>BBY-11087</t>
  </si>
  <si>
    <t>BBY-11085</t>
  </si>
  <si>
    <t>BBY-11089</t>
  </si>
  <si>
    <t>BBY-11080</t>
  </si>
  <si>
    <t>BBY-11081</t>
  </si>
  <si>
    <t>BBY-11082</t>
  </si>
  <si>
    <t>BBY-11083</t>
  </si>
  <si>
    <t>SPL/2743/25-26</t>
  </si>
  <si>
    <t>SK/71/25-26</t>
  </si>
  <si>
    <t>SK/70/25-26</t>
  </si>
  <si>
    <t>SE/29/2526/00323</t>
  </si>
  <si>
    <t>25/26/250</t>
  </si>
  <si>
    <t>25/26/251</t>
  </si>
  <si>
    <t>646</t>
  </si>
  <si>
    <t>DN/GOA/2526/028</t>
  </si>
  <si>
    <t>TE/25-26/141</t>
  </si>
  <si>
    <t>050</t>
  </si>
  <si>
    <t>TPI/555/25-26</t>
  </si>
  <si>
    <t>DLI25BL008358</t>
  </si>
  <si>
    <t>DLI25BL0008368</t>
  </si>
  <si>
    <t>B69/25-26</t>
  </si>
  <si>
    <t>VG20043520</t>
  </si>
  <si>
    <t>VG20043534</t>
  </si>
  <si>
    <t>VG20043537</t>
  </si>
  <si>
    <t>DAC/2526/2918</t>
  </si>
  <si>
    <t>846</t>
  </si>
  <si>
    <t>13/01/2026</t>
  </si>
  <si>
    <t>MT/038/25-26</t>
  </si>
  <si>
    <t>MM/2025-26/600</t>
  </si>
  <si>
    <t>RND/560/25-26</t>
  </si>
  <si>
    <t>253100480</t>
  </si>
  <si>
    <t>253100486</t>
  </si>
  <si>
    <t>253100488</t>
  </si>
  <si>
    <t>253100475</t>
  </si>
  <si>
    <t>253100476</t>
  </si>
  <si>
    <t>253100477</t>
  </si>
  <si>
    <t>253100478</t>
  </si>
  <si>
    <t>253100479</t>
  </si>
  <si>
    <t>253100481</t>
  </si>
  <si>
    <t>253100482</t>
  </si>
  <si>
    <t>253100483</t>
  </si>
  <si>
    <t>253100484</t>
  </si>
  <si>
    <t>253100485</t>
  </si>
  <si>
    <t>253100487</t>
  </si>
  <si>
    <t>253100489</t>
  </si>
  <si>
    <t>253100490</t>
  </si>
  <si>
    <t>BBY-10283</t>
  </si>
  <si>
    <t>UMPL/2025-26/056</t>
  </si>
  <si>
    <t>UMPL/2025-26/055</t>
  </si>
  <si>
    <t>UMPL/2025-26/054</t>
  </si>
  <si>
    <t>25/26/252</t>
  </si>
  <si>
    <t>TE/25-26/133</t>
  </si>
  <si>
    <t>DLI25BL008002</t>
  </si>
  <si>
    <t>APC/2025-26/330</t>
  </si>
  <si>
    <t>VG20043570</t>
  </si>
  <si>
    <t>25/26/253</t>
  </si>
  <si>
    <t>57</t>
  </si>
  <si>
    <t>25/26/254</t>
  </si>
  <si>
    <t>VG20043600</t>
  </si>
  <si>
    <t>25/26/255</t>
  </si>
  <si>
    <t>154</t>
  </si>
  <si>
    <t>IBALDW2526010375</t>
  </si>
  <si>
    <t>VG20043669</t>
  </si>
  <si>
    <t>VG20043676</t>
  </si>
  <si>
    <t>2025-26/JAN214</t>
  </si>
  <si>
    <t>UMPL/2025-26/057</t>
  </si>
  <si>
    <t>25/26/256</t>
  </si>
  <si>
    <t>VG20043750</t>
  </si>
  <si>
    <t>VG20043756</t>
  </si>
  <si>
    <t>GDP/25-26/1113</t>
  </si>
  <si>
    <t>288/25-26</t>
  </si>
  <si>
    <t>236</t>
  </si>
  <si>
    <t>25/26/257</t>
  </si>
  <si>
    <t>25/26/258</t>
  </si>
  <si>
    <t>PV/WBH/2526/0139</t>
  </si>
  <si>
    <t>289/25-26</t>
  </si>
  <si>
    <t>APC/2025-26/343</t>
  </si>
  <si>
    <t>VG20043857</t>
  </si>
  <si>
    <t>VG20043860</t>
  </si>
  <si>
    <t>UMPL/2025-26/058</t>
  </si>
  <si>
    <t>25/26/259</t>
  </si>
  <si>
    <t>PV/HR/2526/0114</t>
  </si>
  <si>
    <t>APC/2025-26/344</t>
  </si>
  <si>
    <t>VG20043917</t>
  </si>
  <si>
    <t>VG20043931</t>
  </si>
  <si>
    <t>RC/HO/2526/0162</t>
  </si>
  <si>
    <t>RC/HO/2526/0163</t>
  </si>
  <si>
    <t>RC/HO/2526/0164</t>
  </si>
  <si>
    <t>RC/HO/2526/0165</t>
  </si>
  <si>
    <t>RC/HO/2526/0166</t>
  </si>
  <si>
    <t>RC/HO/2526/0167</t>
  </si>
  <si>
    <t>RC/HO/2526/0168</t>
  </si>
  <si>
    <t>RC/HO/2526/0169</t>
  </si>
  <si>
    <t>RC/HO/2526/0170</t>
  </si>
  <si>
    <t>RC/HO/2526/0171</t>
  </si>
  <si>
    <t>25-26/236</t>
  </si>
  <si>
    <t>25/26/262</t>
  </si>
  <si>
    <t>25/26/260</t>
  </si>
  <si>
    <t>25/26/263</t>
  </si>
  <si>
    <t>25/26/264</t>
  </si>
  <si>
    <t>25/26/261</t>
  </si>
  <si>
    <t>BE-1426/25-26</t>
  </si>
  <si>
    <t>BE/64/25</t>
  </si>
  <si>
    <t>BE/63/25</t>
  </si>
  <si>
    <t>VG20043986</t>
  </si>
  <si>
    <t>VG20043992</t>
  </si>
  <si>
    <t>MT/042/25-26</t>
  </si>
  <si>
    <t>238</t>
  </si>
  <si>
    <t>25/26/265</t>
  </si>
  <si>
    <t>VG20044027</t>
  </si>
  <si>
    <t>UMPL/2025-26/059</t>
  </si>
  <si>
    <t>25/26/266</t>
  </si>
  <si>
    <t>25/26/267</t>
  </si>
  <si>
    <t>VG20044057</t>
  </si>
  <si>
    <t>VG20044058</t>
  </si>
  <si>
    <t>25/26/268</t>
  </si>
  <si>
    <t>458</t>
  </si>
  <si>
    <t>459</t>
  </si>
  <si>
    <t>25-26/237</t>
  </si>
  <si>
    <t>920030241</t>
  </si>
  <si>
    <t>ASL2526TRS01353</t>
  </si>
  <si>
    <t>PV/GUJ/2526/0752</t>
  </si>
  <si>
    <t>BE-2526-097</t>
  </si>
  <si>
    <t>VG20044161</t>
  </si>
  <si>
    <t>VG20044167</t>
  </si>
  <si>
    <t>RMT-UF-37</t>
  </si>
  <si>
    <t>25/26/269</t>
  </si>
  <si>
    <t>25/26/270</t>
  </si>
  <si>
    <t>AIIS-0335/25-26</t>
  </si>
  <si>
    <t>25/26/271</t>
  </si>
  <si>
    <t>AESPL/25-26/155</t>
  </si>
  <si>
    <t>AESPL/25-26/154</t>
  </si>
  <si>
    <t>VG20044193</t>
  </si>
  <si>
    <t>VG20044196</t>
  </si>
  <si>
    <t>13HY25ARMN46</t>
  </si>
  <si>
    <t>12</t>
  </si>
  <si>
    <t>25/26/272</t>
  </si>
  <si>
    <t>25/26/273</t>
  </si>
  <si>
    <t>25/26/274</t>
  </si>
  <si>
    <t>25/26/275</t>
  </si>
  <si>
    <t>APC/2025-26/350</t>
  </si>
  <si>
    <t>VG20044224</t>
  </si>
  <si>
    <t>VG20044225</t>
  </si>
  <si>
    <t>25/26/276</t>
  </si>
  <si>
    <t>4939/GST/2526</t>
  </si>
  <si>
    <t>VG20044246</t>
  </si>
  <si>
    <t>VG20044247</t>
  </si>
  <si>
    <t>513</t>
  </si>
  <si>
    <t>BE-1427/25-26</t>
  </si>
  <si>
    <t>BE/65/25</t>
  </si>
  <si>
    <t>VG20044312</t>
  </si>
  <si>
    <t>VG20044322</t>
  </si>
  <si>
    <t>DE/25-26/689</t>
  </si>
  <si>
    <t>GDP/25-26/1169</t>
  </si>
  <si>
    <t>25-26/238</t>
  </si>
  <si>
    <t>25/26/277</t>
  </si>
  <si>
    <t>25/26/278</t>
  </si>
  <si>
    <t>PV/WBA/2526/0329</t>
  </si>
  <si>
    <t>VG20044367</t>
  </si>
  <si>
    <t>VG20044376</t>
  </si>
  <si>
    <t>FI3937006925</t>
  </si>
  <si>
    <t>25/26/279</t>
  </si>
  <si>
    <t>PV/MHW/2526/0274</t>
  </si>
  <si>
    <t>VG20044432</t>
  </si>
  <si>
    <t>VG20044433</t>
  </si>
  <si>
    <t>RMT-UF-40</t>
  </si>
  <si>
    <t>RMT-UF-39</t>
  </si>
  <si>
    <t>RMT-UF-38</t>
  </si>
  <si>
    <t>25/26/280</t>
  </si>
  <si>
    <t>25/26/281</t>
  </si>
  <si>
    <t>VG20044499</t>
  </si>
  <si>
    <t>VG20044503</t>
  </si>
  <si>
    <t>GGBS/120/25-26</t>
  </si>
  <si>
    <t>25-26/241</t>
  </si>
  <si>
    <t>25/26/282</t>
  </si>
  <si>
    <t>TE/25-26/156</t>
  </si>
  <si>
    <t>APC/2025-26/366</t>
  </si>
  <si>
    <t>RC/HO/2526/0173</t>
  </si>
  <si>
    <t>519</t>
  </si>
  <si>
    <t>UMPL/2025-26/060</t>
  </si>
  <si>
    <t>25/26/283</t>
  </si>
  <si>
    <t>VG20044590</t>
  </si>
  <si>
    <t>VG20044614</t>
  </si>
  <si>
    <t>244</t>
  </si>
  <si>
    <t>25/26/284</t>
  </si>
  <si>
    <t>25/26/285</t>
  </si>
  <si>
    <t>25/26/286</t>
  </si>
  <si>
    <t>VG20044653</t>
  </si>
  <si>
    <t>VG20044658</t>
  </si>
  <si>
    <t>25-26/242</t>
  </si>
  <si>
    <t>UMPL/2025-26/061</t>
  </si>
  <si>
    <t>25/26/287</t>
  </si>
  <si>
    <t>25/26/288</t>
  </si>
  <si>
    <t>25/26/289</t>
  </si>
  <si>
    <t>GGBS/121/25-26</t>
  </si>
  <si>
    <t>G/1726</t>
  </si>
  <si>
    <t>TDS-BILL-1195</t>
  </si>
  <si>
    <t>PV/WBH/2526/0149</t>
  </si>
  <si>
    <t>25-26-00403</t>
  </si>
  <si>
    <t>25-26-00401</t>
  </si>
  <si>
    <t>25-26-00402</t>
  </si>
  <si>
    <t>2025-26/JAN563</t>
  </si>
  <si>
    <t>25/26/290</t>
  </si>
  <si>
    <t>25/26/291</t>
  </si>
  <si>
    <t>DJFB/25-26/305</t>
  </si>
  <si>
    <t>UMPL/2025-26/062</t>
  </si>
  <si>
    <t>25/26/292</t>
  </si>
  <si>
    <t>2876</t>
  </si>
  <si>
    <t>2875</t>
  </si>
  <si>
    <t>2874</t>
  </si>
  <si>
    <t>S0000850</t>
  </si>
  <si>
    <t>Ash/32</t>
  </si>
  <si>
    <t>Ash/31</t>
  </si>
  <si>
    <t>Ash/30</t>
  </si>
  <si>
    <t>Ash/33</t>
  </si>
  <si>
    <t>ASL2526TRS01415</t>
  </si>
  <si>
    <t>ASL2526FYL40273</t>
  </si>
  <si>
    <t>PCR6032250003732</t>
  </si>
  <si>
    <t>IBALDW2526011143</t>
  </si>
  <si>
    <t>IBALDW2526011140</t>
  </si>
  <si>
    <t>BE/67/25</t>
  </si>
  <si>
    <t>BE/66/25</t>
  </si>
  <si>
    <t>BE/68/25</t>
  </si>
  <si>
    <t>B71/25-26</t>
  </si>
  <si>
    <t>BSP/2025-26/75</t>
  </si>
  <si>
    <t>CM/25-26/196</t>
  </si>
  <si>
    <t>CM/25-26/197</t>
  </si>
  <si>
    <t>CM/25-26/198</t>
  </si>
  <si>
    <t>CM/25-26/199</t>
  </si>
  <si>
    <t>CM/25-26/204</t>
  </si>
  <si>
    <t>CM/25-26/205</t>
  </si>
  <si>
    <t>CM/25-26/206</t>
  </si>
  <si>
    <t>CM/25-26/207</t>
  </si>
  <si>
    <t>FI3937007231</t>
  </si>
  <si>
    <t>FI3937007297</t>
  </si>
  <si>
    <t>FI3927021400</t>
  </si>
  <si>
    <t>FI3927021401</t>
  </si>
  <si>
    <t>FI3927021402</t>
  </si>
  <si>
    <t>FI3927021431</t>
  </si>
  <si>
    <t>FI3927021432</t>
  </si>
  <si>
    <t>FI3937007287</t>
  </si>
  <si>
    <t>FI3937007288</t>
  </si>
  <si>
    <t>FI3937007289</t>
  </si>
  <si>
    <t>FI3937007290</t>
  </si>
  <si>
    <t>FI3937007298</t>
  </si>
  <si>
    <t>25-26/G-14114</t>
  </si>
  <si>
    <t>G92283715</t>
  </si>
  <si>
    <t>202526MUM2961</t>
  </si>
  <si>
    <t>2026/JAN/004</t>
  </si>
  <si>
    <t>2026/JAN/005</t>
  </si>
  <si>
    <t>2026/JAN/003</t>
  </si>
  <si>
    <t>IIC/1085/0126</t>
  </si>
  <si>
    <t>IIC/1082/0126</t>
  </si>
  <si>
    <t>GGBS/119/25-26</t>
  </si>
  <si>
    <t>2025-26/116</t>
  </si>
  <si>
    <t>PV/HO/2526/0618</t>
  </si>
  <si>
    <t>576</t>
  </si>
  <si>
    <t>2526-653</t>
  </si>
  <si>
    <t>2526-652</t>
  </si>
  <si>
    <t>2526-648</t>
  </si>
  <si>
    <t>2526-646</t>
  </si>
  <si>
    <t>2526-645</t>
  </si>
  <si>
    <t>2526-634</t>
  </si>
  <si>
    <t>2526-628</t>
  </si>
  <si>
    <t>2526-625</t>
  </si>
  <si>
    <t>2526-624</t>
  </si>
  <si>
    <t>2526-616</t>
  </si>
  <si>
    <t>2526-615</t>
  </si>
  <si>
    <t>2526-609</t>
  </si>
  <si>
    <t>2526-607</t>
  </si>
  <si>
    <t>2526-602</t>
  </si>
  <si>
    <t>2526-601</t>
  </si>
  <si>
    <t>2526-599</t>
  </si>
  <si>
    <t>2526-597</t>
  </si>
  <si>
    <t>2526-596</t>
  </si>
  <si>
    <t>2526-592</t>
  </si>
  <si>
    <t>2526-591</t>
  </si>
  <si>
    <t>2526-575</t>
  </si>
  <si>
    <t>2526-583</t>
  </si>
  <si>
    <t>2526-586</t>
  </si>
  <si>
    <t>2526-590</t>
  </si>
  <si>
    <t>14C/02/2026</t>
  </si>
  <si>
    <t>JV/GUJ/2526/0196</t>
  </si>
  <si>
    <t>228</t>
  </si>
  <si>
    <t>460</t>
  </si>
  <si>
    <t>462</t>
  </si>
  <si>
    <t>461</t>
  </si>
  <si>
    <t>SM/CON/25-26/7</t>
  </si>
  <si>
    <t>295/25-26</t>
  </si>
  <si>
    <t>24-25//0137</t>
  </si>
  <si>
    <t>PV/GUJ/2526/0787</t>
  </si>
  <si>
    <t>6CH25ARMN147</t>
  </si>
  <si>
    <t>JV/HO/2526/0196</t>
  </si>
  <si>
    <t>2KL25ARMN189</t>
  </si>
  <si>
    <t>1PG25ARMN8</t>
  </si>
  <si>
    <t>2KL25ARMN139</t>
  </si>
  <si>
    <t>13HY25ARMN48</t>
  </si>
  <si>
    <t>13HY25ARMN49</t>
  </si>
  <si>
    <t>252900016</t>
  </si>
  <si>
    <t>REW1090/25-26</t>
  </si>
  <si>
    <t>482</t>
  </si>
  <si>
    <t>479</t>
  </si>
  <si>
    <t>488</t>
  </si>
  <si>
    <t>484</t>
  </si>
  <si>
    <t>74/2025-26</t>
  </si>
  <si>
    <t>24-25/89</t>
  </si>
  <si>
    <t>BBY-11220</t>
  </si>
  <si>
    <t>BBY-11219</t>
  </si>
  <si>
    <t>BBY-11218</t>
  </si>
  <si>
    <t>BBY-11216</t>
  </si>
  <si>
    <t>BBY-11217</t>
  </si>
  <si>
    <t>BBY-11215</t>
  </si>
  <si>
    <t>BBY-11221</t>
  </si>
  <si>
    <t>BBY-11224</t>
  </si>
  <si>
    <t>BBY-11222</t>
  </si>
  <si>
    <t>BBY-11223</t>
  </si>
  <si>
    <t>BBY-11190</t>
  </si>
  <si>
    <t>SPL/3098/24-25</t>
  </si>
  <si>
    <t>SPL/3097/25-26</t>
  </si>
  <si>
    <t>10032</t>
  </si>
  <si>
    <t>SML-89/2025-26</t>
  </si>
  <si>
    <t>SK/73/25-26</t>
  </si>
  <si>
    <t>SE/29/2526/00359</t>
  </si>
  <si>
    <t>696</t>
  </si>
  <si>
    <t>SS/25-26/5/5</t>
  </si>
  <si>
    <t>SS/25-26/6/6</t>
  </si>
  <si>
    <t>PV/GOA/2526/0643</t>
  </si>
  <si>
    <t>083/25-26</t>
  </si>
  <si>
    <t>055</t>
  </si>
  <si>
    <t>UTLGA2526I18386</t>
  </si>
  <si>
    <t>DLI25BL009782</t>
  </si>
  <si>
    <t>WLI/25-26/IN0356</t>
  </si>
  <si>
    <t>202526/5061</t>
  </si>
  <si>
    <t>DN/KA/2526/008</t>
  </si>
  <si>
    <t>Ash/34</t>
  </si>
  <si>
    <t>Ash/26</t>
  </si>
  <si>
    <t>Ash/24</t>
  </si>
  <si>
    <t>25-26-00330</t>
  </si>
  <si>
    <t>BT/25-26/041</t>
  </si>
  <si>
    <t>BT/25-26/040</t>
  </si>
  <si>
    <t>HSSPL/854/25-26</t>
  </si>
  <si>
    <t>HSSPL/753/25-26</t>
  </si>
  <si>
    <t>HSSPL/853/25-26</t>
  </si>
  <si>
    <t>GST-058</t>
  </si>
  <si>
    <t>TDS-058</t>
  </si>
  <si>
    <t>058</t>
  </si>
  <si>
    <t>SRIC/2025-26/1144</t>
  </si>
  <si>
    <t>RMB-067-2023-24</t>
  </si>
  <si>
    <t>BBY-10385</t>
  </si>
  <si>
    <t>UMPL/2025-26/009</t>
  </si>
  <si>
    <t>UMPL/2025-26/012</t>
  </si>
  <si>
    <t>UMPL/2025-26/016</t>
  </si>
  <si>
    <t>UMPL/2025-26/017</t>
  </si>
  <si>
    <t>2025-26/062</t>
  </si>
  <si>
    <t>TE/25-26/161</t>
  </si>
  <si>
    <t>NE03272500007117</t>
  </si>
  <si>
    <t>VG20044933</t>
  </si>
  <si>
    <t>VG20044936</t>
  </si>
  <si>
    <t>VG20044963</t>
  </si>
  <si>
    <t>GDP/25-26/1239</t>
  </si>
  <si>
    <t>UMPL/2025-26/063</t>
  </si>
  <si>
    <t>25/26/293</t>
  </si>
  <si>
    <t>25/26/294</t>
  </si>
  <si>
    <t>NE03272500007138</t>
  </si>
  <si>
    <t>NE03272500007143</t>
  </si>
  <si>
    <t>NE03272500007151</t>
  </si>
  <si>
    <t>NE03272500007156</t>
  </si>
  <si>
    <t>VG20044988</t>
  </si>
  <si>
    <t>VG20044989</t>
  </si>
  <si>
    <t>02</t>
  </si>
  <si>
    <t>APC/2025-26/379</t>
  </si>
  <si>
    <t>NE03272500007180</t>
  </si>
  <si>
    <t>NE03272510013093</t>
  </si>
  <si>
    <t>NE03272510013096</t>
  </si>
  <si>
    <t>NE03272510013101</t>
  </si>
  <si>
    <t>1979288</t>
  </si>
  <si>
    <t>2526-665</t>
  </si>
  <si>
    <t>UMPL/2025-26/064</t>
  </si>
  <si>
    <t>311120402261511541226</t>
  </si>
  <si>
    <t>25/26/295</t>
  </si>
  <si>
    <t>NE03272500007213</t>
  </si>
  <si>
    <t>23</t>
  </si>
  <si>
    <t>NE03272500007217</t>
  </si>
  <si>
    <t>NE03272510013163</t>
  </si>
  <si>
    <t>NE03272510013177</t>
  </si>
  <si>
    <t>NE03272510013178</t>
  </si>
  <si>
    <t>PV/HR/2526/0127</t>
  </si>
  <si>
    <t>HSSPL/889/25-26</t>
  </si>
  <si>
    <t>HSSPL/888/25-26</t>
  </si>
  <si>
    <t>25/26/296</t>
  </si>
  <si>
    <t>NE03272510013215</t>
  </si>
  <si>
    <t>NE03272500007242</t>
  </si>
  <si>
    <t>NE03272500007243</t>
  </si>
  <si>
    <t>PV/HR/2526/0130</t>
  </si>
  <si>
    <t>VG20045118</t>
  </si>
  <si>
    <t>VG20045122</t>
  </si>
  <si>
    <t>UMPL/2025-26/065</t>
  </si>
  <si>
    <t>25/26/297</t>
  </si>
  <si>
    <t>25/26/298</t>
  </si>
  <si>
    <t>VBR/UF/Vizag/138</t>
  </si>
  <si>
    <t>VBR/UF/Vizag/137</t>
  </si>
  <si>
    <t>NE03272500007264</t>
  </si>
  <si>
    <t>NE03272510013269</t>
  </si>
  <si>
    <t>NE03272510013273</t>
  </si>
  <si>
    <t>NE03272510013274</t>
  </si>
  <si>
    <t>NE03272510013276</t>
  </si>
  <si>
    <t>NE03272510013278</t>
  </si>
  <si>
    <t>NE03272510013282</t>
  </si>
  <si>
    <t>171_07.01.26</t>
  </si>
  <si>
    <t>5282/GST/2526</t>
  </si>
  <si>
    <t>VG20045192</t>
  </si>
  <si>
    <t>PV/APV/2526/0190</t>
  </si>
  <si>
    <t>2526-672</t>
  </si>
  <si>
    <t>1980143</t>
  </si>
  <si>
    <t>RMT-UF-41</t>
  </si>
  <si>
    <t>25/26/299</t>
  </si>
  <si>
    <t>25/26/300</t>
  </si>
  <si>
    <t>NE03272500007287</t>
  </si>
  <si>
    <t>NE03272510013319</t>
  </si>
  <si>
    <t>NE03272510013324</t>
  </si>
  <si>
    <t>25-26-00407</t>
  </si>
  <si>
    <t>JV/HO/2526/0217</t>
  </si>
  <si>
    <t>25/26/301</t>
  </si>
  <si>
    <t>25/26/302</t>
  </si>
  <si>
    <t>NE03272500007299</t>
  </si>
  <si>
    <t>NE03272510013391</t>
  </si>
  <si>
    <t>NE03272510013393</t>
  </si>
  <si>
    <t>NE03272510013397</t>
  </si>
  <si>
    <t>20136</t>
  </si>
  <si>
    <t>2811</t>
  </si>
  <si>
    <t>3111130902261128431226</t>
  </si>
  <si>
    <t>TME/25-26/040</t>
  </si>
  <si>
    <t>VBR/UF/Vizag/139</t>
  </si>
  <si>
    <t>NE03272510013418</t>
  </si>
  <si>
    <t>NE03272510013419</t>
  </si>
  <si>
    <t>NE03272510013429</t>
  </si>
  <si>
    <t>NE03272510013431</t>
  </si>
  <si>
    <t>NE03272510013439</t>
  </si>
  <si>
    <t>NE03272510013441</t>
  </si>
  <si>
    <t>NE03272510013449</t>
  </si>
  <si>
    <t>25-26-00408</t>
  </si>
  <si>
    <t>BE-1430/25-26</t>
  </si>
  <si>
    <t>BE/70/25</t>
  </si>
  <si>
    <t>BE/69/25</t>
  </si>
  <si>
    <t>BSP/2025-26/69</t>
  </si>
  <si>
    <t>BSP/2025-26/73</t>
  </si>
  <si>
    <t>VG20045328</t>
  </si>
  <si>
    <t>VG20045350</t>
  </si>
  <si>
    <t>2526-680</t>
  </si>
  <si>
    <t>ULFEB26001</t>
  </si>
  <si>
    <t>4</t>
  </si>
  <si>
    <t>UMPL/2025-26/066</t>
  </si>
  <si>
    <t>25/26/303</t>
  </si>
  <si>
    <t>VBR/UF/Vizag/140</t>
  </si>
  <si>
    <t>375</t>
  </si>
  <si>
    <t>654000191830</t>
  </si>
  <si>
    <t>NE03272510013510</t>
  </si>
  <si>
    <t>NE03272510013508</t>
  </si>
  <si>
    <t>NE03272510013474</t>
  </si>
  <si>
    <t>25-26-00409</t>
  </si>
  <si>
    <t>VG20045359</t>
  </si>
  <si>
    <t>VG20045366</t>
  </si>
  <si>
    <t>2526-683</t>
  </si>
  <si>
    <t>VBR/UF/Vizag/141</t>
  </si>
  <si>
    <t>NE03272510013567</t>
  </si>
  <si>
    <t>NE03272510013565</t>
  </si>
  <si>
    <t>NE03272510013540</t>
  </si>
  <si>
    <t>NE03272510013547</t>
  </si>
  <si>
    <t>25-26-00411</t>
  </si>
  <si>
    <t>PV/APN/2526/155</t>
  </si>
  <si>
    <t>2526-689</t>
  </si>
  <si>
    <t>2526-688</t>
  </si>
  <si>
    <t>2126</t>
  </si>
  <si>
    <t>RMT-UF-42</t>
  </si>
  <si>
    <t>RMT-UF-43</t>
  </si>
  <si>
    <t>RMT-UF-44</t>
  </si>
  <si>
    <t>1980093</t>
  </si>
  <si>
    <t>1979278</t>
  </si>
  <si>
    <t>496</t>
  </si>
  <si>
    <t>25/26/304</t>
  </si>
  <si>
    <t>25/26/305</t>
  </si>
  <si>
    <t>25/26/306</t>
  </si>
  <si>
    <t>25/26/307</t>
  </si>
  <si>
    <t>25/26/308</t>
  </si>
  <si>
    <t>NE03272510013621</t>
  </si>
  <si>
    <t>NE03272510013605</t>
  </si>
  <si>
    <t>NE03272510013603</t>
  </si>
  <si>
    <t>NE03272510013597</t>
  </si>
  <si>
    <t>NE03272510013594</t>
  </si>
  <si>
    <t>NE03272500007405</t>
  </si>
  <si>
    <t>ASL2526FYL40284</t>
  </si>
  <si>
    <t>25-26-00413</t>
  </si>
  <si>
    <t>PV/APN/2526/152</t>
  </si>
  <si>
    <t>VG20045438</t>
  </si>
  <si>
    <t>VG20045440</t>
  </si>
  <si>
    <t>KBS/09944/25-26</t>
  </si>
  <si>
    <t>SLS/25001021</t>
  </si>
  <si>
    <t>SLS/25001022</t>
  </si>
  <si>
    <t>03/MBS/UM/25-26</t>
  </si>
  <si>
    <t>PV/GUJ/2526/0815</t>
  </si>
  <si>
    <t>PV/GUJ/2526/0816</t>
  </si>
  <si>
    <t>UMPL/2025-26/067</t>
  </si>
  <si>
    <t>NE03272510013688</t>
  </si>
  <si>
    <t>NE03272510013683</t>
  </si>
  <si>
    <t>NE03272510013681</t>
  </si>
  <si>
    <t>NE03272510013675</t>
  </si>
  <si>
    <t>ASIA/386/0226</t>
  </si>
  <si>
    <t>VG20045489</t>
  </si>
  <si>
    <t>VG20045490</t>
  </si>
  <si>
    <t>2526-691</t>
  </si>
  <si>
    <t>25/26/309</t>
  </si>
  <si>
    <t>HR25260141</t>
  </si>
  <si>
    <t>VBR/UF/Vizag/143</t>
  </si>
  <si>
    <t>VBR/UF/Vizag/142</t>
  </si>
  <si>
    <t>APC/2025-26/385</t>
  </si>
  <si>
    <t>NE03272510013737</t>
  </si>
  <si>
    <t>NE03272510013732</t>
  </si>
  <si>
    <t>NE03272510013719</t>
  </si>
  <si>
    <t>NE03272510013709</t>
  </si>
  <si>
    <t>NE03272510013703</t>
  </si>
  <si>
    <t>NE03272510013702</t>
  </si>
  <si>
    <t>NE03272510013696</t>
  </si>
  <si>
    <t>ASL2526TRS01506</t>
  </si>
  <si>
    <t>UF/ST/IGH/11/2025-26</t>
  </si>
  <si>
    <t>B-108</t>
  </si>
  <si>
    <t>FEI/04/25-26</t>
  </si>
  <si>
    <t>2526-699</t>
  </si>
  <si>
    <t>SRIC/2025-26/435</t>
  </si>
  <si>
    <t>SRIC/2025-26/439</t>
  </si>
  <si>
    <t>SRIC/2025-26/998</t>
  </si>
  <si>
    <t>SRIC/2025-26/1010</t>
  </si>
  <si>
    <t>254</t>
  </si>
  <si>
    <t>536</t>
  </si>
  <si>
    <t>NE03272510013747</t>
  </si>
  <si>
    <t>BE-2526-111</t>
  </si>
  <si>
    <t>PV/MHW/2526/0297</t>
  </si>
  <si>
    <t>KBS/10067/25-26</t>
  </si>
  <si>
    <t>2526-701</t>
  </si>
  <si>
    <t>068</t>
  </si>
  <si>
    <t>GST-068</t>
  </si>
  <si>
    <t>TDS-068</t>
  </si>
  <si>
    <t>25/26/310</t>
  </si>
  <si>
    <t>25/26/311</t>
  </si>
  <si>
    <t>PV/GUJ/2526/0824</t>
  </si>
  <si>
    <t>169</t>
  </si>
  <si>
    <t>JV/GUJ/2526/0213</t>
  </si>
  <si>
    <t>YOURSELF</t>
  </si>
  <si>
    <t>S0000918</t>
  </si>
  <si>
    <t>NE03272510013795</t>
  </si>
  <si>
    <t>NE03272510013845</t>
  </si>
  <si>
    <t>NE03272510013839</t>
  </si>
  <si>
    <t>NE03272510013819</t>
  </si>
  <si>
    <t>NE03272510013815</t>
  </si>
  <si>
    <t>NE03272500007487</t>
  </si>
  <si>
    <t>NE03272500007486</t>
  </si>
  <si>
    <t>VG20045604</t>
  </si>
  <si>
    <t>VG20045612</t>
  </si>
  <si>
    <t>PV/GUJ/2526/0825</t>
  </si>
  <si>
    <t>TI561/2025-26</t>
  </si>
  <si>
    <t>2526-703</t>
  </si>
  <si>
    <t>CR/9/01057/2025</t>
  </si>
  <si>
    <t>CR/9/01058/2025</t>
  </si>
  <si>
    <t>CR/9/01059/2025</t>
  </si>
  <si>
    <t>CR/9/01060/2025</t>
  </si>
  <si>
    <t>PV/HO/2526/0666</t>
  </si>
  <si>
    <t>2127</t>
  </si>
  <si>
    <t>539</t>
  </si>
  <si>
    <t>25/26/312</t>
  </si>
  <si>
    <t>25/26/313</t>
  </si>
  <si>
    <t>PV/GUJ/2526/0832</t>
  </si>
  <si>
    <t>NE03272510013887</t>
  </si>
  <si>
    <t>NE03272510013870</t>
  </si>
  <si>
    <t>B-113</t>
  </si>
  <si>
    <t>VG20045653</t>
  </si>
  <si>
    <t>VG20045657</t>
  </si>
  <si>
    <t>CR/9/1000/2025</t>
  </si>
  <si>
    <t>UMPL/2025-26/068</t>
  </si>
  <si>
    <t>VBR/UF/Vizag/144</t>
  </si>
  <si>
    <t>PV/MHW/2526/0302</t>
  </si>
  <si>
    <t>NE03272510013938</t>
  </si>
  <si>
    <t>NE03272510013934</t>
  </si>
  <si>
    <t>25-26-00414</t>
  </si>
  <si>
    <t>25-26-00415</t>
  </si>
  <si>
    <t>BSP/2025-26/79</t>
  </si>
  <si>
    <t>BSP/25-26/78</t>
  </si>
  <si>
    <t>0378</t>
  </si>
  <si>
    <t>TME/25-26/058</t>
  </si>
  <si>
    <t>APC/2025-26/391</t>
  </si>
  <si>
    <t>NE03272510013997</t>
  </si>
  <si>
    <t>NE03272510013987</t>
  </si>
  <si>
    <t>NE03272500007584</t>
  </si>
  <si>
    <t>NE03272500007570</t>
  </si>
  <si>
    <t>NE03272500007564</t>
  </si>
  <si>
    <t>MT/047/25-26</t>
  </si>
  <si>
    <t>003/25-26</t>
  </si>
  <si>
    <t>ULFEB26002</t>
  </si>
  <si>
    <t>UMPL/2025-26/069</t>
  </si>
  <si>
    <t>25/26/314</t>
  </si>
  <si>
    <t>VBR/UF/Vizag/145</t>
  </si>
  <si>
    <t>NE03272510014031</t>
  </si>
  <si>
    <t>NE03272510014023</t>
  </si>
  <si>
    <t>NE03272510014022</t>
  </si>
  <si>
    <t>NE03272500007611</t>
  </si>
  <si>
    <t>NE03272500007603</t>
  </si>
  <si>
    <t>VG20045818</t>
  </si>
  <si>
    <t>VG20045823</t>
  </si>
  <si>
    <t>1982299</t>
  </si>
  <si>
    <t>RMT-UF-45</t>
  </si>
  <si>
    <t>RMT-UF-46</t>
  </si>
  <si>
    <t>MHSO090226035718</t>
  </si>
  <si>
    <t>318</t>
  </si>
  <si>
    <t>APC/2025-26/397</t>
  </si>
  <si>
    <t>NE03272510013750</t>
  </si>
  <si>
    <t>VG20045915</t>
  </si>
  <si>
    <t>JV/HR/2526/0070</t>
  </si>
  <si>
    <t>MBI/25-26/34</t>
  </si>
  <si>
    <t>1983870</t>
  </si>
  <si>
    <t>RRBA/ST/UF/015</t>
  </si>
  <si>
    <t>RRBA/ST/UF/014</t>
  </si>
  <si>
    <t>SW/25-26/0906</t>
  </si>
  <si>
    <t>25/26/315</t>
  </si>
  <si>
    <t>TE/25-26/175</t>
  </si>
  <si>
    <t>25-26-00416</t>
  </si>
  <si>
    <t>5532/GST/2526</t>
  </si>
  <si>
    <t>VBR/UF/Vizag/146</t>
  </si>
  <si>
    <t>APC/2025-26/399</t>
  </si>
  <si>
    <t>AESPL/25-26/191</t>
  </si>
  <si>
    <t>UM-01/25-26</t>
  </si>
  <si>
    <t>25-26-00417</t>
  </si>
  <si>
    <t>JV/HR/2526/0071</t>
  </si>
  <si>
    <t>PV/MHF/2526/0199</t>
  </si>
  <si>
    <t>PV/HO/2526/0710</t>
  </si>
  <si>
    <t>012/25-26</t>
  </si>
  <si>
    <t>PV/WBM/2526/0323</t>
  </si>
  <si>
    <t>1981828</t>
  </si>
  <si>
    <t>UMPL/2025-26/070</t>
  </si>
  <si>
    <t>1982326</t>
  </si>
  <si>
    <t>VBR/UF/Vizag/147</t>
  </si>
  <si>
    <t>VBR/UF/Vizag/148</t>
  </si>
  <si>
    <t>PV/MHW/2526/0306</t>
  </si>
  <si>
    <t>T25262082</t>
  </si>
  <si>
    <t>PV/HO/2526/0691</t>
  </si>
  <si>
    <t>1983028</t>
  </si>
  <si>
    <t>RC/WBM/2526/0147</t>
  </si>
  <si>
    <t>UMPL/2025-26/071</t>
  </si>
  <si>
    <t>25/26/316</t>
  </si>
  <si>
    <t>25/26/317</t>
  </si>
  <si>
    <t>TME/25-26/076</t>
  </si>
  <si>
    <t>2425261153</t>
  </si>
  <si>
    <t>PV/GUJ/2526/0869</t>
  </si>
  <si>
    <t>PV/GUJ/2526/0868</t>
  </si>
  <si>
    <t>MF2630I000207706</t>
  </si>
  <si>
    <t>VG20046164</t>
  </si>
  <si>
    <t>DSS/ASN/990</t>
  </si>
  <si>
    <t>PV/HR/2526/0146</t>
  </si>
  <si>
    <t>PV/HR/2526/0141</t>
  </si>
  <si>
    <t>RIS/25-26/2544</t>
  </si>
  <si>
    <t>RIS/25-26/2543</t>
  </si>
  <si>
    <t>RIS/25-26/2542</t>
  </si>
  <si>
    <t>RIS/25-26/2541</t>
  </si>
  <si>
    <t>RIS/25-26/2537</t>
  </si>
  <si>
    <t>1037</t>
  </si>
  <si>
    <t>1983062</t>
  </si>
  <si>
    <t>25/26/318</t>
  </si>
  <si>
    <t>TR-69-25-26</t>
  </si>
  <si>
    <t>APC/2025-26/406</t>
  </si>
  <si>
    <t>AIM/25-26/1909</t>
  </si>
  <si>
    <t>2025-26/1641</t>
  </si>
  <si>
    <t>127-DS-26002856</t>
  </si>
  <si>
    <t>DN/HO/2526/034</t>
  </si>
  <si>
    <t>DN/HO/2526/029</t>
  </si>
  <si>
    <t>127-DS-26002388</t>
  </si>
  <si>
    <t>127-DS-26002387</t>
  </si>
  <si>
    <t>127-DS-26002349</t>
  </si>
  <si>
    <t>127-DS-26002374</t>
  </si>
  <si>
    <t>127-DS-26002309</t>
  </si>
  <si>
    <t>NE03272510014137</t>
  </si>
  <si>
    <t>NE03272510014097</t>
  </si>
  <si>
    <t>NE03272510014087</t>
  </si>
  <si>
    <t>NE03272510014081</t>
  </si>
  <si>
    <t>NE03272510014079</t>
  </si>
  <si>
    <t>NE03272510014067</t>
  </si>
  <si>
    <t>NE03272510014060</t>
  </si>
  <si>
    <t>NE03272510014058</t>
  </si>
  <si>
    <t>NE03272510014046</t>
  </si>
  <si>
    <t>NE03272500007771</t>
  </si>
  <si>
    <t>NE03272500007764</t>
  </si>
  <si>
    <t>NE03272500007726</t>
  </si>
  <si>
    <t>NE03272500007725</t>
  </si>
  <si>
    <t>UM-04/25-26</t>
  </si>
  <si>
    <t>UM-03/25-26</t>
  </si>
  <si>
    <t>UM-02/25-26</t>
  </si>
  <si>
    <t>February 2026</t>
  </si>
  <si>
    <t>1983529</t>
  </si>
  <si>
    <t>ASL2526TRS01575</t>
  </si>
  <si>
    <t>023</t>
  </si>
  <si>
    <t>BT/25-26/044</t>
  </si>
  <si>
    <t>BT/25-26/042</t>
  </si>
  <si>
    <t>BE-1433/25-26</t>
  </si>
  <si>
    <t>BE-1434/25-26</t>
  </si>
  <si>
    <t>BE-1432/25-26</t>
  </si>
  <si>
    <t>BE-1431/25-26</t>
  </si>
  <si>
    <t>BE/73/25</t>
  </si>
  <si>
    <t>BE/74/25</t>
  </si>
  <si>
    <t>BE/71/25</t>
  </si>
  <si>
    <t>January 26</t>
  </si>
  <si>
    <t>February 26</t>
  </si>
  <si>
    <t>B73/25-26</t>
  </si>
  <si>
    <t>B74/25-26</t>
  </si>
  <si>
    <t>B-117</t>
  </si>
  <si>
    <t>5558/GST/2526</t>
  </si>
  <si>
    <t>FI3927023355</t>
  </si>
  <si>
    <t>FI3927023300</t>
  </si>
  <si>
    <t>FI3937007921</t>
  </si>
  <si>
    <t>FI3937007922</t>
  </si>
  <si>
    <t>FI3924011594</t>
  </si>
  <si>
    <t>FI3924011595</t>
  </si>
  <si>
    <t>FI3924011596</t>
  </si>
  <si>
    <t>FI3924011597</t>
  </si>
  <si>
    <t>FI3924011598</t>
  </si>
  <si>
    <t>FI3924011599</t>
  </si>
  <si>
    <t>FI3924011600</t>
  </si>
  <si>
    <t>FI3924011601</t>
  </si>
  <si>
    <t>FI3924011602</t>
  </si>
  <si>
    <t>FI3924011603</t>
  </si>
  <si>
    <t>FI3924011604</t>
  </si>
  <si>
    <t>FI3937007923</t>
  </si>
  <si>
    <t>25-26/G-16684</t>
  </si>
  <si>
    <t>1981727</t>
  </si>
  <si>
    <t>562</t>
  </si>
  <si>
    <t>February/26</t>
  </si>
  <si>
    <t>1983746</t>
  </si>
  <si>
    <t>Feb 26</t>
  </si>
  <si>
    <t>GIN0007015</t>
  </si>
  <si>
    <t>DJKPTH/2026/026</t>
  </si>
  <si>
    <t>DJKPTH/2026/027</t>
  </si>
  <si>
    <t>EP/2425/6728</t>
  </si>
  <si>
    <t>2026/FEB/002</t>
  </si>
  <si>
    <t>14/ 25-26</t>
  </si>
  <si>
    <t>HSSPL/980/25-26</t>
  </si>
  <si>
    <t>HM27/2627/142634</t>
  </si>
  <si>
    <t>MH27/2526/150789</t>
  </si>
  <si>
    <t>JV/HO/2526/0218</t>
  </si>
  <si>
    <t>GGBS/122/25-26</t>
  </si>
  <si>
    <t>GGBS/124/25-26</t>
  </si>
  <si>
    <t>GGBS/123/25-26</t>
  </si>
  <si>
    <t>GGBS/125/25-26</t>
  </si>
  <si>
    <t>GGBS/126/25-26</t>
  </si>
  <si>
    <t>JV/GOA/2526/0267</t>
  </si>
  <si>
    <t>Feb/2026/26</t>
  </si>
  <si>
    <t>MBI/25-26/35</t>
  </si>
  <si>
    <t>MBI/25-26/36</t>
  </si>
  <si>
    <t>2025-26/127</t>
  </si>
  <si>
    <t>214</t>
  </si>
  <si>
    <t>2526-721</t>
  </si>
  <si>
    <t>2526-710</t>
  </si>
  <si>
    <t>2526-738</t>
  </si>
  <si>
    <t>2526-733</t>
  </si>
  <si>
    <t>2526-732</t>
  </si>
  <si>
    <t>2526-727</t>
  </si>
  <si>
    <t>2526-723</t>
  </si>
  <si>
    <t>15A/03/2026</t>
  </si>
  <si>
    <t>15C/03/2026</t>
  </si>
  <si>
    <t>537</t>
  </si>
  <si>
    <t>DN/MHW/2526/020</t>
  </si>
  <si>
    <t>MPI/25-26/451</t>
  </si>
  <si>
    <t>237</t>
  </si>
  <si>
    <t>Feb-26 Nagpur</t>
  </si>
  <si>
    <t>522</t>
  </si>
  <si>
    <t>521</t>
  </si>
  <si>
    <t>520</t>
  </si>
  <si>
    <t>519A</t>
  </si>
  <si>
    <t>25-26-11</t>
  </si>
  <si>
    <t>PCR6318250001004</t>
  </si>
  <si>
    <t>LCR6318250001403</t>
  </si>
  <si>
    <t>317/25-26</t>
  </si>
  <si>
    <t>316/25-26</t>
  </si>
  <si>
    <t>PRA/25-26/06</t>
  </si>
  <si>
    <t>2138</t>
  </si>
  <si>
    <t>2025-26/FEB076</t>
  </si>
  <si>
    <t>15D/03/2026</t>
  </si>
  <si>
    <t>004/25-26</t>
  </si>
  <si>
    <t>JV/GUJ/2526/0234</t>
  </si>
  <si>
    <t>RPMU/537/25-26</t>
  </si>
  <si>
    <t>1CH25ARMN290</t>
  </si>
  <si>
    <t>6CH25ARMN169</t>
  </si>
  <si>
    <t>1CH25ARMN295</t>
  </si>
  <si>
    <t>1CH25ARMN294</t>
  </si>
  <si>
    <t>1CH25ARMN276</t>
  </si>
  <si>
    <t>JV/HO/2526/0223</t>
  </si>
  <si>
    <t>2KL25ARMN200</t>
  </si>
  <si>
    <t>1PG25ARMN11</t>
  </si>
  <si>
    <t>13HY25ARMN50</t>
  </si>
  <si>
    <t>RND/660/25-26</t>
  </si>
  <si>
    <t>1982701</t>
  </si>
  <si>
    <t>RRBA/ST/UF/016</t>
  </si>
  <si>
    <t>RRBA/ST/UF/017</t>
  </si>
  <si>
    <t>367</t>
  </si>
  <si>
    <t>82/2025-26</t>
  </si>
  <si>
    <t>ULFEB26003</t>
  </si>
  <si>
    <t>DN/MHF/2526/032</t>
  </si>
  <si>
    <t>0750</t>
  </si>
  <si>
    <t>BBY-11408</t>
  </si>
  <si>
    <t>BBY-11410</t>
  </si>
  <si>
    <t>BBY-11409</t>
  </si>
  <si>
    <t>BBY-10895</t>
  </si>
  <si>
    <t>BBY-10894</t>
  </si>
  <si>
    <t>BBY-11413</t>
  </si>
  <si>
    <t>BBY-11412</t>
  </si>
  <si>
    <t>BBY-11418</t>
  </si>
  <si>
    <t>BBY-11415</t>
  </si>
  <si>
    <t>BBY-11414</t>
  </si>
  <si>
    <t>BBY-11416</t>
  </si>
  <si>
    <t>BBY-11411</t>
  </si>
  <si>
    <t>BBY-11417</t>
  </si>
  <si>
    <t>INV193</t>
  </si>
  <si>
    <t>SPL/3350/25-26</t>
  </si>
  <si>
    <t>UMPL/2025-26/072</t>
  </si>
  <si>
    <t>SML-96/2025-26</t>
  </si>
  <si>
    <t>7723</t>
  </si>
  <si>
    <t>SK/76/25-26</t>
  </si>
  <si>
    <t>SK/77/25-26</t>
  </si>
  <si>
    <t>SE/29/2526/00392</t>
  </si>
  <si>
    <t>643</t>
  </si>
  <si>
    <t>651</t>
  </si>
  <si>
    <t>JV/MHN/2526/0140</t>
  </si>
  <si>
    <t>JV/MHN/2526/0141</t>
  </si>
  <si>
    <t>15B/03/2026</t>
  </si>
  <si>
    <t>2025-26/623</t>
  </si>
  <si>
    <t>2025-26/630</t>
  </si>
  <si>
    <t>155</t>
  </si>
  <si>
    <t>DN/WBM/2526/034</t>
  </si>
  <si>
    <t>WBM25260013</t>
  </si>
  <si>
    <t>Ultrafine Mineral &amp; Admixtures (WB) - Crs</t>
  </si>
  <si>
    <t>WBM2526013</t>
  </si>
  <si>
    <t>DLI25BL010655</t>
  </si>
  <si>
    <t>667/25-26</t>
  </si>
  <si>
    <t>2025-26/1467</t>
  </si>
  <si>
    <t>3566</t>
  </si>
  <si>
    <t>170</t>
  </si>
  <si>
    <t>JV/WBM/2526/0143</t>
  </si>
  <si>
    <t>JV/WBA/2526/0120</t>
  </si>
  <si>
    <t>400037029552</t>
  </si>
  <si>
    <t>166</t>
  </si>
  <si>
    <t>2918</t>
  </si>
  <si>
    <t>2916</t>
  </si>
  <si>
    <t>2933</t>
  </si>
  <si>
    <t>2937</t>
  </si>
  <si>
    <t>2938</t>
  </si>
  <si>
    <t>2939</t>
  </si>
  <si>
    <t>2940</t>
  </si>
  <si>
    <t>Overdue by days</t>
  </si>
  <si>
    <t>Row Labels</t>
  </si>
  <si>
    <t>Vendor Name</t>
  </si>
  <si>
    <t>Employee Salary Advance</t>
  </si>
  <si>
    <t>Sales Promotion Expenses Advance Invoice Pending</t>
  </si>
  <si>
    <t>Employee Petty Cash Advance</t>
  </si>
  <si>
    <t>Advance With Vendor Invoice or Refund Required</t>
  </si>
  <si>
    <t>Regular Advance</t>
  </si>
  <si>
    <t>Debit Note Advance</t>
  </si>
  <si>
    <t>BG Issue</t>
  </si>
  <si>
    <t>Capex Advance</t>
  </si>
  <si>
    <t>Invoice Booking Pending</t>
  </si>
  <si>
    <t>Unknown</t>
  </si>
  <si>
    <t>Refundable Advance</t>
  </si>
  <si>
    <t>Capex Advance GST Loss</t>
  </si>
  <si>
    <t>Security Deposit Claim Pending</t>
  </si>
  <si>
    <t xml:space="preserve">Lab Test Invoice Pending to Contact Ashutosh Singh </t>
  </si>
  <si>
    <t xml:space="preserve">Lab Test Invoice Pending to Contact Pramod Shinde </t>
  </si>
  <si>
    <t>Needs to Adjust in Salary Ledger</t>
  </si>
  <si>
    <t>Write Off</t>
  </si>
  <si>
    <t>Adjusted against Kinshar Metals</t>
  </si>
  <si>
    <t>Mistake Payment</t>
  </si>
  <si>
    <t>Lab Test Invoice Pending to Contact Praful Moharle</t>
  </si>
  <si>
    <t>RPT Advance</t>
  </si>
  <si>
    <t>Location</t>
  </si>
  <si>
    <t>Vendor Type</t>
  </si>
  <si>
    <t>Remarks</t>
  </si>
  <si>
    <t>0-30 Days</t>
  </si>
  <si>
    <t>31-60 Days</t>
  </si>
  <si>
    <t>61-90 Days</t>
  </si>
  <si>
    <t>91-120 Days</t>
  </si>
  <si>
    <t>121-150 Days</t>
  </si>
  <si>
    <t>151-180 Days</t>
  </si>
  <si>
    <t>181-360 Days</t>
  </si>
  <si>
    <t>Above 360 Days</t>
  </si>
  <si>
    <t>Plant Owner</t>
  </si>
  <si>
    <t>Raw Material</t>
  </si>
  <si>
    <t>Capex</t>
  </si>
  <si>
    <t>Aggregate</t>
  </si>
  <si>
    <t>Expenses</t>
  </si>
  <si>
    <t>Flyash</t>
  </si>
  <si>
    <t>Insurance</t>
  </si>
  <si>
    <t>Import RM</t>
  </si>
  <si>
    <t>Employee</t>
  </si>
  <si>
    <t>Microsilica</t>
  </si>
  <si>
    <t>Guest House Owner</t>
  </si>
  <si>
    <t>Spares</t>
  </si>
  <si>
    <t>Wada</t>
  </si>
  <si>
    <t>Trading</t>
  </si>
  <si>
    <t>Professional fees</t>
  </si>
  <si>
    <t>Electricity</t>
  </si>
  <si>
    <t>181-365 Days</t>
  </si>
  <si>
    <t>Above 365 Days</t>
  </si>
  <si>
    <t>-</t>
  </si>
  <si>
    <t>New O/s Amt</t>
  </si>
  <si>
    <t>Ageing Bucket</t>
  </si>
  <si>
    <t>Vendor Sub Type</t>
  </si>
  <si>
    <t>Galsi</t>
  </si>
  <si>
    <t>WADA</t>
  </si>
  <si>
    <t>haryana</t>
  </si>
  <si>
    <t>Transportation</t>
  </si>
  <si>
    <t>Transport</t>
  </si>
  <si>
    <t>Store and spare</t>
  </si>
  <si>
    <t>Office Exps</t>
  </si>
  <si>
    <t>JCB Hire Charges</t>
  </si>
  <si>
    <t>Testing and Inspection</t>
  </si>
  <si>
    <t>Rent</t>
  </si>
  <si>
    <t>Repair &amp; Maintenance</t>
  </si>
  <si>
    <t>Loan EMI</t>
  </si>
  <si>
    <t>Contract Labour</t>
  </si>
  <si>
    <t>GGBS</t>
  </si>
  <si>
    <t>Bags</t>
  </si>
  <si>
    <t>Security charges</t>
  </si>
  <si>
    <t>Diesel</t>
  </si>
  <si>
    <t>Commission</t>
  </si>
  <si>
    <t>Sales promotion</t>
  </si>
  <si>
    <t>Cement</t>
  </si>
  <si>
    <t>Intercompany</t>
  </si>
  <si>
    <t>Consultancy</t>
  </si>
  <si>
    <t>Ultarfine</t>
  </si>
  <si>
    <t>Slag</t>
  </si>
  <si>
    <t>Procesing charges</t>
  </si>
  <si>
    <t>Admixture</t>
  </si>
  <si>
    <t>Tally Vendor</t>
  </si>
  <si>
    <t>Claim</t>
  </si>
  <si>
    <t>Preoperative Exps</t>
  </si>
  <si>
    <t>Professional Fees</t>
  </si>
  <si>
    <t>Drying Charges</t>
  </si>
  <si>
    <t>Salaries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</si>
</sst>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43" formatCode="_(* #,##0.00_);_(* \(#,##0.00\);_(* &quot;-&quot;??_);_(@_)"/>
    <numFmt numFmtId="164" formatCode="&quot;&quot;0"/>
    <numFmt numFmtId="165" formatCode="&quot;&quot;0.00"/>
    <numFmt numFmtId="166" formatCode="dd\-mmm\-yy"/>
    <numFmt numFmtId="167" formatCode="&quot;&quot;0.00&quot; Cr&quot;"/>
    <numFmt numFmtId="168" formatCode="&quot;&quot;0.00&quot; Dr&quot;"/>
    <numFmt numFmtId="169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10"/>
      <color indexed="8"/>
      <name val="Arial"/>
      <family val="2"/>
    </font>
    <font>
      <i/>
      <sz val="9"/>
      <color indexed="8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2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NumberFormat="1" applyFont="1" applyFill="1" applyBorder="1" applyAlignment="1" applyProtection="1"/>
    <xf numFmtId="49" fontId="4" fillId="0" borderId="0" xfId="0" applyNumberFormat="1" applyFont="1" applyFill="1" applyBorder="1" applyAlignment="1" applyProtection="1">
      <alignment vertical="top"/>
    </xf>
    <xf numFmtId="49" fontId="2" fillId="0" borderId="2" xfId="0" applyNumberFormat="1" applyFont="1" applyFill="1" applyBorder="1" applyAlignment="1" applyProtection="1">
      <alignment horizontal="left" vertical="top" indent="2"/>
    </xf>
    <xf numFmtId="49" fontId="2" fillId="0" borderId="0" xfId="0" applyNumberFormat="1" applyFont="1" applyFill="1" applyBorder="1" applyAlignment="1" applyProtection="1">
      <alignment horizontal="left" vertical="top" indent="2"/>
    </xf>
    <xf numFmtId="49" fontId="2" fillId="0" borderId="3" xfId="0" applyNumberFormat="1" applyFont="1" applyFill="1" applyBorder="1" applyAlignment="1" applyProtection="1">
      <alignment horizontal="left" vertical="top" indent="2"/>
    </xf>
    <xf numFmtId="49" fontId="2" fillId="0" borderId="5" xfId="0" applyNumberFormat="1" applyFont="1" applyFill="1" applyBorder="1" applyAlignment="1" applyProtection="1">
      <alignment horizontal="left" vertical="top" indent="2"/>
    </xf>
    <xf numFmtId="49" fontId="3" fillId="0" borderId="6" xfId="0" applyNumberFormat="1" applyFont="1" applyFill="1" applyBorder="1" applyAlignment="1" applyProtection="1">
      <alignment horizontal="center" vertical="top"/>
    </xf>
    <xf numFmtId="49" fontId="3" fillId="0" borderId="0" xfId="0" applyNumberFormat="1" applyFont="1" applyFill="1" applyBorder="1" applyAlignment="1" applyProtection="1">
      <alignment vertical="top"/>
    </xf>
    <xf numFmtId="164" fontId="3" fillId="0" borderId="0" xfId="0" applyNumberFormat="1" applyFont="1" applyFill="1" applyBorder="1" applyAlignment="1" applyProtection="1">
      <alignment horizontal="right" vertical="top"/>
    </xf>
    <xf numFmtId="165" fontId="3" fillId="0" borderId="0" xfId="0" applyNumberFormat="1" applyFont="1" applyFill="1" applyBorder="1" applyAlignment="1" applyProtection="1">
      <alignment horizontal="right" vertical="top"/>
    </xf>
    <xf numFmtId="49" fontId="2" fillId="0" borderId="7" xfId="0" applyNumberFormat="1" applyFont="1" applyFill="1" applyBorder="1" applyAlignment="1" applyProtection="1">
      <alignment horizontal="left" vertical="top" indent="2"/>
    </xf>
    <xf numFmtId="165" fontId="2" fillId="0" borderId="7" xfId="0" applyNumberFormat="1" applyFont="1" applyFill="1" applyBorder="1" applyAlignment="1" applyProtection="1">
      <alignment horizontal="right" vertical="top"/>
    </xf>
    <xf numFmtId="0" fontId="4" fillId="0" borderId="0" xfId="0" applyNumberFormat="1" applyFont="1" applyFill="1" applyBorder="1" applyAlignment="1" applyProtection="1">
      <alignment vertical="top"/>
    </xf>
    <xf numFmtId="49" fontId="4" fillId="0" borderId="0" xfId="0" applyNumberFormat="1" applyFont="1" applyFill="1" applyBorder="1" applyAlignment="1" applyProtection="1">
      <alignment vertical="top"/>
    </xf>
    <xf numFmtId="49" fontId="5" fillId="0" borderId="2" xfId="0" applyNumberFormat="1" applyFont="1" applyFill="1" applyBorder="1" applyAlignment="1" applyProtection="1">
      <alignment horizontal="center" vertical="top" wrapText="1"/>
    </xf>
    <xf numFmtId="49" fontId="2" fillId="0" borderId="3" xfId="0" applyNumberFormat="1" applyFont="1" applyFill="1" applyBorder="1" applyAlignment="1" applyProtection="1">
      <alignment horizontal="center" vertical="top" wrapText="1"/>
    </xf>
    <xf numFmtId="49" fontId="2" fillId="0" borderId="0" xfId="0" applyNumberFormat="1" applyFont="1" applyFill="1" applyBorder="1" applyAlignment="1" applyProtection="1">
      <alignment horizontal="center" vertical="top" wrapText="1"/>
    </xf>
    <xf numFmtId="49" fontId="3" fillId="0" borderId="3" xfId="0" applyNumberFormat="1" applyFont="1" applyFill="1" applyBorder="1" applyAlignment="1" applyProtection="1">
      <alignment horizontal="center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49" fontId="2" fillId="0" borderId="4" xfId="0" applyNumberFormat="1" applyFont="1" applyFill="1" applyBorder="1" applyAlignment="1" applyProtection="1">
      <alignment horizontal="center" vertical="top"/>
    </xf>
    <xf numFmtId="49" fontId="2" fillId="0" borderId="2" xfId="0" applyNumberFormat="1" applyFont="1" applyFill="1" applyBorder="1" applyAlignment="1" applyProtection="1">
      <alignment horizontal="center" vertical="top"/>
    </xf>
    <xf numFmtId="49" fontId="6" fillId="0" borderId="0" xfId="0" applyNumberFormat="1" applyFont="1" applyFill="1" applyBorder="1" applyAlignment="1" applyProtection="1">
      <alignment vertical="top"/>
    </xf>
    <xf numFmtId="49" fontId="4" fillId="0" borderId="1" xfId="0" applyNumberFormat="1" applyFont="1" applyFill="1" applyBorder="1" applyAlignment="1" applyProtection="1">
      <alignment vertical="top"/>
    </xf>
    <xf numFmtId="49" fontId="6" fillId="0" borderId="2" xfId="0" applyNumberFormat="1" applyFont="1" applyFill="1" applyBorder="1" applyAlignment="1" applyProtection="1">
      <alignment vertical="top"/>
    </xf>
    <xf numFmtId="49" fontId="7" fillId="0" borderId="0" xfId="0" applyNumberFormat="1" applyFont="1" applyFill="1" applyBorder="1" applyAlignment="1" applyProtection="1">
      <alignment vertical="top"/>
    </xf>
    <xf numFmtId="49" fontId="7" fillId="0" borderId="0" xfId="0" applyNumberFormat="1" applyFont="1" applyFill="1" applyBorder="1" applyAlignment="1" applyProtection="1">
      <alignment horizontal="right" vertical="top"/>
    </xf>
    <xf numFmtId="169" fontId="10" fillId="0" borderId="0" xfId="1" applyNumberFormat="1" applyFont="1"/>
    <xf numFmtId="0" fontId="11" fillId="2" borderId="8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169" fontId="11" fillId="2" borderId="8" xfId="1" applyNumberFormat="1" applyFont="1" applyFill="1" applyBorder="1" applyAlignment="1">
      <alignment horizontal="center"/>
    </xf>
    <xf numFmtId="0" fontId="13" fillId="0" borderId="8" xfId="0" applyFont="1" applyBorder="1" applyAlignment="1">
      <alignment horizontal="left"/>
    </xf>
    <xf numFmtId="169" fontId="13" fillId="0" borderId="8" xfId="1" applyNumberFormat="1" applyFont="1" applyBorder="1"/>
    <xf numFmtId="49" fontId="4" fillId="0" borderId="8" xfId="0" applyNumberFormat="1" applyFont="1" applyFill="1" applyBorder="1" applyAlignment="1" applyProtection="1">
      <alignment horizontal="left" vertical="top" indent="2"/>
    </xf>
    <xf numFmtId="49" fontId="8" fillId="0" borderId="8" xfId="0" applyNumberFormat="1" applyFont="1" applyFill="1" applyBorder="1" applyAlignment="1" applyProtection="1">
      <alignment horizontal="center" vertical="top"/>
    </xf>
    <xf numFmtId="49" fontId="4" fillId="0" borderId="8" xfId="0" applyNumberFormat="1" applyFont="1" applyFill="1" applyBorder="1" applyAlignment="1" applyProtection="1">
      <alignment horizontal="right" vertical="top"/>
    </xf>
    <xf numFmtId="49" fontId="4" fillId="0" borderId="8" xfId="0" applyNumberFormat="1" applyFont="1" applyFill="1" applyBorder="1" applyAlignment="1" applyProtection="1">
      <alignment vertical="top"/>
    </xf>
    <xf numFmtId="167" fontId="4" fillId="0" borderId="8" xfId="0" applyNumberFormat="1" applyFont="1" applyFill="1" applyBorder="1" applyAlignment="1" applyProtection="1">
      <alignment horizontal="right" vertical="top"/>
    </xf>
    <xf numFmtId="166" fontId="4" fillId="0" borderId="8" xfId="0" applyNumberFormat="1" applyFont="1" applyFill="1" applyBorder="1" applyAlignment="1" applyProtection="1">
      <alignment horizontal="right" vertical="top"/>
    </xf>
    <xf numFmtId="168" fontId="4" fillId="0" borderId="8" xfId="0" applyNumberFormat="1" applyFont="1" applyFill="1" applyBorder="1" applyAlignment="1" applyProtection="1">
      <alignment horizontal="right" vertical="top"/>
    </xf>
    <xf numFmtId="167" fontId="7" fillId="0" borderId="8" xfId="0" applyNumberFormat="1" applyFont="1" applyFill="1" applyBorder="1" applyAlignment="1" applyProtection="1">
      <alignment horizontal="right" vertical="top"/>
    </xf>
    <xf numFmtId="15" fontId="4" fillId="0" borderId="0" xfId="0" applyNumberFormat="1" applyFont="1" applyFill="1" applyBorder="1" applyAlignment="1" applyProtection="1">
      <alignment vertical="top"/>
    </xf>
    <xf numFmtId="0" fontId="4" fillId="0" borderId="8" xfId="0" applyNumberFormat="1" applyFont="1" applyFill="1" applyBorder="1" applyAlignment="1" applyProtection="1">
      <alignment horizontal="right" vertical="top"/>
    </xf>
    <xf numFmtId="0" fontId="4" fillId="0" borderId="8" xfId="0" applyNumberFormat="1" applyFont="1" applyFill="1" applyBorder="1" applyAlignment="1" applyProtection="1"/>
    <xf numFmtId="0" fontId="0" fillId="0" borderId="8" xfId="0" applyBorder="1" applyAlignment="1">
      <alignment horizontal="left"/>
    </xf>
    <xf numFmtId="0" fontId="0" fillId="0" borderId="8" xfId="0" applyNumberFormat="1" applyBorder="1"/>
    <xf numFmtId="0" fontId="10" fillId="0" borderId="8" xfId="0" applyFont="1" applyBorder="1" applyAlignment="1">
      <alignment horizontal="left"/>
    </xf>
    <xf numFmtId="0" fontId="0" fillId="3" borderId="8" xfId="0" applyFill="1" applyBorder="1"/>
    <xf numFmtId="169" fontId="10" fillId="0" borderId="8" xfId="1" applyNumberFormat="1" applyFont="1" applyBorder="1"/>
    <xf numFmtId="0" fontId="12" fillId="3" borderId="8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3"/>
  <sheetViews>
    <sheetView tabSelected="1" workbookViewId="0">
      <selection sqref="A1:C1"/>
    </sheetView>
  </sheetViews>
  <sheetFormatPr defaultRowHeight="15" x14ac:dyDescent="0.25"/>
  <cols>
    <col min="1" max="1" width="55.85546875" style="1" bestFit="1" customWidth="1"/>
    <col min="2" max="2" width="11.42578125" style="1" bestFit="1" customWidth="1"/>
    <col min="3" max="3" width="12.42578125" style="1" bestFit="1" customWidth="1"/>
    <col min="4" max="16384" width="9.140625" style="1"/>
  </cols>
  <sheetData>
    <row r="1" spans="1:3" ht="15.75" x14ac:dyDescent="0.25">
      <c r="A1" s="22" t="s">
        <v>0</v>
      </c>
      <c r="B1" s="22"/>
      <c r="C1" s="22"/>
    </row>
    <row r="2" spans="1:3" x14ac:dyDescent="0.25">
      <c r="A2" s="14" t="s">
        <v>1</v>
      </c>
      <c r="B2" s="14"/>
      <c r="C2" s="14"/>
    </row>
    <row r="3" spans="1:3" x14ac:dyDescent="0.25">
      <c r="A3" s="14" t="s">
        <v>2</v>
      </c>
      <c r="B3" s="14"/>
      <c r="C3" s="14"/>
    </row>
    <row r="4" spans="1:3" x14ac:dyDescent="0.25">
      <c r="A4" s="14" t="s">
        <v>3</v>
      </c>
      <c r="B4" s="14"/>
      <c r="C4" s="14"/>
    </row>
    <row r="5" spans="1:3" x14ac:dyDescent="0.25">
      <c r="A5" s="23" t="s">
        <v>4</v>
      </c>
      <c r="B5" s="23"/>
      <c r="C5" s="23"/>
    </row>
    <row r="6" spans="1:3" ht="15.75" x14ac:dyDescent="0.25">
      <c r="A6" s="24" t="s">
        <v>5</v>
      </c>
      <c r="B6" s="24"/>
      <c r="C6" s="24"/>
    </row>
    <row r="7" spans="1:3" x14ac:dyDescent="0.25">
      <c r="A7" s="14" t="s">
        <v>6</v>
      </c>
      <c r="B7" s="14"/>
      <c r="C7" s="14"/>
    </row>
    <row r="8" spans="1:3" x14ac:dyDescent="0.25">
      <c r="A8" s="14" t="s">
        <v>7</v>
      </c>
      <c r="B8" s="14"/>
      <c r="C8" s="14"/>
    </row>
    <row r="9" spans="1:3" x14ac:dyDescent="0.25">
      <c r="A9" s="3" t="s">
        <v>8</v>
      </c>
      <c r="B9" s="15" t="s">
        <v>5</v>
      </c>
      <c r="C9" s="15"/>
    </row>
    <row r="10" spans="1:3" x14ac:dyDescent="0.25">
      <c r="A10" s="4" t="s">
        <v>8</v>
      </c>
      <c r="B10" s="16" t="s">
        <v>0</v>
      </c>
      <c r="C10" s="17"/>
    </row>
    <row r="11" spans="1:3" x14ac:dyDescent="0.25">
      <c r="A11" s="5" t="s">
        <v>9</v>
      </c>
      <c r="B11" s="18" t="s">
        <v>7</v>
      </c>
      <c r="C11" s="19"/>
    </row>
    <row r="12" spans="1:3" x14ac:dyDescent="0.25">
      <c r="A12" s="5" t="s">
        <v>8</v>
      </c>
      <c r="B12" s="20" t="s">
        <v>10</v>
      </c>
      <c r="C12" s="21"/>
    </row>
    <row r="13" spans="1:3" x14ac:dyDescent="0.25">
      <c r="A13" s="6" t="s">
        <v>1771</v>
      </c>
      <c r="B13" s="7" t="s">
        <v>11</v>
      </c>
      <c r="C13" s="7" t="s">
        <v>12</v>
      </c>
    </row>
    <row r="14" spans="1:3" x14ac:dyDescent="0.25">
      <c r="A14" s="8" t="s">
        <v>13</v>
      </c>
      <c r="B14" s="9"/>
      <c r="C14" s="10">
        <v>151788</v>
      </c>
    </row>
    <row r="15" spans="1:3" x14ac:dyDescent="0.25">
      <c r="A15" s="8" t="s">
        <v>14</v>
      </c>
      <c r="B15" s="10">
        <v>8500</v>
      </c>
      <c r="C15" s="9"/>
    </row>
    <row r="16" spans="1:3" x14ac:dyDescent="0.25">
      <c r="A16" s="8" t="s">
        <v>15</v>
      </c>
      <c r="B16" s="9"/>
      <c r="C16" s="10">
        <v>44840</v>
      </c>
    </row>
    <row r="17" spans="1:3" x14ac:dyDescent="0.25">
      <c r="A17" s="8" t="s">
        <v>16</v>
      </c>
      <c r="B17" s="9"/>
      <c r="C17" s="10">
        <v>85266.8</v>
      </c>
    </row>
    <row r="18" spans="1:3" x14ac:dyDescent="0.25">
      <c r="A18" s="8" t="s">
        <v>17</v>
      </c>
      <c r="B18" s="9"/>
      <c r="C18" s="10">
        <v>1166477.6599999999</v>
      </c>
    </row>
    <row r="19" spans="1:3" x14ac:dyDescent="0.25">
      <c r="A19" s="8" t="s">
        <v>18</v>
      </c>
      <c r="B19" s="9"/>
      <c r="C19" s="10">
        <v>48545</v>
      </c>
    </row>
    <row r="20" spans="1:3" x14ac:dyDescent="0.25">
      <c r="A20" s="8" t="s">
        <v>19</v>
      </c>
      <c r="B20" s="9"/>
      <c r="C20" s="10">
        <v>78840</v>
      </c>
    </row>
    <row r="21" spans="1:3" x14ac:dyDescent="0.25">
      <c r="A21" s="8" t="s">
        <v>20</v>
      </c>
      <c r="B21" s="9"/>
      <c r="C21" s="10">
        <v>52675.199999999997</v>
      </c>
    </row>
    <row r="22" spans="1:3" x14ac:dyDescent="0.25">
      <c r="A22" s="8" t="s">
        <v>21</v>
      </c>
      <c r="B22" s="9"/>
      <c r="C22" s="10">
        <v>300000.02</v>
      </c>
    </row>
    <row r="23" spans="1:3" x14ac:dyDescent="0.25">
      <c r="A23" s="8" t="s">
        <v>22</v>
      </c>
      <c r="B23" s="9"/>
      <c r="C23" s="10">
        <v>72552</v>
      </c>
    </row>
    <row r="24" spans="1:3" x14ac:dyDescent="0.25">
      <c r="A24" s="8" t="s">
        <v>23</v>
      </c>
      <c r="B24" s="9"/>
      <c r="C24" s="10">
        <v>211798.2</v>
      </c>
    </row>
    <row r="25" spans="1:3" x14ac:dyDescent="0.25">
      <c r="A25" s="8" t="s">
        <v>24</v>
      </c>
      <c r="B25" s="9"/>
      <c r="C25" s="10">
        <v>120</v>
      </c>
    </row>
    <row r="26" spans="1:3" x14ac:dyDescent="0.25">
      <c r="A26" s="8" t="s">
        <v>25</v>
      </c>
      <c r="B26" s="9"/>
      <c r="C26" s="10">
        <v>37189.599999999999</v>
      </c>
    </row>
    <row r="27" spans="1:3" x14ac:dyDescent="0.25">
      <c r="A27" s="8" t="s">
        <v>26</v>
      </c>
      <c r="B27" s="9"/>
      <c r="C27" s="10">
        <v>5925589.2699999996</v>
      </c>
    </row>
    <row r="28" spans="1:3" x14ac:dyDescent="0.25">
      <c r="A28" s="8" t="s">
        <v>27</v>
      </c>
      <c r="B28" s="9"/>
      <c r="C28" s="10">
        <v>28136</v>
      </c>
    </row>
    <row r="29" spans="1:3" x14ac:dyDescent="0.25">
      <c r="A29" s="8" t="s">
        <v>28</v>
      </c>
      <c r="B29" s="10">
        <v>585535.78</v>
      </c>
      <c r="C29" s="9"/>
    </row>
    <row r="30" spans="1:3" x14ac:dyDescent="0.25">
      <c r="A30" s="8" t="s">
        <v>29</v>
      </c>
      <c r="B30" s="9"/>
      <c r="C30" s="10">
        <v>8640</v>
      </c>
    </row>
    <row r="31" spans="1:3" x14ac:dyDescent="0.25">
      <c r="A31" s="8" t="s">
        <v>30</v>
      </c>
      <c r="B31" s="9"/>
      <c r="C31" s="10">
        <v>480870.08</v>
      </c>
    </row>
    <row r="32" spans="1:3" x14ac:dyDescent="0.25">
      <c r="A32" s="8" t="s">
        <v>31</v>
      </c>
      <c r="B32" s="9"/>
      <c r="C32" s="10">
        <v>3000</v>
      </c>
    </row>
    <row r="33" spans="1:3" x14ac:dyDescent="0.25">
      <c r="A33" s="8" t="s">
        <v>32</v>
      </c>
      <c r="B33" s="9"/>
      <c r="C33" s="10">
        <v>7078495.5899999999</v>
      </c>
    </row>
    <row r="34" spans="1:3" x14ac:dyDescent="0.25">
      <c r="A34" s="8" t="s">
        <v>33</v>
      </c>
      <c r="B34" s="10">
        <v>163127.04000000001</v>
      </c>
      <c r="C34" s="9"/>
    </row>
    <row r="35" spans="1:3" x14ac:dyDescent="0.25">
      <c r="A35" s="8" t="s">
        <v>34</v>
      </c>
      <c r="B35" s="10">
        <v>3570</v>
      </c>
      <c r="C35" s="9"/>
    </row>
    <row r="36" spans="1:3" x14ac:dyDescent="0.25">
      <c r="A36" s="8" t="s">
        <v>35</v>
      </c>
      <c r="B36" s="9"/>
      <c r="C36" s="10">
        <v>1191092.01</v>
      </c>
    </row>
    <row r="37" spans="1:3" x14ac:dyDescent="0.25">
      <c r="A37" s="8" t="s">
        <v>36</v>
      </c>
      <c r="B37" s="9"/>
      <c r="C37" s="10">
        <v>2847566.66</v>
      </c>
    </row>
    <row r="38" spans="1:3" x14ac:dyDescent="0.25">
      <c r="A38" s="8" t="s">
        <v>37</v>
      </c>
      <c r="B38" s="10">
        <v>671500</v>
      </c>
      <c r="C38" s="9"/>
    </row>
    <row r="39" spans="1:3" x14ac:dyDescent="0.25">
      <c r="A39" s="8" t="s">
        <v>38</v>
      </c>
      <c r="B39" s="9"/>
      <c r="C39" s="10">
        <v>280.02</v>
      </c>
    </row>
    <row r="40" spans="1:3" x14ac:dyDescent="0.25">
      <c r="A40" s="8" t="s">
        <v>39</v>
      </c>
      <c r="B40" s="9"/>
      <c r="C40" s="10">
        <v>284882</v>
      </c>
    </row>
    <row r="41" spans="1:3" x14ac:dyDescent="0.25">
      <c r="A41" s="8" t="s">
        <v>40</v>
      </c>
      <c r="B41" s="9"/>
      <c r="C41" s="10">
        <v>12180301.199999999</v>
      </c>
    </row>
    <row r="42" spans="1:3" x14ac:dyDescent="0.25">
      <c r="A42" s="8" t="s">
        <v>41</v>
      </c>
      <c r="B42" s="9"/>
      <c r="C42" s="10">
        <v>142884</v>
      </c>
    </row>
    <row r="43" spans="1:3" x14ac:dyDescent="0.25">
      <c r="A43" s="8" t="s">
        <v>42</v>
      </c>
      <c r="B43" s="10">
        <v>250000</v>
      </c>
      <c r="C43" s="9"/>
    </row>
    <row r="44" spans="1:3" x14ac:dyDescent="0.25">
      <c r="A44" s="8" t="s">
        <v>43</v>
      </c>
      <c r="B44" s="9"/>
      <c r="C44" s="10">
        <v>903630</v>
      </c>
    </row>
    <row r="45" spans="1:3" x14ac:dyDescent="0.25">
      <c r="A45" s="8" t="s">
        <v>44</v>
      </c>
      <c r="B45" s="9"/>
      <c r="C45" s="10">
        <v>488555.92</v>
      </c>
    </row>
    <row r="46" spans="1:3" x14ac:dyDescent="0.25">
      <c r="A46" s="8" t="s">
        <v>45</v>
      </c>
      <c r="B46" s="9"/>
      <c r="C46" s="10">
        <v>86725</v>
      </c>
    </row>
    <row r="47" spans="1:3" x14ac:dyDescent="0.25">
      <c r="A47" s="8" t="s">
        <v>46</v>
      </c>
      <c r="B47" s="9"/>
      <c r="C47" s="10">
        <v>723057.6</v>
      </c>
    </row>
    <row r="48" spans="1:3" x14ac:dyDescent="0.25">
      <c r="A48" s="8" t="s">
        <v>47</v>
      </c>
      <c r="B48" s="9"/>
      <c r="C48" s="10">
        <v>2590.1</v>
      </c>
    </row>
    <row r="49" spans="1:3" x14ac:dyDescent="0.25">
      <c r="A49" s="8" t="s">
        <v>48</v>
      </c>
      <c r="B49" s="9"/>
      <c r="C49" s="10">
        <v>8000</v>
      </c>
    </row>
    <row r="50" spans="1:3" x14ac:dyDescent="0.25">
      <c r="A50" s="8" t="s">
        <v>49</v>
      </c>
      <c r="B50" s="9"/>
      <c r="C50" s="10">
        <v>1703640.08</v>
      </c>
    </row>
    <row r="51" spans="1:3" x14ac:dyDescent="0.25">
      <c r="A51" s="8" t="s">
        <v>50</v>
      </c>
      <c r="B51" s="9"/>
      <c r="C51" s="10">
        <v>766855.8</v>
      </c>
    </row>
    <row r="52" spans="1:3" x14ac:dyDescent="0.25">
      <c r="A52" s="8" t="s">
        <v>51</v>
      </c>
      <c r="B52" s="9"/>
      <c r="C52" s="10">
        <v>1753376.62</v>
      </c>
    </row>
    <row r="53" spans="1:3" x14ac:dyDescent="0.25">
      <c r="A53" s="8" t="s">
        <v>52</v>
      </c>
      <c r="B53" s="9"/>
      <c r="C53" s="10">
        <v>6000</v>
      </c>
    </row>
    <row r="54" spans="1:3" x14ac:dyDescent="0.25">
      <c r="A54" s="8" t="s">
        <v>53</v>
      </c>
      <c r="B54" s="9"/>
      <c r="C54" s="10">
        <v>154991.81</v>
      </c>
    </row>
    <row r="55" spans="1:3" x14ac:dyDescent="0.25">
      <c r="A55" s="8" t="s">
        <v>54</v>
      </c>
      <c r="B55" s="9"/>
      <c r="C55" s="10">
        <v>1029929.48</v>
      </c>
    </row>
    <row r="56" spans="1:3" x14ac:dyDescent="0.25">
      <c r="A56" s="8" t="s">
        <v>55</v>
      </c>
      <c r="B56" s="10">
        <v>24999.599999999999</v>
      </c>
      <c r="C56" s="9"/>
    </row>
    <row r="57" spans="1:3" x14ac:dyDescent="0.25">
      <c r="A57" s="8" t="s">
        <v>56</v>
      </c>
      <c r="B57" s="9"/>
      <c r="C57" s="10">
        <v>399959.5</v>
      </c>
    </row>
    <row r="58" spans="1:3" x14ac:dyDescent="0.25">
      <c r="A58" s="8" t="s">
        <v>57</v>
      </c>
      <c r="B58" s="10">
        <v>14632</v>
      </c>
      <c r="C58" s="9"/>
    </row>
    <row r="59" spans="1:3" x14ac:dyDescent="0.25">
      <c r="A59" s="8" t="s">
        <v>58</v>
      </c>
      <c r="B59" s="9"/>
      <c r="C59" s="10">
        <v>83900</v>
      </c>
    </row>
    <row r="60" spans="1:3" x14ac:dyDescent="0.25">
      <c r="A60" s="8" t="s">
        <v>59</v>
      </c>
      <c r="B60" s="9"/>
      <c r="C60" s="10">
        <v>10584</v>
      </c>
    </row>
    <row r="61" spans="1:3" x14ac:dyDescent="0.25">
      <c r="A61" s="8" t="s">
        <v>60</v>
      </c>
      <c r="B61" s="9"/>
      <c r="C61" s="10">
        <v>40254</v>
      </c>
    </row>
    <row r="62" spans="1:3" x14ac:dyDescent="0.25">
      <c r="A62" s="8" t="s">
        <v>61</v>
      </c>
      <c r="B62" s="9"/>
      <c r="C62" s="10">
        <v>141231.72</v>
      </c>
    </row>
    <row r="63" spans="1:3" x14ac:dyDescent="0.25">
      <c r="A63" s="8" t="s">
        <v>62</v>
      </c>
      <c r="B63" s="9"/>
      <c r="C63" s="10">
        <v>6214357</v>
      </c>
    </row>
    <row r="64" spans="1:3" x14ac:dyDescent="0.25">
      <c r="A64" s="8" t="s">
        <v>63</v>
      </c>
      <c r="B64" s="9"/>
      <c r="C64" s="10">
        <v>8994190.0999999996</v>
      </c>
    </row>
    <row r="65" spans="1:3" x14ac:dyDescent="0.25">
      <c r="A65" s="8" t="s">
        <v>64</v>
      </c>
      <c r="B65" s="9"/>
      <c r="C65" s="10">
        <v>23463.32</v>
      </c>
    </row>
    <row r="66" spans="1:3" x14ac:dyDescent="0.25">
      <c r="A66" s="8" t="s">
        <v>65</v>
      </c>
      <c r="B66" s="9"/>
      <c r="C66" s="10">
        <v>2710552.2</v>
      </c>
    </row>
    <row r="67" spans="1:3" x14ac:dyDescent="0.25">
      <c r="A67" s="8" t="s">
        <v>66</v>
      </c>
      <c r="B67" s="9"/>
      <c r="C67" s="10">
        <v>151040</v>
      </c>
    </row>
    <row r="68" spans="1:3" x14ac:dyDescent="0.25">
      <c r="A68" s="8" t="s">
        <v>67</v>
      </c>
      <c r="B68" s="9"/>
      <c r="C68" s="10">
        <v>10000</v>
      </c>
    </row>
    <row r="69" spans="1:3" x14ac:dyDescent="0.25">
      <c r="A69" s="8" t="s">
        <v>68</v>
      </c>
      <c r="B69" s="9"/>
      <c r="C69" s="10">
        <v>3000</v>
      </c>
    </row>
    <row r="70" spans="1:3" x14ac:dyDescent="0.25">
      <c r="A70" s="8" t="s">
        <v>69</v>
      </c>
      <c r="B70" s="10">
        <v>13962953.220000001</v>
      </c>
      <c r="C70" s="9"/>
    </row>
    <row r="71" spans="1:3" x14ac:dyDescent="0.25">
      <c r="A71" s="8" t="s">
        <v>70</v>
      </c>
      <c r="B71" s="9"/>
      <c r="C71" s="10">
        <v>720600.36</v>
      </c>
    </row>
    <row r="72" spans="1:3" x14ac:dyDescent="0.25">
      <c r="A72" s="8" t="s">
        <v>71</v>
      </c>
      <c r="B72" s="9"/>
      <c r="C72" s="10">
        <v>8756</v>
      </c>
    </row>
    <row r="73" spans="1:3" x14ac:dyDescent="0.25">
      <c r="A73" s="8" t="s">
        <v>72</v>
      </c>
      <c r="B73" s="9"/>
      <c r="C73" s="10">
        <v>1094616</v>
      </c>
    </row>
    <row r="74" spans="1:3" x14ac:dyDescent="0.25">
      <c r="A74" s="8" t="s">
        <v>73</v>
      </c>
      <c r="B74" s="9"/>
      <c r="C74" s="10">
        <v>132805.28</v>
      </c>
    </row>
    <row r="75" spans="1:3" x14ac:dyDescent="0.25">
      <c r="A75" s="8" t="s">
        <v>74</v>
      </c>
      <c r="B75" s="9"/>
      <c r="C75" s="10">
        <v>21476</v>
      </c>
    </row>
    <row r="76" spans="1:3" x14ac:dyDescent="0.25">
      <c r="A76" s="8" t="s">
        <v>75</v>
      </c>
      <c r="B76" s="9"/>
      <c r="C76" s="10">
        <v>72088.2</v>
      </c>
    </row>
    <row r="77" spans="1:3" x14ac:dyDescent="0.25">
      <c r="A77" s="8" t="s">
        <v>76</v>
      </c>
      <c r="B77" s="10">
        <v>1328410</v>
      </c>
      <c r="C77" s="9"/>
    </row>
    <row r="78" spans="1:3" x14ac:dyDescent="0.25">
      <c r="A78" s="8" t="s">
        <v>77</v>
      </c>
      <c r="B78" s="9"/>
      <c r="C78" s="10">
        <v>3480</v>
      </c>
    </row>
    <row r="79" spans="1:3" x14ac:dyDescent="0.25">
      <c r="A79" s="8" t="s">
        <v>78</v>
      </c>
      <c r="B79" s="9"/>
      <c r="C79" s="10">
        <v>15387.3</v>
      </c>
    </row>
    <row r="80" spans="1:3" x14ac:dyDescent="0.25">
      <c r="A80" s="8" t="s">
        <v>79</v>
      </c>
      <c r="B80" s="9"/>
      <c r="C80" s="10">
        <v>18275</v>
      </c>
    </row>
    <row r="81" spans="1:3" x14ac:dyDescent="0.25">
      <c r="A81" s="8" t="s">
        <v>80</v>
      </c>
      <c r="B81" s="9"/>
      <c r="C81" s="10">
        <v>305835</v>
      </c>
    </row>
    <row r="82" spans="1:3" x14ac:dyDescent="0.25">
      <c r="A82" s="8" t="s">
        <v>81</v>
      </c>
      <c r="B82" s="9"/>
      <c r="C82" s="10">
        <v>12347769.26</v>
      </c>
    </row>
    <row r="83" spans="1:3" x14ac:dyDescent="0.25">
      <c r="A83" s="8" t="s">
        <v>82</v>
      </c>
      <c r="B83" s="10">
        <v>52675.88</v>
      </c>
      <c r="C83" s="9"/>
    </row>
    <row r="84" spans="1:3" x14ac:dyDescent="0.25">
      <c r="A84" s="8" t="s">
        <v>83</v>
      </c>
      <c r="B84" s="9"/>
      <c r="C84" s="10">
        <v>637613.98</v>
      </c>
    </row>
    <row r="85" spans="1:3" x14ac:dyDescent="0.25">
      <c r="A85" s="8" t="s">
        <v>84</v>
      </c>
      <c r="B85" s="9"/>
      <c r="C85" s="10">
        <v>1580000</v>
      </c>
    </row>
    <row r="86" spans="1:3" x14ac:dyDescent="0.25">
      <c r="A86" s="8" t="s">
        <v>85</v>
      </c>
      <c r="B86" s="9"/>
      <c r="C86" s="10">
        <v>438491</v>
      </c>
    </row>
    <row r="87" spans="1:3" x14ac:dyDescent="0.25">
      <c r="A87" s="8" t="s">
        <v>86</v>
      </c>
      <c r="B87" s="9"/>
      <c r="C87" s="10">
        <v>284053.5</v>
      </c>
    </row>
    <row r="88" spans="1:3" x14ac:dyDescent="0.25">
      <c r="A88" s="8" t="s">
        <v>87</v>
      </c>
      <c r="B88" s="9"/>
      <c r="C88" s="10">
        <v>20000</v>
      </c>
    </row>
    <row r="89" spans="1:3" x14ac:dyDescent="0.25">
      <c r="A89" s="8" t="s">
        <v>88</v>
      </c>
      <c r="B89" s="9"/>
      <c r="C89" s="10">
        <v>22375.81</v>
      </c>
    </row>
    <row r="90" spans="1:3" x14ac:dyDescent="0.25">
      <c r="A90" s="8" t="s">
        <v>89</v>
      </c>
      <c r="B90" s="10">
        <v>581250</v>
      </c>
      <c r="C90" s="9"/>
    </row>
    <row r="91" spans="1:3" x14ac:dyDescent="0.25">
      <c r="A91" s="8" t="s">
        <v>90</v>
      </c>
      <c r="B91" s="9"/>
      <c r="C91" s="10">
        <v>1800000</v>
      </c>
    </row>
    <row r="92" spans="1:3" x14ac:dyDescent="0.25">
      <c r="A92" s="8" t="s">
        <v>91</v>
      </c>
      <c r="B92" s="9"/>
      <c r="C92" s="10">
        <v>238124</v>
      </c>
    </row>
    <row r="93" spans="1:3" x14ac:dyDescent="0.25">
      <c r="A93" s="8" t="s">
        <v>92</v>
      </c>
      <c r="B93" s="10">
        <v>635583</v>
      </c>
      <c r="C93" s="9"/>
    </row>
    <row r="94" spans="1:3" x14ac:dyDescent="0.25">
      <c r="A94" s="8" t="s">
        <v>93</v>
      </c>
      <c r="B94" s="10">
        <v>44055</v>
      </c>
      <c r="C94" s="9"/>
    </row>
    <row r="95" spans="1:3" x14ac:dyDescent="0.25">
      <c r="A95" s="8" t="s">
        <v>94</v>
      </c>
      <c r="B95" s="10">
        <v>2331.9699999999998</v>
      </c>
      <c r="C95" s="9"/>
    </row>
    <row r="96" spans="1:3" x14ac:dyDescent="0.25">
      <c r="A96" s="8" t="s">
        <v>95</v>
      </c>
      <c r="B96" s="9"/>
      <c r="C96" s="10">
        <v>287496</v>
      </c>
    </row>
    <row r="97" spans="1:3" x14ac:dyDescent="0.25">
      <c r="A97" s="8" t="s">
        <v>96</v>
      </c>
      <c r="B97" s="9"/>
      <c r="C97" s="10">
        <v>362778.22</v>
      </c>
    </row>
    <row r="98" spans="1:3" x14ac:dyDescent="0.25">
      <c r="A98" s="8" t="s">
        <v>97</v>
      </c>
      <c r="B98" s="10">
        <v>804</v>
      </c>
      <c r="C98" s="9"/>
    </row>
    <row r="99" spans="1:3" x14ac:dyDescent="0.25">
      <c r="A99" s="8" t="s">
        <v>98</v>
      </c>
      <c r="B99" s="9"/>
      <c r="C99" s="10">
        <v>1831352</v>
      </c>
    </row>
    <row r="100" spans="1:3" x14ac:dyDescent="0.25">
      <c r="A100" s="8" t="s">
        <v>99</v>
      </c>
      <c r="B100" s="9"/>
      <c r="C100" s="10">
        <v>5934541.8600000003</v>
      </c>
    </row>
    <row r="101" spans="1:3" x14ac:dyDescent="0.25">
      <c r="A101" s="8" t="s">
        <v>100</v>
      </c>
      <c r="B101" s="10">
        <v>19032.8</v>
      </c>
      <c r="C101" s="9"/>
    </row>
    <row r="102" spans="1:3" x14ac:dyDescent="0.25">
      <c r="A102" s="8" t="s">
        <v>101</v>
      </c>
      <c r="B102" s="9"/>
      <c r="C102" s="10">
        <v>1710410</v>
      </c>
    </row>
    <row r="103" spans="1:3" x14ac:dyDescent="0.25">
      <c r="A103" s="8" t="s">
        <v>102</v>
      </c>
      <c r="B103" s="9"/>
      <c r="C103" s="10">
        <v>9280</v>
      </c>
    </row>
    <row r="104" spans="1:3" x14ac:dyDescent="0.25">
      <c r="A104" s="8" t="s">
        <v>103</v>
      </c>
      <c r="B104" s="10">
        <v>551204.69999999995</v>
      </c>
      <c r="C104" s="9"/>
    </row>
    <row r="105" spans="1:3" x14ac:dyDescent="0.25">
      <c r="A105" s="8" t="s">
        <v>104</v>
      </c>
      <c r="B105" s="9"/>
      <c r="C105" s="10">
        <v>7972.88</v>
      </c>
    </row>
    <row r="106" spans="1:3" x14ac:dyDescent="0.25">
      <c r="A106" s="8" t="s">
        <v>105</v>
      </c>
      <c r="B106" s="9"/>
      <c r="C106" s="10">
        <v>0.44</v>
      </c>
    </row>
    <row r="107" spans="1:3" x14ac:dyDescent="0.25">
      <c r="A107" s="8" t="s">
        <v>106</v>
      </c>
      <c r="B107" s="9"/>
      <c r="C107" s="10">
        <v>69890</v>
      </c>
    </row>
    <row r="108" spans="1:3" x14ac:dyDescent="0.25">
      <c r="A108" s="8" t="s">
        <v>107</v>
      </c>
      <c r="B108" s="9"/>
      <c r="C108" s="10">
        <v>5664</v>
      </c>
    </row>
    <row r="109" spans="1:3" x14ac:dyDescent="0.25">
      <c r="A109" s="8" t="s">
        <v>108</v>
      </c>
      <c r="B109" s="10">
        <v>4692357</v>
      </c>
      <c r="C109" s="9"/>
    </row>
    <row r="110" spans="1:3" x14ac:dyDescent="0.25">
      <c r="A110" s="8" t="s">
        <v>109</v>
      </c>
      <c r="B110" s="9"/>
      <c r="C110" s="10">
        <v>909849.5</v>
      </c>
    </row>
    <row r="111" spans="1:3" x14ac:dyDescent="0.25">
      <c r="A111" s="8" t="s">
        <v>110</v>
      </c>
      <c r="B111" s="9"/>
      <c r="C111" s="10">
        <v>18000</v>
      </c>
    </row>
    <row r="112" spans="1:3" x14ac:dyDescent="0.25">
      <c r="A112" s="8" t="s">
        <v>111</v>
      </c>
      <c r="B112" s="10">
        <v>653396</v>
      </c>
      <c r="C112" s="9"/>
    </row>
    <row r="113" spans="1:3" x14ac:dyDescent="0.25">
      <c r="A113" s="8" t="s">
        <v>112</v>
      </c>
      <c r="B113" s="9"/>
      <c r="C113" s="10">
        <v>70595.399999999994</v>
      </c>
    </row>
    <row r="114" spans="1:3" x14ac:dyDescent="0.25">
      <c r="A114" s="8" t="s">
        <v>113</v>
      </c>
      <c r="B114" s="9"/>
      <c r="C114" s="10">
        <v>1287520</v>
      </c>
    </row>
    <row r="115" spans="1:3" x14ac:dyDescent="0.25">
      <c r="A115" s="8" t="s">
        <v>114</v>
      </c>
      <c r="B115" s="9"/>
      <c r="C115" s="10">
        <v>64139</v>
      </c>
    </row>
    <row r="116" spans="1:3" x14ac:dyDescent="0.25">
      <c r="A116" s="8" t="s">
        <v>115</v>
      </c>
      <c r="B116" s="9"/>
      <c r="C116" s="10">
        <v>27453.599999999999</v>
      </c>
    </row>
    <row r="117" spans="1:3" x14ac:dyDescent="0.25">
      <c r="A117" s="8" t="s">
        <v>116</v>
      </c>
      <c r="B117" s="9"/>
      <c r="C117" s="10">
        <v>37522.15</v>
      </c>
    </row>
    <row r="118" spans="1:3" x14ac:dyDescent="0.25">
      <c r="A118" s="8" t="s">
        <v>117</v>
      </c>
      <c r="B118" s="9"/>
      <c r="C118" s="10">
        <v>92941</v>
      </c>
    </row>
    <row r="119" spans="1:3" x14ac:dyDescent="0.25">
      <c r="A119" s="8" t="s">
        <v>118</v>
      </c>
      <c r="B119" s="9"/>
      <c r="C119" s="10">
        <v>24300</v>
      </c>
    </row>
    <row r="120" spans="1:3" x14ac:dyDescent="0.25">
      <c r="A120" s="8" t="s">
        <v>119</v>
      </c>
      <c r="B120" s="9"/>
      <c r="C120" s="10">
        <v>776875</v>
      </c>
    </row>
    <row r="121" spans="1:3" x14ac:dyDescent="0.25">
      <c r="A121" s="8" t="s">
        <v>120</v>
      </c>
      <c r="B121" s="9"/>
      <c r="C121" s="10">
        <v>1000725</v>
      </c>
    </row>
    <row r="122" spans="1:3" x14ac:dyDescent="0.25">
      <c r="A122" s="8" t="s">
        <v>121</v>
      </c>
      <c r="B122" s="9"/>
      <c r="C122" s="10">
        <v>34900.199999999997</v>
      </c>
    </row>
    <row r="123" spans="1:3" x14ac:dyDescent="0.25">
      <c r="A123" s="8" t="s">
        <v>122</v>
      </c>
      <c r="B123" s="9"/>
      <c r="C123" s="10">
        <v>131043</v>
      </c>
    </row>
    <row r="124" spans="1:3" x14ac:dyDescent="0.25">
      <c r="A124" s="8" t="s">
        <v>123</v>
      </c>
      <c r="B124" s="9"/>
      <c r="C124" s="10">
        <v>3840</v>
      </c>
    </row>
    <row r="125" spans="1:3" x14ac:dyDescent="0.25">
      <c r="A125" s="8" t="s">
        <v>124</v>
      </c>
      <c r="B125" s="9"/>
      <c r="C125" s="10">
        <v>484.7</v>
      </c>
    </row>
    <row r="126" spans="1:3" x14ac:dyDescent="0.25">
      <c r="A126" s="8" t="s">
        <v>125</v>
      </c>
      <c r="B126" s="9"/>
      <c r="C126" s="10">
        <v>73.2</v>
      </c>
    </row>
    <row r="127" spans="1:3" x14ac:dyDescent="0.25">
      <c r="A127" s="8" t="s">
        <v>126</v>
      </c>
      <c r="B127" s="9"/>
      <c r="C127" s="10">
        <v>4870770.71</v>
      </c>
    </row>
    <row r="128" spans="1:3" x14ac:dyDescent="0.25">
      <c r="A128" s="8" t="s">
        <v>127</v>
      </c>
      <c r="B128" s="9"/>
      <c r="C128" s="10">
        <v>2320277.7000000002</v>
      </c>
    </row>
    <row r="129" spans="1:3" x14ac:dyDescent="0.25">
      <c r="A129" s="8" t="s">
        <v>128</v>
      </c>
      <c r="B129" s="9"/>
      <c r="C129" s="10">
        <v>736320</v>
      </c>
    </row>
    <row r="130" spans="1:3" x14ac:dyDescent="0.25">
      <c r="A130" s="8" t="s">
        <v>129</v>
      </c>
      <c r="B130" s="9"/>
      <c r="C130" s="10">
        <v>7611</v>
      </c>
    </row>
    <row r="131" spans="1:3" x14ac:dyDescent="0.25">
      <c r="A131" s="8" t="s">
        <v>130</v>
      </c>
      <c r="B131" s="9"/>
      <c r="C131" s="10">
        <v>18000</v>
      </c>
    </row>
    <row r="132" spans="1:3" x14ac:dyDescent="0.25">
      <c r="A132" s="8" t="s">
        <v>131</v>
      </c>
      <c r="B132" s="9"/>
      <c r="C132" s="10">
        <v>573480</v>
      </c>
    </row>
    <row r="133" spans="1:3" x14ac:dyDescent="0.25">
      <c r="A133" s="8" t="s">
        <v>132</v>
      </c>
      <c r="B133" s="9"/>
      <c r="C133" s="10">
        <v>111000</v>
      </c>
    </row>
    <row r="134" spans="1:3" x14ac:dyDescent="0.25">
      <c r="A134" s="8" t="s">
        <v>133</v>
      </c>
      <c r="B134" s="10">
        <v>1818600</v>
      </c>
      <c r="C134" s="9"/>
    </row>
    <row r="135" spans="1:3" x14ac:dyDescent="0.25">
      <c r="A135" s="8" t="s">
        <v>134</v>
      </c>
      <c r="B135" s="9"/>
      <c r="C135" s="10">
        <v>12016.44</v>
      </c>
    </row>
    <row r="136" spans="1:3" x14ac:dyDescent="0.25">
      <c r="A136" s="8" t="s">
        <v>135</v>
      </c>
      <c r="B136" s="9"/>
      <c r="C136" s="10">
        <v>13806.1</v>
      </c>
    </row>
    <row r="137" spans="1:3" x14ac:dyDescent="0.25">
      <c r="A137" s="8" t="s">
        <v>136</v>
      </c>
      <c r="B137" s="9"/>
      <c r="C137" s="10">
        <v>422000</v>
      </c>
    </row>
    <row r="138" spans="1:3" x14ac:dyDescent="0.25">
      <c r="A138" s="8" t="s">
        <v>137</v>
      </c>
      <c r="B138" s="9"/>
      <c r="C138" s="10">
        <v>786935</v>
      </c>
    </row>
    <row r="139" spans="1:3" x14ac:dyDescent="0.25">
      <c r="A139" s="8" t="s">
        <v>138</v>
      </c>
      <c r="B139" s="9"/>
      <c r="C139" s="10">
        <v>7163</v>
      </c>
    </row>
    <row r="140" spans="1:3" x14ac:dyDescent="0.25">
      <c r="A140" s="8" t="s">
        <v>139</v>
      </c>
      <c r="B140" s="9"/>
      <c r="C140" s="10">
        <v>2727771.51</v>
      </c>
    </row>
    <row r="141" spans="1:3" x14ac:dyDescent="0.25">
      <c r="A141" s="8" t="s">
        <v>140</v>
      </c>
      <c r="B141" s="9"/>
      <c r="C141" s="10">
        <v>782221.75</v>
      </c>
    </row>
    <row r="142" spans="1:3" x14ac:dyDescent="0.25">
      <c r="A142" s="8" t="s">
        <v>141</v>
      </c>
      <c r="B142" s="9"/>
      <c r="C142" s="10">
        <v>60000</v>
      </c>
    </row>
    <row r="143" spans="1:3" x14ac:dyDescent="0.25">
      <c r="A143" s="8" t="s">
        <v>142</v>
      </c>
      <c r="B143" s="9"/>
      <c r="C143" s="10">
        <v>9221</v>
      </c>
    </row>
    <row r="144" spans="1:3" x14ac:dyDescent="0.25">
      <c r="A144" s="8" t="s">
        <v>143</v>
      </c>
      <c r="B144" s="9"/>
      <c r="C144" s="10">
        <v>49985.68</v>
      </c>
    </row>
    <row r="145" spans="1:3" x14ac:dyDescent="0.25">
      <c r="A145" s="8" t="s">
        <v>144</v>
      </c>
      <c r="B145" s="9"/>
      <c r="C145" s="10">
        <v>580699.71</v>
      </c>
    </row>
    <row r="146" spans="1:3" x14ac:dyDescent="0.25">
      <c r="A146" s="8" t="s">
        <v>145</v>
      </c>
      <c r="B146" s="9"/>
      <c r="C146" s="10">
        <v>414180</v>
      </c>
    </row>
    <row r="147" spans="1:3" x14ac:dyDescent="0.25">
      <c r="A147" s="8" t="s">
        <v>146</v>
      </c>
      <c r="B147" s="9"/>
      <c r="C147" s="10">
        <v>22581</v>
      </c>
    </row>
    <row r="148" spans="1:3" x14ac:dyDescent="0.25">
      <c r="A148" s="8" t="s">
        <v>147</v>
      </c>
      <c r="B148" s="9"/>
      <c r="C148" s="10">
        <v>1026069.82</v>
      </c>
    </row>
    <row r="149" spans="1:3" x14ac:dyDescent="0.25">
      <c r="A149" s="8" t="s">
        <v>148</v>
      </c>
      <c r="B149" s="9"/>
      <c r="C149" s="10">
        <v>273</v>
      </c>
    </row>
    <row r="150" spans="1:3" x14ac:dyDescent="0.25">
      <c r="A150" s="8" t="s">
        <v>149</v>
      </c>
      <c r="B150" s="10">
        <v>0.3</v>
      </c>
      <c r="C150" s="9"/>
    </row>
    <row r="151" spans="1:3" x14ac:dyDescent="0.25">
      <c r="A151" s="8" t="s">
        <v>150</v>
      </c>
      <c r="B151" s="9"/>
      <c r="C151" s="10">
        <v>1227723</v>
      </c>
    </row>
    <row r="152" spans="1:3" x14ac:dyDescent="0.25">
      <c r="A152" s="8" t="s">
        <v>151</v>
      </c>
      <c r="B152" s="9"/>
      <c r="C152" s="10">
        <v>459010</v>
      </c>
    </row>
    <row r="153" spans="1:3" x14ac:dyDescent="0.25">
      <c r="A153" s="8" t="s">
        <v>152</v>
      </c>
      <c r="B153" s="10">
        <v>5900</v>
      </c>
      <c r="C153" s="9"/>
    </row>
    <row r="154" spans="1:3" x14ac:dyDescent="0.25">
      <c r="A154" s="8" t="s">
        <v>153</v>
      </c>
      <c r="B154" s="9"/>
      <c r="C154" s="10">
        <v>70004.02</v>
      </c>
    </row>
    <row r="155" spans="1:3" x14ac:dyDescent="0.25">
      <c r="A155" s="8" t="s">
        <v>154</v>
      </c>
      <c r="B155" s="9"/>
      <c r="C155" s="10">
        <v>633017.12</v>
      </c>
    </row>
    <row r="156" spans="1:3" x14ac:dyDescent="0.25">
      <c r="A156" s="8" t="s">
        <v>155</v>
      </c>
      <c r="B156" s="9"/>
      <c r="C156" s="10">
        <v>111634.8</v>
      </c>
    </row>
    <row r="157" spans="1:3" x14ac:dyDescent="0.25">
      <c r="A157" s="8" t="s">
        <v>156</v>
      </c>
      <c r="B157" s="10">
        <v>1000000</v>
      </c>
      <c r="C157" s="9"/>
    </row>
    <row r="158" spans="1:3" x14ac:dyDescent="0.25">
      <c r="A158" s="8" t="s">
        <v>157</v>
      </c>
      <c r="B158" s="9"/>
      <c r="C158" s="10">
        <v>1671598</v>
      </c>
    </row>
    <row r="159" spans="1:3" x14ac:dyDescent="0.25">
      <c r="A159" s="8" t="s">
        <v>158</v>
      </c>
      <c r="B159" s="9"/>
      <c r="C159" s="10">
        <v>74200</v>
      </c>
    </row>
    <row r="160" spans="1:3" x14ac:dyDescent="0.25">
      <c r="A160" s="8" t="s">
        <v>159</v>
      </c>
      <c r="B160" s="9"/>
      <c r="C160" s="10">
        <v>1</v>
      </c>
    </row>
    <row r="161" spans="1:3" x14ac:dyDescent="0.25">
      <c r="A161" s="8" t="s">
        <v>160</v>
      </c>
      <c r="B161" s="9"/>
      <c r="C161" s="10">
        <v>6700</v>
      </c>
    </row>
    <row r="162" spans="1:3" x14ac:dyDescent="0.25">
      <c r="A162" s="8" t="s">
        <v>161</v>
      </c>
      <c r="B162" s="9"/>
      <c r="C162" s="10">
        <v>27225</v>
      </c>
    </row>
    <row r="163" spans="1:3" x14ac:dyDescent="0.25">
      <c r="A163" s="8" t="s">
        <v>162</v>
      </c>
      <c r="B163" s="9"/>
      <c r="C163" s="10">
        <v>292316.17</v>
      </c>
    </row>
    <row r="164" spans="1:3" x14ac:dyDescent="0.25">
      <c r="A164" s="8" t="s">
        <v>163</v>
      </c>
      <c r="B164" s="9"/>
      <c r="C164" s="10">
        <v>1380600</v>
      </c>
    </row>
    <row r="165" spans="1:3" x14ac:dyDescent="0.25">
      <c r="A165" s="8" t="s">
        <v>164</v>
      </c>
      <c r="B165" s="9"/>
      <c r="C165" s="10">
        <v>731051</v>
      </c>
    </row>
    <row r="166" spans="1:3" x14ac:dyDescent="0.25">
      <c r="A166" s="8" t="s">
        <v>165</v>
      </c>
      <c r="B166" s="9"/>
      <c r="C166" s="10">
        <v>12579100.58</v>
      </c>
    </row>
    <row r="167" spans="1:3" x14ac:dyDescent="0.25">
      <c r="A167" s="8" t="s">
        <v>166</v>
      </c>
      <c r="B167" s="9"/>
      <c r="C167" s="10">
        <v>708759.9</v>
      </c>
    </row>
    <row r="168" spans="1:3" x14ac:dyDescent="0.25">
      <c r="A168" s="8" t="s">
        <v>167</v>
      </c>
      <c r="B168" s="10">
        <v>76000</v>
      </c>
      <c r="C168" s="9"/>
    </row>
    <row r="169" spans="1:3" x14ac:dyDescent="0.25">
      <c r="A169" s="8" t="s">
        <v>168</v>
      </c>
      <c r="B169" s="9"/>
      <c r="C169" s="10">
        <v>67341</v>
      </c>
    </row>
    <row r="170" spans="1:3" x14ac:dyDescent="0.25">
      <c r="A170" s="8" t="s">
        <v>169</v>
      </c>
      <c r="B170" s="9"/>
      <c r="C170" s="10">
        <v>129469.14</v>
      </c>
    </row>
    <row r="171" spans="1:3" x14ac:dyDescent="0.25">
      <c r="A171" s="8" t="s">
        <v>170</v>
      </c>
      <c r="B171" s="9"/>
      <c r="C171" s="10">
        <v>9044</v>
      </c>
    </row>
    <row r="172" spans="1:3" x14ac:dyDescent="0.25">
      <c r="A172" s="8" t="s">
        <v>171</v>
      </c>
      <c r="B172" s="9"/>
      <c r="C172" s="10">
        <v>2</v>
      </c>
    </row>
    <row r="173" spans="1:3" x14ac:dyDescent="0.25">
      <c r="A173" s="8" t="s">
        <v>172</v>
      </c>
      <c r="B173" s="9"/>
      <c r="C173" s="10">
        <v>681571.34</v>
      </c>
    </row>
    <row r="174" spans="1:3" x14ac:dyDescent="0.25">
      <c r="A174" s="8" t="s">
        <v>173</v>
      </c>
      <c r="B174" s="10">
        <v>74000</v>
      </c>
      <c r="C174" s="9"/>
    </row>
    <row r="175" spans="1:3" x14ac:dyDescent="0.25">
      <c r="A175" s="8" t="s">
        <v>174</v>
      </c>
      <c r="B175" s="9"/>
      <c r="C175" s="10">
        <v>1715226</v>
      </c>
    </row>
    <row r="176" spans="1:3" x14ac:dyDescent="0.25">
      <c r="A176" s="8" t="s">
        <v>175</v>
      </c>
      <c r="B176" s="10">
        <v>10</v>
      </c>
      <c r="C176" s="9"/>
    </row>
    <row r="177" spans="1:3" x14ac:dyDescent="0.25">
      <c r="A177" s="8" t="s">
        <v>176</v>
      </c>
      <c r="B177" s="9"/>
      <c r="C177" s="10">
        <v>2876.8</v>
      </c>
    </row>
    <row r="178" spans="1:3" x14ac:dyDescent="0.25">
      <c r="A178" s="8" t="s">
        <v>177</v>
      </c>
      <c r="B178" s="10">
        <v>600</v>
      </c>
      <c r="C178" s="9"/>
    </row>
    <row r="179" spans="1:3" x14ac:dyDescent="0.25">
      <c r="A179" s="8" t="s">
        <v>178</v>
      </c>
      <c r="B179" s="9"/>
      <c r="C179" s="10">
        <v>11136</v>
      </c>
    </row>
    <row r="180" spans="1:3" x14ac:dyDescent="0.25">
      <c r="A180" s="8" t="s">
        <v>179</v>
      </c>
      <c r="B180" s="9"/>
      <c r="C180" s="10">
        <v>1942.65</v>
      </c>
    </row>
    <row r="181" spans="1:3" x14ac:dyDescent="0.25">
      <c r="A181" s="8" t="s">
        <v>180</v>
      </c>
      <c r="B181" s="9"/>
      <c r="C181" s="10">
        <v>8918</v>
      </c>
    </row>
    <row r="182" spans="1:3" x14ac:dyDescent="0.25">
      <c r="A182" s="8" t="s">
        <v>181</v>
      </c>
      <c r="B182" s="9"/>
      <c r="C182" s="10">
        <v>67960</v>
      </c>
    </row>
    <row r="183" spans="1:3" x14ac:dyDescent="0.25">
      <c r="A183" s="8" t="s">
        <v>182</v>
      </c>
      <c r="B183" s="9"/>
      <c r="C183" s="10">
        <v>11854</v>
      </c>
    </row>
    <row r="184" spans="1:3" x14ac:dyDescent="0.25">
      <c r="A184" s="8" t="s">
        <v>183</v>
      </c>
      <c r="B184" s="9"/>
      <c r="C184" s="10">
        <v>89317</v>
      </c>
    </row>
    <row r="185" spans="1:3" x14ac:dyDescent="0.25">
      <c r="A185" s="8" t="s">
        <v>184</v>
      </c>
      <c r="B185" s="9"/>
      <c r="C185" s="10">
        <v>135200</v>
      </c>
    </row>
    <row r="186" spans="1:3" x14ac:dyDescent="0.25">
      <c r="A186" s="8" t="s">
        <v>185</v>
      </c>
      <c r="B186" s="9"/>
      <c r="C186" s="10">
        <v>913160</v>
      </c>
    </row>
    <row r="187" spans="1:3" x14ac:dyDescent="0.25">
      <c r="A187" s="8" t="s">
        <v>186</v>
      </c>
      <c r="B187" s="9"/>
      <c r="C187" s="10">
        <v>1825092.73</v>
      </c>
    </row>
    <row r="188" spans="1:3" x14ac:dyDescent="0.25">
      <c r="A188" s="8" t="s">
        <v>187</v>
      </c>
      <c r="B188" s="9"/>
      <c r="C188" s="10">
        <v>414589.65</v>
      </c>
    </row>
    <row r="189" spans="1:3" x14ac:dyDescent="0.25">
      <c r="A189" s="8" t="s">
        <v>188</v>
      </c>
      <c r="B189" s="9"/>
      <c r="C189" s="10">
        <v>704630</v>
      </c>
    </row>
    <row r="190" spans="1:3" x14ac:dyDescent="0.25">
      <c r="A190" s="8" t="s">
        <v>189</v>
      </c>
      <c r="B190" s="9"/>
      <c r="C190" s="10">
        <v>18000</v>
      </c>
    </row>
    <row r="191" spans="1:3" x14ac:dyDescent="0.25">
      <c r="A191" s="8" t="s">
        <v>190</v>
      </c>
      <c r="B191" s="9"/>
      <c r="C191" s="10">
        <v>124468</v>
      </c>
    </row>
    <row r="192" spans="1:3" x14ac:dyDescent="0.25">
      <c r="A192" s="8" t="s">
        <v>191</v>
      </c>
      <c r="B192" s="10">
        <v>25000</v>
      </c>
      <c r="C192" s="9"/>
    </row>
    <row r="193" spans="1:3" x14ac:dyDescent="0.25">
      <c r="A193" s="8" t="s">
        <v>192</v>
      </c>
      <c r="B193" s="9"/>
      <c r="C193" s="10">
        <v>65000</v>
      </c>
    </row>
    <row r="194" spans="1:3" x14ac:dyDescent="0.25">
      <c r="A194" s="8" t="s">
        <v>193</v>
      </c>
      <c r="B194" s="9"/>
      <c r="C194" s="10">
        <v>65880</v>
      </c>
    </row>
    <row r="195" spans="1:3" x14ac:dyDescent="0.25">
      <c r="A195" s="8" t="s">
        <v>194</v>
      </c>
      <c r="B195" s="9"/>
      <c r="C195" s="10">
        <v>5800</v>
      </c>
    </row>
    <row r="196" spans="1:3" x14ac:dyDescent="0.25">
      <c r="A196" s="8" t="s">
        <v>195</v>
      </c>
      <c r="B196" s="9"/>
      <c r="C196" s="10">
        <v>184382.1</v>
      </c>
    </row>
    <row r="197" spans="1:3" x14ac:dyDescent="0.25">
      <c r="A197" s="8" t="s">
        <v>196</v>
      </c>
      <c r="B197" s="10">
        <v>20000</v>
      </c>
      <c r="C197" s="9"/>
    </row>
    <row r="198" spans="1:3" x14ac:dyDescent="0.25">
      <c r="A198" s="8" t="s">
        <v>197</v>
      </c>
      <c r="B198" s="10">
        <v>25000</v>
      </c>
      <c r="C198" s="9"/>
    </row>
    <row r="199" spans="1:3" x14ac:dyDescent="0.25">
      <c r="A199" s="8" t="s">
        <v>198</v>
      </c>
      <c r="B199" s="9"/>
      <c r="C199" s="10">
        <v>215334</v>
      </c>
    </row>
    <row r="200" spans="1:3" x14ac:dyDescent="0.25">
      <c r="A200" s="8" t="s">
        <v>199</v>
      </c>
      <c r="B200" s="9"/>
      <c r="C200" s="10">
        <v>590000</v>
      </c>
    </row>
    <row r="201" spans="1:3" x14ac:dyDescent="0.25">
      <c r="A201" s="8" t="s">
        <v>200</v>
      </c>
      <c r="B201" s="9"/>
      <c r="C201" s="10">
        <v>945920</v>
      </c>
    </row>
    <row r="202" spans="1:3" x14ac:dyDescent="0.25">
      <c r="A202" s="8" t="s">
        <v>201</v>
      </c>
      <c r="B202" s="9"/>
      <c r="C202" s="10">
        <v>77850.5</v>
      </c>
    </row>
    <row r="203" spans="1:3" x14ac:dyDescent="0.25">
      <c r="A203" s="8" t="s">
        <v>202</v>
      </c>
      <c r="B203" s="9"/>
      <c r="C203" s="10">
        <v>72640763.769999996</v>
      </c>
    </row>
    <row r="204" spans="1:3" x14ac:dyDescent="0.25">
      <c r="A204" s="8" t="s">
        <v>203</v>
      </c>
      <c r="B204" s="9"/>
      <c r="C204" s="10">
        <v>14216251.02</v>
      </c>
    </row>
    <row r="205" spans="1:3" x14ac:dyDescent="0.25">
      <c r="A205" s="8" t="s">
        <v>204</v>
      </c>
      <c r="B205" s="9"/>
      <c r="C205" s="10">
        <v>370425.59999999998</v>
      </c>
    </row>
    <row r="206" spans="1:3" x14ac:dyDescent="0.25">
      <c r="A206" s="8" t="s">
        <v>205</v>
      </c>
      <c r="B206" s="9"/>
      <c r="C206" s="10">
        <v>252546</v>
      </c>
    </row>
    <row r="207" spans="1:3" x14ac:dyDescent="0.25">
      <c r="A207" s="8" t="s">
        <v>206</v>
      </c>
      <c r="B207" s="9"/>
      <c r="C207" s="10">
        <v>30680</v>
      </c>
    </row>
    <row r="208" spans="1:3" x14ac:dyDescent="0.25">
      <c r="A208" s="8" t="s">
        <v>207</v>
      </c>
      <c r="B208" s="9"/>
      <c r="C208" s="10">
        <v>4462528.6399999997</v>
      </c>
    </row>
    <row r="209" spans="1:3" x14ac:dyDescent="0.25">
      <c r="A209" s="8" t="s">
        <v>208</v>
      </c>
      <c r="B209" s="9"/>
      <c r="C209" s="10">
        <v>10800</v>
      </c>
    </row>
    <row r="210" spans="1:3" x14ac:dyDescent="0.25">
      <c r="A210" s="8" t="s">
        <v>209</v>
      </c>
      <c r="B210" s="9"/>
      <c r="C210" s="10">
        <v>836638.2</v>
      </c>
    </row>
    <row r="211" spans="1:3" x14ac:dyDescent="0.25">
      <c r="A211" s="8" t="s">
        <v>210</v>
      </c>
      <c r="B211" s="9"/>
      <c r="C211" s="10">
        <v>1029216.04</v>
      </c>
    </row>
    <row r="212" spans="1:3" x14ac:dyDescent="0.25">
      <c r="A212" s="8" t="s">
        <v>211</v>
      </c>
      <c r="B212" s="9"/>
      <c r="C212" s="10">
        <v>0.72</v>
      </c>
    </row>
    <row r="213" spans="1:3" x14ac:dyDescent="0.25">
      <c r="A213" s="8" t="s">
        <v>212</v>
      </c>
      <c r="B213" s="9"/>
      <c r="C213" s="10">
        <v>68384.81</v>
      </c>
    </row>
    <row r="214" spans="1:3" x14ac:dyDescent="0.25">
      <c r="A214" s="8" t="s">
        <v>213</v>
      </c>
      <c r="B214" s="9"/>
      <c r="C214" s="10">
        <v>100659.28</v>
      </c>
    </row>
    <row r="215" spans="1:3" x14ac:dyDescent="0.25">
      <c r="A215" s="8" t="s">
        <v>214</v>
      </c>
      <c r="B215" s="9"/>
      <c r="C215" s="10">
        <v>716986</v>
      </c>
    </row>
    <row r="216" spans="1:3" x14ac:dyDescent="0.25">
      <c r="A216" s="8" t="s">
        <v>215</v>
      </c>
      <c r="B216" s="9"/>
      <c r="C216" s="10">
        <v>137006.04</v>
      </c>
    </row>
    <row r="217" spans="1:3" x14ac:dyDescent="0.25">
      <c r="A217" s="8" t="s">
        <v>216</v>
      </c>
      <c r="B217" s="9"/>
      <c r="C217" s="10">
        <v>16051847.1</v>
      </c>
    </row>
    <row r="218" spans="1:3" x14ac:dyDescent="0.25">
      <c r="A218" s="8" t="s">
        <v>217</v>
      </c>
      <c r="B218" s="10">
        <v>15830</v>
      </c>
      <c r="C218" s="9"/>
    </row>
    <row r="219" spans="1:3" x14ac:dyDescent="0.25">
      <c r="A219" s="8" t="s">
        <v>218</v>
      </c>
      <c r="B219" s="9"/>
      <c r="C219" s="10">
        <v>1543874.67</v>
      </c>
    </row>
    <row r="220" spans="1:3" x14ac:dyDescent="0.25">
      <c r="A220" s="8" t="s">
        <v>219</v>
      </c>
      <c r="B220" s="9"/>
      <c r="C220" s="10">
        <v>488248.58</v>
      </c>
    </row>
    <row r="221" spans="1:3" x14ac:dyDescent="0.25">
      <c r="A221" s="8" t="s">
        <v>220</v>
      </c>
      <c r="B221" s="9"/>
      <c r="C221" s="10">
        <v>83300</v>
      </c>
    </row>
    <row r="222" spans="1:3" x14ac:dyDescent="0.25">
      <c r="A222" s="8" t="s">
        <v>221</v>
      </c>
      <c r="B222" s="9"/>
      <c r="C222" s="10">
        <v>1901960.73</v>
      </c>
    </row>
    <row r="223" spans="1:3" x14ac:dyDescent="0.25">
      <c r="A223" s="8" t="s">
        <v>222</v>
      </c>
      <c r="B223" s="9"/>
      <c r="C223" s="10">
        <v>106390</v>
      </c>
    </row>
    <row r="224" spans="1:3" x14ac:dyDescent="0.25">
      <c r="A224" s="8" t="s">
        <v>223</v>
      </c>
      <c r="B224" s="9"/>
      <c r="C224" s="10">
        <v>41760</v>
      </c>
    </row>
    <row r="225" spans="1:3" x14ac:dyDescent="0.25">
      <c r="A225" s="8" t="s">
        <v>224</v>
      </c>
      <c r="B225" s="9"/>
      <c r="C225" s="10">
        <v>274456</v>
      </c>
    </row>
    <row r="226" spans="1:3" x14ac:dyDescent="0.25">
      <c r="A226" s="8" t="s">
        <v>225</v>
      </c>
      <c r="B226" s="9"/>
      <c r="C226" s="10">
        <v>1025232.54</v>
      </c>
    </row>
    <row r="227" spans="1:3" x14ac:dyDescent="0.25">
      <c r="A227" s="8" t="s">
        <v>226</v>
      </c>
      <c r="B227" s="10">
        <v>141655</v>
      </c>
      <c r="C227" s="9"/>
    </row>
    <row r="228" spans="1:3" x14ac:dyDescent="0.25">
      <c r="A228" s="8" t="s">
        <v>227</v>
      </c>
      <c r="B228" s="9"/>
      <c r="C228" s="10">
        <v>404023.02</v>
      </c>
    </row>
    <row r="229" spans="1:3" x14ac:dyDescent="0.25">
      <c r="A229" s="8" t="s">
        <v>228</v>
      </c>
      <c r="B229" s="9"/>
      <c r="C229" s="10">
        <v>33320</v>
      </c>
    </row>
    <row r="230" spans="1:3" x14ac:dyDescent="0.25">
      <c r="A230" s="8" t="s">
        <v>229</v>
      </c>
      <c r="B230" s="9"/>
      <c r="C230" s="10">
        <v>10971688</v>
      </c>
    </row>
    <row r="231" spans="1:3" x14ac:dyDescent="0.25">
      <c r="A231" s="8" t="s">
        <v>230</v>
      </c>
      <c r="B231" s="9"/>
      <c r="C231" s="10">
        <v>65341.22</v>
      </c>
    </row>
    <row r="232" spans="1:3" x14ac:dyDescent="0.25">
      <c r="A232" s="8" t="s">
        <v>231</v>
      </c>
      <c r="B232" s="10">
        <v>30000</v>
      </c>
      <c r="C232" s="9"/>
    </row>
    <row r="233" spans="1:3" x14ac:dyDescent="0.25">
      <c r="A233" s="8" t="s">
        <v>232</v>
      </c>
      <c r="B233" s="9"/>
      <c r="C233" s="10">
        <v>105009.94</v>
      </c>
    </row>
    <row r="234" spans="1:3" x14ac:dyDescent="0.25">
      <c r="A234" s="8" t="s">
        <v>233</v>
      </c>
      <c r="B234" s="9"/>
      <c r="C234" s="10">
        <v>12841.2</v>
      </c>
    </row>
    <row r="235" spans="1:3" x14ac:dyDescent="0.25">
      <c r="A235" s="8" t="s">
        <v>234</v>
      </c>
      <c r="B235" s="10">
        <v>400000</v>
      </c>
      <c r="C235" s="9"/>
    </row>
    <row r="236" spans="1:3" x14ac:dyDescent="0.25">
      <c r="A236" s="8" t="s">
        <v>235</v>
      </c>
      <c r="B236" s="9"/>
      <c r="C236" s="10">
        <v>9300</v>
      </c>
    </row>
    <row r="237" spans="1:3" x14ac:dyDescent="0.25">
      <c r="A237" s="8" t="s">
        <v>236</v>
      </c>
      <c r="B237" s="9"/>
      <c r="C237" s="10">
        <v>87309.72</v>
      </c>
    </row>
    <row r="238" spans="1:3" x14ac:dyDescent="0.25">
      <c r="A238" s="8" t="s">
        <v>237</v>
      </c>
      <c r="B238" s="10">
        <v>649762.84</v>
      </c>
      <c r="C238" s="9"/>
    </row>
    <row r="239" spans="1:3" x14ac:dyDescent="0.25">
      <c r="A239" s="8" t="s">
        <v>238</v>
      </c>
      <c r="B239" s="9"/>
      <c r="C239" s="10">
        <v>76000</v>
      </c>
    </row>
    <row r="240" spans="1:3" x14ac:dyDescent="0.25">
      <c r="A240" s="8" t="s">
        <v>239</v>
      </c>
      <c r="B240" s="9"/>
      <c r="C240" s="10">
        <v>72379.88</v>
      </c>
    </row>
    <row r="241" spans="1:3" x14ac:dyDescent="0.25">
      <c r="A241" s="8" t="s">
        <v>240</v>
      </c>
      <c r="B241" s="10">
        <v>5544</v>
      </c>
      <c r="C241" s="9"/>
    </row>
    <row r="242" spans="1:3" x14ac:dyDescent="0.25">
      <c r="A242" s="8" t="s">
        <v>241</v>
      </c>
      <c r="B242" s="9"/>
      <c r="C242" s="10">
        <v>297290</v>
      </c>
    </row>
    <row r="243" spans="1:3" x14ac:dyDescent="0.25">
      <c r="A243" s="8" t="s">
        <v>242</v>
      </c>
      <c r="B243" s="9"/>
      <c r="C243" s="10">
        <v>488985</v>
      </c>
    </row>
    <row r="244" spans="1:3" x14ac:dyDescent="0.25">
      <c r="A244" s="8" t="s">
        <v>243</v>
      </c>
      <c r="B244" s="9"/>
      <c r="C244" s="10">
        <v>467100</v>
      </c>
    </row>
    <row r="245" spans="1:3" x14ac:dyDescent="0.25">
      <c r="A245" s="8" t="s">
        <v>244</v>
      </c>
      <c r="B245" s="9"/>
      <c r="C245" s="10">
        <v>2382135</v>
      </c>
    </row>
    <row r="246" spans="1:3" x14ac:dyDescent="0.25">
      <c r="A246" s="8" t="s">
        <v>245</v>
      </c>
      <c r="B246" s="9"/>
      <c r="C246" s="10">
        <v>1380400</v>
      </c>
    </row>
    <row r="247" spans="1:3" x14ac:dyDescent="0.25">
      <c r="A247" s="8" t="s">
        <v>246</v>
      </c>
      <c r="B247" s="9"/>
      <c r="C247" s="10">
        <v>49481.9</v>
      </c>
    </row>
    <row r="248" spans="1:3" x14ac:dyDescent="0.25">
      <c r="A248" s="8" t="s">
        <v>247</v>
      </c>
      <c r="B248" s="9"/>
      <c r="C248" s="10">
        <v>350065.3</v>
      </c>
    </row>
    <row r="249" spans="1:3" x14ac:dyDescent="0.25">
      <c r="A249" s="8" t="s">
        <v>248</v>
      </c>
      <c r="B249" s="9"/>
      <c r="C249" s="10">
        <v>294798.78000000003</v>
      </c>
    </row>
    <row r="250" spans="1:3" x14ac:dyDescent="0.25">
      <c r="A250" s="8" t="s">
        <v>249</v>
      </c>
      <c r="B250" s="9"/>
      <c r="C250" s="10">
        <v>337905.84</v>
      </c>
    </row>
    <row r="251" spans="1:3" x14ac:dyDescent="0.25">
      <c r="A251" s="8" t="s">
        <v>250</v>
      </c>
      <c r="B251" s="10">
        <v>10395.26</v>
      </c>
      <c r="C251" s="9"/>
    </row>
    <row r="252" spans="1:3" x14ac:dyDescent="0.25">
      <c r="A252" s="8" t="s">
        <v>251</v>
      </c>
      <c r="B252" s="9"/>
      <c r="C252" s="10">
        <v>4890</v>
      </c>
    </row>
    <row r="253" spans="1:3" x14ac:dyDescent="0.25">
      <c r="A253" s="8" t="s">
        <v>252</v>
      </c>
      <c r="B253" s="9"/>
      <c r="C253" s="10">
        <v>425184.61</v>
      </c>
    </row>
    <row r="254" spans="1:3" x14ac:dyDescent="0.25">
      <c r="A254" s="8" t="s">
        <v>253</v>
      </c>
      <c r="B254" s="9"/>
      <c r="C254" s="10">
        <v>833389.99</v>
      </c>
    </row>
    <row r="255" spans="1:3" x14ac:dyDescent="0.25">
      <c r="A255" s="8" t="s">
        <v>254</v>
      </c>
      <c r="B255" s="9"/>
      <c r="C255" s="10">
        <v>247800</v>
      </c>
    </row>
    <row r="256" spans="1:3" x14ac:dyDescent="0.25">
      <c r="A256" s="8" t="s">
        <v>255</v>
      </c>
      <c r="B256" s="9"/>
      <c r="C256" s="10">
        <v>7091841.7800000003</v>
      </c>
    </row>
    <row r="257" spans="1:3" x14ac:dyDescent="0.25">
      <c r="A257" s="8" t="s">
        <v>256</v>
      </c>
      <c r="B257" s="9"/>
      <c r="C257" s="10">
        <v>3797</v>
      </c>
    </row>
    <row r="258" spans="1:3" x14ac:dyDescent="0.25">
      <c r="A258" s="8" t="s">
        <v>257</v>
      </c>
      <c r="B258" s="10">
        <v>2250</v>
      </c>
      <c r="C258" s="9"/>
    </row>
    <row r="259" spans="1:3" x14ac:dyDescent="0.25">
      <c r="A259" s="8" t="s">
        <v>258</v>
      </c>
      <c r="B259" s="9"/>
      <c r="C259" s="10">
        <v>16216933</v>
      </c>
    </row>
    <row r="260" spans="1:3" x14ac:dyDescent="0.25">
      <c r="A260" s="8" t="s">
        <v>259</v>
      </c>
      <c r="B260" s="9"/>
      <c r="C260" s="10">
        <v>293540.64</v>
      </c>
    </row>
    <row r="261" spans="1:3" x14ac:dyDescent="0.25">
      <c r="A261" s="8" t="s">
        <v>260</v>
      </c>
      <c r="B261" s="9"/>
      <c r="C261" s="10">
        <v>165215</v>
      </c>
    </row>
    <row r="262" spans="1:3" x14ac:dyDescent="0.25">
      <c r="A262" s="8" t="s">
        <v>261</v>
      </c>
      <c r="B262" s="10">
        <v>15353736.789999999</v>
      </c>
      <c r="C262" s="9"/>
    </row>
    <row r="263" spans="1:3" x14ac:dyDescent="0.25">
      <c r="A263" s="8" t="s">
        <v>262</v>
      </c>
      <c r="B263" s="9"/>
      <c r="C263" s="10">
        <v>1320</v>
      </c>
    </row>
    <row r="264" spans="1:3" x14ac:dyDescent="0.25">
      <c r="A264" s="8" t="s">
        <v>263</v>
      </c>
      <c r="B264" s="10">
        <v>650000</v>
      </c>
      <c r="C264" s="9"/>
    </row>
    <row r="265" spans="1:3" x14ac:dyDescent="0.25">
      <c r="A265" s="8" t="s">
        <v>264</v>
      </c>
      <c r="B265" s="9"/>
      <c r="C265" s="10">
        <v>37000</v>
      </c>
    </row>
    <row r="266" spans="1:3" x14ac:dyDescent="0.25">
      <c r="A266" s="8" t="s">
        <v>265</v>
      </c>
      <c r="B266" s="9"/>
      <c r="C266" s="10">
        <v>666028.64</v>
      </c>
    </row>
    <row r="267" spans="1:3" x14ac:dyDescent="0.25">
      <c r="A267" s="8" t="s">
        <v>266</v>
      </c>
      <c r="B267" s="9"/>
      <c r="C267" s="10">
        <v>191900</v>
      </c>
    </row>
    <row r="268" spans="1:3" x14ac:dyDescent="0.25">
      <c r="A268" s="8" t="s">
        <v>267</v>
      </c>
      <c r="B268" s="9"/>
      <c r="C268" s="10">
        <v>5310</v>
      </c>
    </row>
    <row r="269" spans="1:3" x14ac:dyDescent="0.25">
      <c r="A269" s="8" t="s">
        <v>268</v>
      </c>
      <c r="B269" s="9"/>
      <c r="C269" s="10">
        <v>1153116</v>
      </c>
    </row>
    <row r="270" spans="1:3" x14ac:dyDescent="0.25">
      <c r="A270" s="8" t="s">
        <v>269</v>
      </c>
      <c r="B270" s="9"/>
      <c r="C270" s="10">
        <v>138405.4</v>
      </c>
    </row>
    <row r="271" spans="1:3" x14ac:dyDescent="0.25">
      <c r="A271" s="8" t="s">
        <v>270</v>
      </c>
      <c r="B271" s="10">
        <v>5992</v>
      </c>
      <c r="C271" s="9"/>
    </row>
    <row r="272" spans="1:3" x14ac:dyDescent="0.25">
      <c r="A272" s="8" t="s">
        <v>271</v>
      </c>
      <c r="B272" s="10">
        <v>1770</v>
      </c>
      <c r="C272" s="9"/>
    </row>
    <row r="273" spans="1:3" x14ac:dyDescent="0.25">
      <c r="A273" s="8" t="s">
        <v>272</v>
      </c>
      <c r="B273" s="9"/>
      <c r="C273" s="10">
        <v>508258.29</v>
      </c>
    </row>
    <row r="274" spans="1:3" x14ac:dyDescent="0.25">
      <c r="A274" s="8" t="s">
        <v>273</v>
      </c>
      <c r="B274" s="10">
        <v>49185</v>
      </c>
      <c r="C274" s="9"/>
    </row>
    <row r="275" spans="1:3" x14ac:dyDescent="0.25">
      <c r="A275" s="8" t="s">
        <v>274</v>
      </c>
      <c r="B275" s="9"/>
      <c r="C275" s="10">
        <v>49166</v>
      </c>
    </row>
    <row r="276" spans="1:3" x14ac:dyDescent="0.25">
      <c r="A276" s="8" t="s">
        <v>275</v>
      </c>
      <c r="B276" s="9"/>
      <c r="C276" s="10">
        <v>8748.0400000000009</v>
      </c>
    </row>
    <row r="277" spans="1:3" x14ac:dyDescent="0.25">
      <c r="A277" s="8" t="s">
        <v>276</v>
      </c>
      <c r="B277" s="10">
        <v>57486.37</v>
      </c>
      <c r="C277" s="9"/>
    </row>
    <row r="278" spans="1:3" x14ac:dyDescent="0.25">
      <c r="A278" s="8" t="s">
        <v>277</v>
      </c>
      <c r="B278" s="9"/>
      <c r="C278" s="10">
        <v>356</v>
      </c>
    </row>
    <row r="279" spans="1:3" x14ac:dyDescent="0.25">
      <c r="A279" s="8" t="s">
        <v>278</v>
      </c>
      <c r="B279" s="9"/>
      <c r="C279" s="10">
        <v>3374752.9</v>
      </c>
    </row>
    <row r="280" spans="1:3" x14ac:dyDescent="0.25">
      <c r="A280" s="8" t="s">
        <v>279</v>
      </c>
      <c r="B280" s="9"/>
      <c r="C280" s="10">
        <v>162487</v>
      </c>
    </row>
    <row r="281" spans="1:3" x14ac:dyDescent="0.25">
      <c r="A281" s="8" t="s">
        <v>280</v>
      </c>
      <c r="B281" s="9"/>
      <c r="C281" s="10">
        <v>249282.08</v>
      </c>
    </row>
    <row r="282" spans="1:3" x14ac:dyDescent="0.25">
      <c r="A282" s="8" t="s">
        <v>281</v>
      </c>
      <c r="B282" s="9"/>
      <c r="C282" s="10">
        <v>199446.12</v>
      </c>
    </row>
    <row r="283" spans="1:3" x14ac:dyDescent="0.25">
      <c r="A283" s="8" t="s">
        <v>282</v>
      </c>
      <c r="B283" s="9"/>
      <c r="C283" s="10">
        <v>756002.68</v>
      </c>
    </row>
    <row r="284" spans="1:3" x14ac:dyDescent="0.25">
      <c r="A284" s="8" t="s">
        <v>283</v>
      </c>
      <c r="B284" s="9"/>
      <c r="C284" s="10">
        <v>1144500</v>
      </c>
    </row>
    <row r="285" spans="1:3" x14ac:dyDescent="0.25">
      <c r="A285" s="8" t="s">
        <v>284</v>
      </c>
      <c r="B285" s="9"/>
      <c r="C285" s="10">
        <v>126460.6</v>
      </c>
    </row>
    <row r="286" spans="1:3" x14ac:dyDescent="0.25">
      <c r="A286" s="8" t="s">
        <v>285</v>
      </c>
      <c r="B286" s="9"/>
      <c r="C286" s="10">
        <v>0.4</v>
      </c>
    </row>
    <row r="287" spans="1:3" x14ac:dyDescent="0.25">
      <c r="A287" s="8" t="s">
        <v>286</v>
      </c>
      <c r="B287" s="9"/>
      <c r="C287" s="10">
        <v>212400</v>
      </c>
    </row>
    <row r="288" spans="1:3" x14ac:dyDescent="0.25">
      <c r="A288" s="8" t="s">
        <v>287</v>
      </c>
      <c r="B288" s="9"/>
      <c r="C288" s="10">
        <v>79500</v>
      </c>
    </row>
    <row r="289" spans="1:3" x14ac:dyDescent="0.25">
      <c r="A289" s="8" t="s">
        <v>288</v>
      </c>
      <c r="B289" s="9"/>
      <c r="C289" s="10">
        <v>20298.82</v>
      </c>
    </row>
    <row r="290" spans="1:3" x14ac:dyDescent="0.25">
      <c r="A290" s="8" t="s">
        <v>289</v>
      </c>
      <c r="B290" s="9"/>
      <c r="C290" s="10">
        <v>7099301</v>
      </c>
    </row>
    <row r="291" spans="1:3" x14ac:dyDescent="0.25">
      <c r="A291" s="8" t="s">
        <v>290</v>
      </c>
      <c r="B291" s="10">
        <v>850000</v>
      </c>
      <c r="C291" s="9"/>
    </row>
    <row r="292" spans="1:3" x14ac:dyDescent="0.25">
      <c r="A292" s="8" t="s">
        <v>291</v>
      </c>
      <c r="B292" s="9"/>
      <c r="C292" s="10">
        <v>480298</v>
      </c>
    </row>
    <row r="293" spans="1:3" x14ac:dyDescent="0.25">
      <c r="A293" s="8" t="s">
        <v>292</v>
      </c>
      <c r="B293" s="9"/>
      <c r="C293" s="10">
        <v>1354201.6</v>
      </c>
    </row>
    <row r="294" spans="1:3" x14ac:dyDescent="0.25">
      <c r="A294" s="8" t="s">
        <v>293</v>
      </c>
      <c r="B294" s="10">
        <v>9481609.8000000007</v>
      </c>
      <c r="C294" s="9"/>
    </row>
    <row r="295" spans="1:3" x14ac:dyDescent="0.25">
      <c r="A295" s="8" t="s">
        <v>294</v>
      </c>
      <c r="B295" s="10">
        <v>463190</v>
      </c>
      <c r="C295" s="9"/>
    </row>
    <row r="296" spans="1:3" x14ac:dyDescent="0.25">
      <c r="A296" s="8" t="s">
        <v>295</v>
      </c>
      <c r="B296" s="9"/>
      <c r="C296" s="10">
        <v>106731</v>
      </c>
    </row>
    <row r="297" spans="1:3" x14ac:dyDescent="0.25">
      <c r="A297" s="8" t="s">
        <v>296</v>
      </c>
      <c r="B297" s="10">
        <v>35825.040000000001</v>
      </c>
      <c r="C297" s="9"/>
    </row>
    <row r="298" spans="1:3" x14ac:dyDescent="0.25">
      <c r="A298" s="8" t="s">
        <v>297</v>
      </c>
      <c r="B298" s="9"/>
      <c r="C298" s="10">
        <v>21724</v>
      </c>
    </row>
    <row r="299" spans="1:3" x14ac:dyDescent="0.25">
      <c r="A299" s="8" t="s">
        <v>298</v>
      </c>
      <c r="B299" s="9"/>
      <c r="C299" s="10">
        <v>64615.62</v>
      </c>
    </row>
    <row r="300" spans="1:3" x14ac:dyDescent="0.25">
      <c r="A300" s="8" t="s">
        <v>299</v>
      </c>
      <c r="B300" s="9"/>
      <c r="C300" s="10">
        <v>15914.04</v>
      </c>
    </row>
    <row r="301" spans="1:3" x14ac:dyDescent="0.25">
      <c r="A301" s="8" t="s">
        <v>300</v>
      </c>
      <c r="B301" s="9"/>
      <c r="C301" s="10">
        <v>57291.360000000001</v>
      </c>
    </row>
    <row r="302" spans="1:3" x14ac:dyDescent="0.25">
      <c r="A302" s="8" t="s">
        <v>301</v>
      </c>
      <c r="B302" s="9"/>
      <c r="C302" s="10">
        <v>507564.9</v>
      </c>
    </row>
    <row r="303" spans="1:3" x14ac:dyDescent="0.25">
      <c r="A303" s="8" t="s">
        <v>302</v>
      </c>
      <c r="B303" s="9"/>
      <c r="C303" s="10">
        <v>413790.11</v>
      </c>
    </row>
    <row r="304" spans="1:3" x14ac:dyDescent="0.25">
      <c r="A304" s="8" t="s">
        <v>303</v>
      </c>
      <c r="B304" s="9"/>
      <c r="C304" s="10">
        <v>200231</v>
      </c>
    </row>
    <row r="305" spans="1:3" x14ac:dyDescent="0.25">
      <c r="A305" s="8" t="s">
        <v>304</v>
      </c>
      <c r="B305" s="9"/>
      <c r="C305" s="10">
        <v>1293982.6299999999</v>
      </c>
    </row>
    <row r="306" spans="1:3" x14ac:dyDescent="0.25">
      <c r="A306" s="8" t="s">
        <v>305</v>
      </c>
      <c r="B306" s="9"/>
      <c r="C306" s="10">
        <v>986000</v>
      </c>
    </row>
    <row r="307" spans="1:3" x14ac:dyDescent="0.25">
      <c r="A307" s="8" t="s">
        <v>306</v>
      </c>
      <c r="B307" s="10">
        <v>264555</v>
      </c>
      <c r="C307" s="9"/>
    </row>
    <row r="308" spans="1:3" x14ac:dyDescent="0.25">
      <c r="A308" s="8" t="s">
        <v>307</v>
      </c>
      <c r="B308" s="9"/>
      <c r="C308" s="10">
        <v>4112</v>
      </c>
    </row>
    <row r="309" spans="1:3" x14ac:dyDescent="0.25">
      <c r="A309" s="8" t="s">
        <v>308</v>
      </c>
      <c r="B309" s="9"/>
      <c r="C309" s="10">
        <v>2908690.52</v>
      </c>
    </row>
    <row r="310" spans="1:3" x14ac:dyDescent="0.25">
      <c r="A310" s="8" t="s">
        <v>309</v>
      </c>
      <c r="B310" s="9"/>
      <c r="C310" s="10">
        <v>861092.66</v>
      </c>
    </row>
    <row r="311" spans="1:3" x14ac:dyDescent="0.25">
      <c r="A311" s="8" t="s">
        <v>310</v>
      </c>
      <c r="B311" s="9"/>
      <c r="C311" s="10">
        <v>199527</v>
      </c>
    </row>
    <row r="312" spans="1:3" x14ac:dyDescent="0.25">
      <c r="A312" s="8" t="s">
        <v>311</v>
      </c>
      <c r="B312" s="10">
        <v>32782.699999999997</v>
      </c>
      <c r="C312" s="9"/>
    </row>
    <row r="313" spans="1:3" x14ac:dyDescent="0.25">
      <c r="A313" s="11" t="s">
        <v>312</v>
      </c>
      <c r="B313" s="12">
        <v>55792598.090000004</v>
      </c>
      <c r="C313" s="12">
        <v>323118125.29000002</v>
      </c>
    </row>
  </sheetData>
  <autoFilter ref="A13:C313"/>
  <mergeCells count="12">
    <mergeCell ref="B12:C12"/>
    <mergeCell ref="A1:C1"/>
    <mergeCell ref="A2:C2"/>
    <mergeCell ref="A3:C3"/>
    <mergeCell ref="A4:C4"/>
    <mergeCell ref="A5:C5"/>
    <mergeCell ref="A6:C6"/>
    <mergeCell ref="A7:C7"/>
    <mergeCell ref="A8:C8"/>
    <mergeCell ref="B9:C9"/>
    <mergeCell ref="B10:C10"/>
    <mergeCell ref="B11:C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53"/>
  <sheetViews>
    <sheetView topLeftCell="A2" workbookViewId="0">
      <selection activeCell="A3" sqref="A3"/>
    </sheetView>
  </sheetViews>
  <sheetFormatPr defaultRowHeight="15" x14ac:dyDescent="0.25"/>
  <cols>
    <col min="1" max="1" width="34.42578125" customWidth="1"/>
    <col min="2" max="2" width="11.42578125" bestFit="1" customWidth="1"/>
    <col min="3" max="3" width="16.42578125" bestFit="1" customWidth="1"/>
    <col min="4" max="4" width="20.7109375" bestFit="1" customWidth="1"/>
    <col min="5" max="5" width="15.28515625" bestFit="1" customWidth="1"/>
    <col min="6" max="6" width="16.28515625" customWidth="1"/>
    <col min="7" max="7" width="14.28515625" bestFit="1" customWidth="1"/>
    <col min="8" max="8" width="13.28515625" bestFit="1" customWidth="1"/>
    <col min="9" max="12" width="14.28515625" bestFit="1" customWidth="1"/>
    <col min="13" max="13" width="15.140625" bestFit="1" customWidth="1"/>
  </cols>
  <sheetData>
    <row r="2" spans="1:13" x14ac:dyDescent="0.25">
      <c r="E2" s="27">
        <f>SUBTOTAL(9,E4:E53)</f>
        <v>-55774384.089999996</v>
      </c>
      <c r="F2" s="27">
        <f>SUBTOTAL(9,F4:F53)</f>
        <v>-21766900.789999995</v>
      </c>
      <c r="G2" s="27">
        <f>SUBTOTAL(9,G4:G53)</f>
        <v>-1036985.37</v>
      </c>
      <c r="H2" s="27">
        <f>SUBTOTAL(9,H4:H53)</f>
        <v>-10823022.800000001</v>
      </c>
      <c r="I2" s="27">
        <f>SUBTOTAL(9,I4:I53)</f>
        <v>-719701</v>
      </c>
      <c r="J2" s="27">
        <f>SUBTOTAL(9,J4:J53)</f>
        <v>-14270195.280000001</v>
      </c>
      <c r="K2" s="27">
        <f>SUBTOTAL(9,K4:K53)</f>
        <v>-1150000</v>
      </c>
      <c r="L2" s="27">
        <f>SUBTOTAL(9,L4:L53)</f>
        <v>-949762.84</v>
      </c>
      <c r="M2" s="27">
        <f>SUBTOTAL(9,M4:M53)</f>
        <v>-5057816.01</v>
      </c>
    </row>
    <row r="3" spans="1:13" x14ac:dyDescent="0.25">
      <c r="A3" s="28" t="s">
        <v>1771</v>
      </c>
      <c r="B3" s="29" t="s">
        <v>1793</v>
      </c>
      <c r="C3" s="29" t="s">
        <v>1794</v>
      </c>
      <c r="D3" s="29" t="s">
        <v>1795</v>
      </c>
      <c r="E3" s="30" t="s">
        <v>312</v>
      </c>
      <c r="F3" s="30" t="s">
        <v>1796</v>
      </c>
      <c r="G3" s="30" t="s">
        <v>1797</v>
      </c>
      <c r="H3" s="30" t="s">
        <v>1798</v>
      </c>
      <c r="I3" s="30" t="s">
        <v>1799</v>
      </c>
      <c r="J3" s="30" t="s">
        <v>1800</v>
      </c>
      <c r="K3" s="30" t="s">
        <v>1801</v>
      </c>
      <c r="L3" s="30" t="s">
        <v>1802</v>
      </c>
      <c r="M3" s="30" t="s">
        <v>1803</v>
      </c>
    </row>
    <row r="4" spans="1:13" x14ac:dyDescent="0.25">
      <c r="A4" s="31" t="s">
        <v>28</v>
      </c>
      <c r="B4" s="31" t="s">
        <v>402</v>
      </c>
      <c r="C4" s="31" t="s">
        <v>1805</v>
      </c>
      <c r="D4" s="31" t="s">
        <v>1776</v>
      </c>
      <c r="E4" s="32">
        <f>SUM(F4:M4)</f>
        <v>-585535.78</v>
      </c>
      <c r="F4" s="32">
        <v>-585535.78</v>
      </c>
      <c r="G4" s="32"/>
      <c r="H4" s="32"/>
      <c r="I4" s="32"/>
      <c r="J4" s="32"/>
      <c r="K4" s="32"/>
      <c r="L4" s="32"/>
      <c r="M4" s="32"/>
    </row>
    <row r="5" spans="1:13" x14ac:dyDescent="0.25">
      <c r="A5" s="31" t="s">
        <v>33</v>
      </c>
      <c r="B5" s="31" t="s">
        <v>1807</v>
      </c>
      <c r="C5" s="31" t="s">
        <v>1805</v>
      </c>
      <c r="D5" s="31" t="s">
        <v>1775</v>
      </c>
      <c r="E5" s="32">
        <f t="shared" ref="E5:E50" si="0">SUM(F5:M5)</f>
        <v>-163127.04000000001</v>
      </c>
      <c r="F5" s="32"/>
      <c r="G5" s="32"/>
      <c r="H5" s="32"/>
      <c r="I5" s="32"/>
      <c r="J5" s="32"/>
      <c r="K5" s="32">
        <v>-150000</v>
      </c>
      <c r="L5" s="32"/>
      <c r="M5" s="32">
        <v>-13127.04</v>
      </c>
    </row>
    <row r="6" spans="1:13" x14ac:dyDescent="0.25">
      <c r="A6" s="31" t="s">
        <v>37</v>
      </c>
      <c r="B6" s="31" t="s">
        <v>1813</v>
      </c>
      <c r="C6" s="31" t="s">
        <v>1808</v>
      </c>
      <c r="D6" s="31" t="s">
        <v>1773</v>
      </c>
      <c r="E6" s="32">
        <f t="shared" si="0"/>
        <v>-671500</v>
      </c>
      <c r="F6" s="32">
        <v>-671500</v>
      </c>
      <c r="G6" s="32"/>
      <c r="H6" s="32"/>
      <c r="I6" s="32"/>
      <c r="J6" s="32"/>
      <c r="K6" s="32"/>
      <c r="L6" s="32"/>
      <c r="M6" s="32"/>
    </row>
    <row r="7" spans="1:13" x14ac:dyDescent="0.25">
      <c r="A7" s="31" t="s">
        <v>42</v>
      </c>
      <c r="B7" s="31" t="s">
        <v>393</v>
      </c>
      <c r="C7" s="31" t="s">
        <v>1812</v>
      </c>
      <c r="D7" s="31" t="s">
        <v>1772</v>
      </c>
      <c r="E7" s="32">
        <f t="shared" si="0"/>
        <v>-250000</v>
      </c>
      <c r="F7" s="32"/>
      <c r="G7" s="32">
        <v>-250000</v>
      </c>
      <c r="H7" s="32"/>
      <c r="I7" s="32"/>
      <c r="J7" s="32"/>
      <c r="K7" s="32"/>
      <c r="L7" s="32"/>
      <c r="M7" s="32"/>
    </row>
    <row r="8" spans="1:13" x14ac:dyDescent="0.25">
      <c r="A8" s="31" t="s">
        <v>55</v>
      </c>
      <c r="B8" s="31" t="s">
        <v>642</v>
      </c>
      <c r="C8" s="31" t="s">
        <v>1808</v>
      </c>
      <c r="D8" s="31" t="s">
        <v>1774</v>
      </c>
      <c r="E8" s="32">
        <f t="shared" si="0"/>
        <v>-24999.599999999999</v>
      </c>
      <c r="F8" s="32">
        <v>-24999.599999999999</v>
      </c>
      <c r="G8" s="32"/>
      <c r="H8" s="32"/>
      <c r="I8" s="32"/>
      <c r="J8" s="32"/>
      <c r="K8" s="32"/>
      <c r="L8" s="32"/>
      <c r="M8" s="32"/>
    </row>
    <row r="9" spans="1:13" x14ac:dyDescent="0.25">
      <c r="A9" s="31" t="s">
        <v>57</v>
      </c>
      <c r="B9" s="31" t="s">
        <v>1816</v>
      </c>
      <c r="C9" s="31" t="s">
        <v>1808</v>
      </c>
      <c r="D9" s="31" t="s">
        <v>1786</v>
      </c>
      <c r="E9" s="32">
        <f t="shared" si="0"/>
        <v>-14632</v>
      </c>
      <c r="F9" s="32">
        <v>-14632</v>
      </c>
      <c r="G9" s="32"/>
      <c r="H9" s="32"/>
      <c r="I9" s="32"/>
      <c r="J9" s="32"/>
      <c r="K9" s="32"/>
      <c r="L9" s="32"/>
      <c r="M9" s="32"/>
    </row>
    <row r="10" spans="1:13" x14ac:dyDescent="0.25">
      <c r="A10" s="31" t="s">
        <v>69</v>
      </c>
      <c r="B10" s="31" t="s">
        <v>393</v>
      </c>
      <c r="C10" s="31" t="s">
        <v>1804</v>
      </c>
      <c r="D10" s="31" t="s">
        <v>1778</v>
      </c>
      <c r="E10" s="32">
        <f t="shared" si="0"/>
        <v>-13962953.220000001</v>
      </c>
      <c r="F10" s="32"/>
      <c r="G10" s="32"/>
      <c r="H10" s="32"/>
      <c r="I10" s="32"/>
      <c r="J10" s="32">
        <v>-13962953.220000001</v>
      </c>
      <c r="K10" s="32"/>
      <c r="L10" s="32"/>
      <c r="M10" s="32"/>
    </row>
    <row r="11" spans="1:13" x14ac:dyDescent="0.25">
      <c r="A11" s="31" t="s">
        <v>76</v>
      </c>
      <c r="B11" s="31" t="s">
        <v>616</v>
      </c>
      <c r="C11" s="31" t="s">
        <v>1805</v>
      </c>
      <c r="D11" s="31" t="s">
        <v>1776</v>
      </c>
      <c r="E11" s="32">
        <f t="shared" si="0"/>
        <v>-1328410</v>
      </c>
      <c r="F11" s="32">
        <v>-1328410</v>
      </c>
      <c r="G11" s="32"/>
      <c r="H11" s="32"/>
      <c r="I11" s="32"/>
      <c r="J11" s="32"/>
      <c r="K11" s="32"/>
      <c r="L11" s="32"/>
      <c r="M11" s="32"/>
    </row>
    <row r="12" spans="1:13" x14ac:dyDescent="0.25">
      <c r="A12" s="31" t="s">
        <v>82</v>
      </c>
      <c r="B12" s="31" t="s">
        <v>1809</v>
      </c>
      <c r="C12" s="31" t="s">
        <v>1808</v>
      </c>
      <c r="D12" s="31" t="s">
        <v>1776</v>
      </c>
      <c r="E12" s="32">
        <f t="shared" si="0"/>
        <v>-52675.88</v>
      </c>
      <c r="F12" s="32">
        <v>-52675.88</v>
      </c>
      <c r="G12" s="32"/>
      <c r="H12" s="32"/>
      <c r="I12" s="32"/>
      <c r="J12" s="32"/>
      <c r="K12" s="32"/>
      <c r="L12" s="32"/>
      <c r="M12" s="32"/>
    </row>
    <row r="13" spans="1:13" x14ac:dyDescent="0.25">
      <c r="A13" s="31" t="s">
        <v>89</v>
      </c>
      <c r="B13" s="31" t="s">
        <v>402</v>
      </c>
      <c r="C13" s="31" t="s">
        <v>1806</v>
      </c>
      <c r="D13" s="31" t="s">
        <v>1779</v>
      </c>
      <c r="E13" s="32">
        <f t="shared" si="0"/>
        <v>-581250</v>
      </c>
      <c r="F13" s="32">
        <v>-581250</v>
      </c>
      <c r="G13" s="32"/>
      <c r="H13" s="32"/>
      <c r="I13" s="32"/>
      <c r="J13" s="32"/>
      <c r="K13" s="32"/>
      <c r="L13" s="32"/>
      <c r="M13" s="32"/>
    </row>
    <row r="14" spans="1:13" x14ac:dyDescent="0.25">
      <c r="A14" s="31" t="s">
        <v>92</v>
      </c>
      <c r="B14" s="31" t="s">
        <v>449</v>
      </c>
      <c r="C14" s="31" t="s">
        <v>1810</v>
      </c>
      <c r="D14" s="31" t="s">
        <v>1780</v>
      </c>
      <c r="E14" s="32">
        <f t="shared" si="0"/>
        <v>-635583</v>
      </c>
      <c r="F14" s="32"/>
      <c r="G14" s="32"/>
      <c r="H14" s="32">
        <v>-635583</v>
      </c>
      <c r="I14" s="32"/>
      <c r="J14" s="32"/>
      <c r="K14" s="32"/>
      <c r="L14" s="32"/>
      <c r="M14" s="32"/>
    </row>
    <row r="15" spans="1:13" x14ac:dyDescent="0.25">
      <c r="A15" s="31" t="s">
        <v>93</v>
      </c>
      <c r="B15" s="31" t="s">
        <v>402</v>
      </c>
      <c r="C15" s="31" t="s">
        <v>1808</v>
      </c>
      <c r="D15" s="31" t="s">
        <v>1780</v>
      </c>
      <c r="E15" s="32">
        <f t="shared" si="0"/>
        <v>-44055</v>
      </c>
      <c r="F15" s="32"/>
      <c r="G15" s="32"/>
      <c r="H15" s="32"/>
      <c r="I15" s="32">
        <v>-44055</v>
      </c>
      <c r="J15" s="32"/>
      <c r="K15" s="32"/>
      <c r="L15" s="32"/>
      <c r="M15" s="32"/>
    </row>
    <row r="16" spans="1:13" x14ac:dyDescent="0.25">
      <c r="A16" s="31" t="s">
        <v>100</v>
      </c>
      <c r="B16" s="31" t="s">
        <v>323</v>
      </c>
      <c r="C16" s="31" t="s">
        <v>1805</v>
      </c>
      <c r="D16" s="31" t="s">
        <v>1781</v>
      </c>
      <c r="E16" s="32">
        <f t="shared" si="0"/>
        <v>-19032.799999999988</v>
      </c>
      <c r="F16" s="32">
        <v>136159</v>
      </c>
      <c r="G16" s="32"/>
      <c r="H16" s="32"/>
      <c r="I16" s="32"/>
      <c r="J16" s="32">
        <v>-155191.79999999999</v>
      </c>
      <c r="K16" s="32"/>
      <c r="L16" s="32"/>
      <c r="M16" s="32"/>
    </row>
    <row r="17" spans="1:13" x14ac:dyDescent="0.25">
      <c r="A17" s="31" t="s">
        <v>94</v>
      </c>
      <c r="B17" s="31" t="s">
        <v>449</v>
      </c>
      <c r="C17" s="31" t="s">
        <v>1808</v>
      </c>
      <c r="D17" s="31" t="s">
        <v>1781</v>
      </c>
      <c r="E17" s="32">
        <f t="shared" si="0"/>
        <v>-2331.9699999999998</v>
      </c>
      <c r="F17" s="32"/>
      <c r="G17" s="32"/>
      <c r="H17" s="32"/>
      <c r="I17" s="32"/>
      <c r="J17" s="32"/>
      <c r="K17" s="32"/>
      <c r="L17" s="32"/>
      <c r="M17" s="32">
        <v>-2331.9699999999998</v>
      </c>
    </row>
    <row r="18" spans="1:13" x14ac:dyDescent="0.25">
      <c r="A18" s="31" t="s">
        <v>97</v>
      </c>
      <c r="B18" s="31" t="s">
        <v>435</v>
      </c>
      <c r="C18" s="31" t="s">
        <v>1808</v>
      </c>
      <c r="D18" s="31" t="s">
        <v>1782</v>
      </c>
      <c r="E18" s="32">
        <f t="shared" si="0"/>
        <v>-804</v>
      </c>
      <c r="F18" s="32"/>
      <c r="G18" s="32">
        <v>-804</v>
      </c>
      <c r="H18" s="32"/>
      <c r="I18" s="32"/>
      <c r="J18" s="32"/>
      <c r="K18" s="32"/>
      <c r="L18" s="32"/>
      <c r="M18" s="32"/>
    </row>
    <row r="19" spans="1:13" x14ac:dyDescent="0.25">
      <c r="A19" s="31" t="s">
        <v>103</v>
      </c>
      <c r="B19" s="31" t="s">
        <v>449</v>
      </c>
      <c r="C19" s="31" t="s">
        <v>1808</v>
      </c>
      <c r="D19" s="31" t="s">
        <v>1776</v>
      </c>
      <c r="E19" s="32">
        <f t="shared" si="0"/>
        <v>-551204.70000000007</v>
      </c>
      <c r="F19" s="32">
        <v>-551204.70000000007</v>
      </c>
      <c r="G19" s="32"/>
      <c r="H19" s="32"/>
      <c r="I19" s="32"/>
      <c r="J19" s="32"/>
      <c r="K19" s="32"/>
      <c r="L19" s="32"/>
      <c r="M19" s="32"/>
    </row>
    <row r="20" spans="1:13" x14ac:dyDescent="0.25">
      <c r="A20" s="31" t="s">
        <v>108</v>
      </c>
      <c r="B20" s="31" t="s">
        <v>373</v>
      </c>
      <c r="C20" s="31" t="s">
        <v>1806</v>
      </c>
      <c r="D20" s="31" t="s">
        <v>1779</v>
      </c>
      <c r="E20" s="32">
        <f t="shared" si="0"/>
        <v>-4692357</v>
      </c>
      <c r="F20" s="32"/>
      <c r="G20" s="32"/>
      <c r="H20" s="32"/>
      <c r="I20" s="32"/>
      <c r="J20" s="32"/>
      <c r="K20" s="32"/>
      <c r="L20" s="32"/>
      <c r="M20" s="32">
        <v>-4692357</v>
      </c>
    </row>
    <row r="21" spans="1:13" x14ac:dyDescent="0.25">
      <c r="A21" s="31" t="s">
        <v>111</v>
      </c>
      <c r="B21" s="31" t="s">
        <v>393</v>
      </c>
      <c r="C21" s="31" t="s">
        <v>1806</v>
      </c>
      <c r="D21" s="31" t="s">
        <v>1783</v>
      </c>
      <c r="E21" s="32">
        <f t="shared" si="0"/>
        <v>-653396</v>
      </c>
      <c r="F21" s="32"/>
      <c r="G21" s="32"/>
      <c r="H21" s="32"/>
      <c r="I21" s="32">
        <v>-653396</v>
      </c>
      <c r="J21" s="32"/>
      <c r="K21" s="32"/>
      <c r="L21" s="32"/>
      <c r="M21" s="32"/>
    </row>
    <row r="22" spans="1:13" x14ac:dyDescent="0.25">
      <c r="A22" s="31" t="s">
        <v>133</v>
      </c>
      <c r="B22" s="31" t="s">
        <v>402</v>
      </c>
      <c r="C22" s="31" t="s">
        <v>1804</v>
      </c>
      <c r="D22" s="31" t="s">
        <v>1784</v>
      </c>
      <c r="E22" s="32">
        <f t="shared" si="0"/>
        <v>-1818600</v>
      </c>
      <c r="F22" s="32">
        <v>-1818600</v>
      </c>
      <c r="G22" s="32"/>
      <c r="H22" s="32"/>
      <c r="I22" s="32"/>
      <c r="J22" s="32"/>
      <c r="K22" s="32"/>
      <c r="L22" s="32"/>
      <c r="M22" s="32"/>
    </row>
    <row r="23" spans="1:13" x14ac:dyDescent="0.25">
      <c r="A23" s="31" t="s">
        <v>152</v>
      </c>
      <c r="B23" s="31" t="s">
        <v>1813</v>
      </c>
      <c r="C23" s="31" t="s">
        <v>1808</v>
      </c>
      <c r="D23" s="31" t="s">
        <v>1785</v>
      </c>
      <c r="E23" s="32">
        <f t="shared" si="0"/>
        <v>-5900</v>
      </c>
      <c r="F23" s="32">
        <v>-5900</v>
      </c>
      <c r="G23" s="32"/>
      <c r="H23" s="32"/>
      <c r="I23" s="32"/>
      <c r="J23" s="32"/>
      <c r="K23" s="32"/>
      <c r="L23" s="32"/>
      <c r="M23" s="32"/>
    </row>
    <row r="24" spans="1:13" x14ac:dyDescent="0.25">
      <c r="A24" s="31" t="s">
        <v>156</v>
      </c>
      <c r="B24" s="31" t="s">
        <v>1807</v>
      </c>
      <c r="C24" s="31" t="s">
        <v>1808</v>
      </c>
      <c r="D24" s="31" t="s">
        <v>1781</v>
      </c>
      <c r="E24" s="32">
        <f t="shared" si="0"/>
        <v>-1000000</v>
      </c>
      <c r="F24" s="32"/>
      <c r="G24" s="32"/>
      <c r="H24" s="32"/>
      <c r="I24" s="32"/>
      <c r="J24" s="32"/>
      <c r="K24" s="32">
        <v>-1000000</v>
      </c>
      <c r="L24" s="32"/>
      <c r="M24" s="32"/>
    </row>
    <row r="25" spans="1:13" x14ac:dyDescent="0.25">
      <c r="A25" s="31" t="s">
        <v>149</v>
      </c>
      <c r="B25" s="31" t="s">
        <v>449</v>
      </c>
      <c r="C25" s="31" t="s">
        <v>1808</v>
      </c>
      <c r="D25" s="31" t="s">
        <v>1788</v>
      </c>
      <c r="E25" s="32">
        <f t="shared" si="0"/>
        <v>-0.3</v>
      </c>
      <c r="F25" s="32">
        <v>-0.3</v>
      </c>
      <c r="G25" s="32"/>
      <c r="H25" s="32"/>
      <c r="I25" s="32"/>
      <c r="J25" s="32"/>
      <c r="K25" s="32"/>
      <c r="L25" s="32"/>
      <c r="M25" s="32"/>
    </row>
    <row r="26" spans="1:13" x14ac:dyDescent="0.25">
      <c r="A26" s="31" t="s">
        <v>167</v>
      </c>
      <c r="B26" s="31" t="s">
        <v>393</v>
      </c>
      <c r="C26" s="31" t="s">
        <v>1814</v>
      </c>
      <c r="D26" s="31" t="s">
        <v>1784</v>
      </c>
      <c r="E26" s="32">
        <f t="shared" si="0"/>
        <v>-76000</v>
      </c>
      <c r="F26" s="32"/>
      <c r="G26" s="32"/>
      <c r="H26" s="32">
        <v>-76000</v>
      </c>
      <c r="I26" s="32"/>
      <c r="J26" s="32"/>
      <c r="K26" s="32"/>
      <c r="L26" s="32"/>
      <c r="M26" s="32"/>
    </row>
    <row r="27" spans="1:13" x14ac:dyDescent="0.25">
      <c r="A27" s="31" t="s">
        <v>173</v>
      </c>
      <c r="B27" s="31" t="s">
        <v>393</v>
      </c>
      <c r="C27" s="31" t="s">
        <v>1808</v>
      </c>
      <c r="D27" s="31" t="s">
        <v>1787</v>
      </c>
      <c r="E27" s="32">
        <f t="shared" si="0"/>
        <v>-74000</v>
      </c>
      <c r="F27" s="32"/>
      <c r="G27" s="32"/>
      <c r="H27" s="32">
        <v>-74000</v>
      </c>
      <c r="I27" s="32"/>
      <c r="J27" s="32"/>
      <c r="K27" s="32"/>
      <c r="L27" s="32"/>
      <c r="M27" s="32"/>
    </row>
    <row r="28" spans="1:13" x14ac:dyDescent="0.25">
      <c r="A28" s="31" t="s">
        <v>175</v>
      </c>
      <c r="B28" s="31" t="s">
        <v>402</v>
      </c>
      <c r="C28" s="31" t="s">
        <v>1818</v>
      </c>
      <c r="D28" s="31" t="s">
        <v>1788</v>
      </c>
      <c r="E28" s="32">
        <f t="shared" si="0"/>
        <v>-10</v>
      </c>
      <c r="F28" s="32"/>
      <c r="G28" s="32">
        <v>-10</v>
      </c>
      <c r="H28" s="32"/>
      <c r="I28" s="32"/>
      <c r="J28" s="32"/>
      <c r="K28" s="32"/>
      <c r="L28" s="32"/>
      <c r="M28" s="32"/>
    </row>
    <row r="29" spans="1:13" x14ac:dyDescent="0.25">
      <c r="A29" s="31" t="s">
        <v>191</v>
      </c>
      <c r="B29" s="31" t="s">
        <v>393</v>
      </c>
      <c r="C29" s="31" t="s">
        <v>1808</v>
      </c>
      <c r="D29" s="31" t="s">
        <v>1774</v>
      </c>
      <c r="E29" s="32">
        <f t="shared" si="0"/>
        <v>-25000</v>
      </c>
      <c r="F29" s="32">
        <v>-25000</v>
      </c>
      <c r="G29" s="32"/>
      <c r="H29" s="32"/>
      <c r="I29" s="32"/>
      <c r="J29" s="32"/>
      <c r="K29" s="32"/>
      <c r="L29" s="32"/>
      <c r="M29" s="32"/>
    </row>
    <row r="30" spans="1:13" x14ac:dyDescent="0.25">
      <c r="A30" s="31" t="s">
        <v>196</v>
      </c>
      <c r="B30" s="31" t="s">
        <v>449</v>
      </c>
      <c r="C30" s="31" t="s">
        <v>1808</v>
      </c>
      <c r="D30" s="31" t="s">
        <v>1787</v>
      </c>
      <c r="E30" s="32">
        <f t="shared" si="0"/>
        <v>-20000</v>
      </c>
      <c r="F30" s="32"/>
      <c r="G30" s="32"/>
      <c r="H30" s="32"/>
      <c r="I30" s="32">
        <v>-20000</v>
      </c>
      <c r="J30" s="32"/>
      <c r="K30" s="32"/>
      <c r="L30" s="32"/>
      <c r="M30" s="32"/>
    </row>
    <row r="31" spans="1:13" x14ac:dyDescent="0.25">
      <c r="A31" s="31" t="s">
        <v>197</v>
      </c>
      <c r="B31" s="31" t="s">
        <v>1813</v>
      </c>
      <c r="C31" s="31" t="s">
        <v>1808</v>
      </c>
      <c r="D31" s="31" t="s">
        <v>1774</v>
      </c>
      <c r="E31" s="32">
        <f t="shared" si="0"/>
        <v>-25000</v>
      </c>
      <c r="F31" s="32"/>
      <c r="G31" s="32"/>
      <c r="H31" s="32">
        <v>-25000</v>
      </c>
      <c r="I31" s="32"/>
      <c r="J31" s="32"/>
      <c r="K31" s="32"/>
      <c r="L31" s="32"/>
      <c r="M31" s="32"/>
    </row>
    <row r="32" spans="1:13" x14ac:dyDescent="0.25">
      <c r="A32" s="31" t="s">
        <v>217</v>
      </c>
      <c r="B32" s="31" t="s">
        <v>402</v>
      </c>
      <c r="C32" s="31" t="s">
        <v>1808</v>
      </c>
      <c r="D32" s="31" t="s">
        <v>1774</v>
      </c>
      <c r="E32" s="32">
        <f t="shared" si="0"/>
        <v>-15830</v>
      </c>
      <c r="F32" s="32">
        <v>-15830</v>
      </c>
      <c r="G32" s="32"/>
      <c r="H32" s="32"/>
      <c r="I32" s="32"/>
      <c r="J32" s="32"/>
      <c r="K32" s="32"/>
      <c r="L32" s="32"/>
      <c r="M32" s="32"/>
    </row>
    <row r="33" spans="1:13" x14ac:dyDescent="0.25">
      <c r="A33" s="31" t="s">
        <v>226</v>
      </c>
      <c r="B33" s="31" t="s">
        <v>393</v>
      </c>
      <c r="C33" s="31" t="s">
        <v>1805</v>
      </c>
      <c r="D33" s="31" t="s">
        <v>1775</v>
      </c>
      <c r="E33" s="32">
        <f t="shared" si="0"/>
        <v>-141655</v>
      </c>
      <c r="F33" s="32"/>
      <c r="G33" s="32"/>
      <c r="H33" s="32"/>
      <c r="I33" s="32"/>
      <c r="J33" s="32">
        <v>-141655</v>
      </c>
      <c r="K33" s="32"/>
      <c r="L33" s="32"/>
      <c r="M33" s="32"/>
    </row>
    <row r="34" spans="1:13" x14ac:dyDescent="0.25">
      <c r="A34" s="31" t="s">
        <v>231</v>
      </c>
      <c r="B34" s="31" t="s">
        <v>1813</v>
      </c>
      <c r="C34" s="31" t="s">
        <v>1808</v>
      </c>
      <c r="D34" s="31" t="s">
        <v>1774</v>
      </c>
      <c r="E34" s="32">
        <f t="shared" si="0"/>
        <v>-30000</v>
      </c>
      <c r="F34" s="32"/>
      <c r="G34" s="32"/>
      <c r="H34" s="32">
        <v>-30000</v>
      </c>
      <c r="I34" s="32"/>
      <c r="J34" s="32"/>
      <c r="K34" s="32"/>
      <c r="L34" s="32"/>
      <c r="M34" s="32"/>
    </row>
    <row r="35" spans="1:13" x14ac:dyDescent="0.25">
      <c r="A35" s="31" t="s">
        <v>234</v>
      </c>
      <c r="B35" s="31" t="s">
        <v>616</v>
      </c>
      <c r="C35" s="31" t="s">
        <v>1808</v>
      </c>
      <c r="D35" s="31" t="s">
        <v>1789</v>
      </c>
      <c r="E35" s="32">
        <f t="shared" si="0"/>
        <v>-400000</v>
      </c>
      <c r="F35" s="32">
        <v>-400000</v>
      </c>
      <c r="G35" s="32"/>
      <c r="H35" s="32"/>
      <c r="I35" s="32"/>
      <c r="J35" s="32"/>
      <c r="K35" s="32"/>
      <c r="L35" s="32"/>
      <c r="M35" s="32"/>
    </row>
    <row r="36" spans="1:13" x14ac:dyDescent="0.25">
      <c r="A36" s="31" t="s">
        <v>237</v>
      </c>
      <c r="B36" s="31" t="s">
        <v>1809</v>
      </c>
      <c r="C36" s="31" t="s">
        <v>1805</v>
      </c>
      <c r="D36" s="31" t="s">
        <v>1790</v>
      </c>
      <c r="E36" s="32">
        <f t="shared" si="0"/>
        <v>-649762.84</v>
      </c>
      <c r="F36" s="32"/>
      <c r="G36" s="32"/>
      <c r="H36" s="32"/>
      <c r="I36" s="32"/>
      <c r="J36" s="32"/>
      <c r="K36" s="32"/>
      <c r="L36" s="32">
        <v>-649762.84</v>
      </c>
      <c r="M36" s="32"/>
    </row>
    <row r="37" spans="1:13" x14ac:dyDescent="0.25">
      <c r="A37" s="31" t="s">
        <v>250</v>
      </c>
      <c r="B37" s="31" t="s">
        <v>1807</v>
      </c>
      <c r="C37" s="31" t="s">
        <v>1808</v>
      </c>
      <c r="D37" s="31" t="s">
        <v>1775</v>
      </c>
      <c r="E37" s="32">
        <f t="shared" si="0"/>
        <v>-10395.26</v>
      </c>
      <c r="F37" s="32"/>
      <c r="G37" s="32"/>
      <c r="H37" s="32"/>
      <c r="I37" s="32"/>
      <c r="J37" s="32">
        <v>-10395.26</v>
      </c>
      <c r="K37" s="32"/>
      <c r="L37" s="32"/>
      <c r="M37" s="32"/>
    </row>
    <row r="38" spans="1:13" x14ac:dyDescent="0.25">
      <c r="A38" s="31" t="s">
        <v>257</v>
      </c>
      <c r="B38" s="31" t="s">
        <v>373</v>
      </c>
      <c r="C38" s="31" t="s">
        <v>1808</v>
      </c>
      <c r="D38" s="31" t="s">
        <v>1791</v>
      </c>
      <c r="E38" s="32">
        <f t="shared" si="0"/>
        <v>-2250</v>
      </c>
      <c r="F38" s="32"/>
      <c r="G38" s="32"/>
      <c r="H38" s="32"/>
      <c r="I38" s="32">
        <v>-2250</v>
      </c>
      <c r="J38" s="32"/>
      <c r="K38" s="32"/>
      <c r="L38" s="32"/>
      <c r="M38" s="32"/>
    </row>
    <row r="39" spans="1:13" x14ac:dyDescent="0.25">
      <c r="A39" s="31" t="s">
        <v>263</v>
      </c>
      <c r="B39" s="31" t="s">
        <v>402</v>
      </c>
      <c r="C39" s="31" t="s">
        <v>1806</v>
      </c>
      <c r="D39" s="31" t="s">
        <v>1779</v>
      </c>
      <c r="E39" s="32">
        <f t="shared" si="0"/>
        <v>-650000</v>
      </c>
      <c r="F39" s="32"/>
      <c r="G39" s="32"/>
      <c r="H39" s="32"/>
      <c r="I39" s="32"/>
      <c r="J39" s="32"/>
      <c r="K39" s="32"/>
      <c r="L39" s="32">
        <v>-300000</v>
      </c>
      <c r="M39" s="32">
        <v>-350000</v>
      </c>
    </row>
    <row r="40" spans="1:13" x14ac:dyDescent="0.25">
      <c r="A40" s="31" t="s">
        <v>261</v>
      </c>
      <c r="B40" s="31" t="s">
        <v>1807</v>
      </c>
      <c r="C40" s="31" t="s">
        <v>1805</v>
      </c>
      <c r="D40" s="31" t="s">
        <v>1792</v>
      </c>
      <c r="E40" s="32">
        <f t="shared" si="0"/>
        <v>-15353736.789999999</v>
      </c>
      <c r="F40" s="32">
        <v>-15353736.789999999</v>
      </c>
      <c r="G40" s="32"/>
      <c r="H40" s="32"/>
      <c r="I40" s="32"/>
      <c r="J40" s="32"/>
      <c r="K40" s="32"/>
      <c r="L40" s="32"/>
      <c r="M40" s="32"/>
    </row>
    <row r="41" spans="1:13" x14ac:dyDescent="0.25">
      <c r="A41" s="31" t="s">
        <v>270</v>
      </c>
      <c r="B41" s="31" t="s">
        <v>1816</v>
      </c>
      <c r="C41" s="31" t="s">
        <v>1812</v>
      </c>
      <c r="D41" s="31" t="s">
        <v>1774</v>
      </c>
      <c r="E41" s="32">
        <f t="shared" si="0"/>
        <v>-5992</v>
      </c>
      <c r="F41" s="32">
        <v>-5992</v>
      </c>
      <c r="G41" s="32"/>
      <c r="H41" s="32"/>
      <c r="I41" s="32"/>
      <c r="J41" s="32"/>
      <c r="K41" s="32"/>
      <c r="L41" s="32"/>
      <c r="M41" s="32"/>
    </row>
    <row r="42" spans="1:13" x14ac:dyDescent="0.25">
      <c r="A42" s="31" t="s">
        <v>271</v>
      </c>
      <c r="B42" s="31" t="s">
        <v>393</v>
      </c>
      <c r="C42" s="31" t="s">
        <v>1815</v>
      </c>
      <c r="D42" s="31" t="s">
        <v>1777</v>
      </c>
      <c r="E42" s="32">
        <f t="shared" si="0"/>
        <v>-1770</v>
      </c>
      <c r="F42" s="32"/>
      <c r="G42" s="32">
        <v>-940</v>
      </c>
      <c r="H42" s="32">
        <v>-830</v>
      </c>
      <c r="I42" s="32"/>
      <c r="J42" s="32"/>
      <c r="K42" s="32"/>
      <c r="L42" s="32"/>
      <c r="M42" s="32"/>
    </row>
    <row r="43" spans="1:13" x14ac:dyDescent="0.25">
      <c r="A43" s="31" t="s">
        <v>273</v>
      </c>
      <c r="B43" s="31" t="s">
        <v>600</v>
      </c>
      <c r="C43" s="31" t="s">
        <v>1808</v>
      </c>
      <c r="D43" s="31" t="s">
        <v>1775</v>
      </c>
      <c r="E43" s="32">
        <f t="shared" si="0"/>
        <v>-49185</v>
      </c>
      <c r="F43" s="32">
        <v>-49185</v>
      </c>
      <c r="G43" s="32"/>
      <c r="H43" s="32"/>
      <c r="I43" s="32"/>
      <c r="J43" s="32"/>
      <c r="K43" s="32"/>
      <c r="L43" s="32"/>
      <c r="M43" s="32"/>
    </row>
    <row r="44" spans="1:13" x14ac:dyDescent="0.25">
      <c r="A44" s="31" t="s">
        <v>276</v>
      </c>
      <c r="B44" s="31" t="s">
        <v>1807</v>
      </c>
      <c r="C44" s="31" t="s">
        <v>1815</v>
      </c>
      <c r="D44" s="31" t="s">
        <v>1775</v>
      </c>
      <c r="E44" s="32">
        <f t="shared" si="0"/>
        <v>-57486.37</v>
      </c>
      <c r="F44" s="32"/>
      <c r="G44" s="32">
        <v>-57486.37</v>
      </c>
      <c r="H44" s="32"/>
      <c r="I44" s="32"/>
      <c r="J44" s="32"/>
      <c r="K44" s="32"/>
      <c r="L44" s="32"/>
      <c r="M44" s="32"/>
    </row>
    <row r="45" spans="1:13" x14ac:dyDescent="0.25">
      <c r="A45" s="31" t="s">
        <v>290</v>
      </c>
      <c r="B45" s="31" t="s">
        <v>402</v>
      </c>
      <c r="C45" s="31" t="s">
        <v>1806</v>
      </c>
      <c r="D45" s="31" t="s">
        <v>1779</v>
      </c>
      <c r="E45" s="32">
        <f t="shared" si="0"/>
        <v>-850000</v>
      </c>
      <c r="F45" s="32">
        <v>-350000</v>
      </c>
      <c r="G45" s="32"/>
      <c r="H45" s="32">
        <v>-500000</v>
      </c>
      <c r="I45" s="32"/>
      <c r="J45" s="32"/>
      <c r="K45" s="32"/>
      <c r="L45" s="32"/>
      <c r="M45" s="32"/>
    </row>
    <row r="46" spans="1:13" x14ac:dyDescent="0.25">
      <c r="A46" s="31" t="s">
        <v>293</v>
      </c>
      <c r="B46" s="31" t="s">
        <v>393</v>
      </c>
      <c r="C46" s="31" t="s">
        <v>1805</v>
      </c>
      <c r="D46" s="31" t="s">
        <v>1778</v>
      </c>
      <c r="E46" s="32">
        <f t="shared" si="0"/>
        <v>-9481609.8000000007</v>
      </c>
      <c r="F46" s="32"/>
      <c r="G46" s="32"/>
      <c r="H46" s="32">
        <v>-9481609.8000000007</v>
      </c>
      <c r="I46" s="32"/>
      <c r="J46" s="32"/>
      <c r="K46" s="32"/>
      <c r="L46" s="32"/>
      <c r="M46" s="32"/>
    </row>
    <row r="47" spans="1:13" x14ac:dyDescent="0.25">
      <c r="A47" s="31" t="s">
        <v>294</v>
      </c>
      <c r="B47" s="31" t="s">
        <v>616</v>
      </c>
      <c r="C47" s="31" t="s">
        <v>1805</v>
      </c>
      <c r="D47" s="31" t="s">
        <v>1775</v>
      </c>
      <c r="E47" s="32">
        <f t="shared" si="0"/>
        <v>-463190</v>
      </c>
      <c r="F47" s="32"/>
      <c r="G47" s="32">
        <v>-463190</v>
      </c>
      <c r="H47" s="32"/>
      <c r="I47" s="32"/>
      <c r="J47" s="32"/>
      <c r="K47" s="32"/>
      <c r="L47" s="32"/>
      <c r="M47" s="32"/>
    </row>
    <row r="48" spans="1:13" x14ac:dyDescent="0.25">
      <c r="A48" s="31" t="s">
        <v>296</v>
      </c>
      <c r="B48" s="31" t="s">
        <v>1816</v>
      </c>
      <c r="C48" s="31" t="s">
        <v>1805</v>
      </c>
      <c r="D48" s="31" t="s">
        <v>1776</v>
      </c>
      <c r="E48" s="32">
        <f t="shared" si="0"/>
        <v>-35825.039999999994</v>
      </c>
      <c r="F48" s="32">
        <v>-35825.039999999994</v>
      </c>
      <c r="G48" s="32"/>
      <c r="H48" s="32"/>
      <c r="I48" s="32"/>
      <c r="J48" s="32"/>
      <c r="K48" s="32"/>
      <c r="L48" s="32"/>
      <c r="M48" s="32"/>
    </row>
    <row r="49" spans="1:13" x14ac:dyDescent="0.25">
      <c r="A49" s="31" t="s">
        <v>306</v>
      </c>
      <c r="B49" s="31" t="s">
        <v>449</v>
      </c>
      <c r="C49" s="31" t="s">
        <v>1811</v>
      </c>
      <c r="D49" s="31" t="s">
        <v>1775</v>
      </c>
      <c r="E49" s="32">
        <f t="shared" si="0"/>
        <v>-264555</v>
      </c>
      <c r="F49" s="32"/>
      <c r="G49" s="32">
        <v>-264555</v>
      </c>
      <c r="H49" s="32"/>
      <c r="I49" s="32"/>
      <c r="J49" s="32"/>
      <c r="K49" s="32"/>
      <c r="L49" s="32"/>
      <c r="M49" s="32"/>
    </row>
    <row r="50" spans="1:13" x14ac:dyDescent="0.25">
      <c r="A50" s="31" t="s">
        <v>311</v>
      </c>
      <c r="B50" s="31" t="s">
        <v>323</v>
      </c>
      <c r="C50" s="31" t="s">
        <v>1805</v>
      </c>
      <c r="D50" s="31" t="s">
        <v>1775</v>
      </c>
      <c r="E50" s="32">
        <f t="shared" si="0"/>
        <v>-32782.699999999997</v>
      </c>
      <c r="F50" s="32">
        <v>-32782.699999999997</v>
      </c>
      <c r="G50" s="32"/>
      <c r="H50" s="32"/>
      <c r="I50" s="32"/>
      <c r="J50" s="32"/>
      <c r="K50" s="32"/>
      <c r="L50" s="32"/>
      <c r="M50" s="32"/>
    </row>
    <row r="51" spans="1:13" x14ac:dyDescent="0.25">
      <c r="A51" s="31"/>
      <c r="B51" s="31"/>
      <c r="C51" s="31"/>
      <c r="D51" s="31"/>
      <c r="E51" s="32"/>
      <c r="F51" s="32"/>
      <c r="G51" s="32"/>
      <c r="H51" s="32"/>
      <c r="I51" s="32"/>
      <c r="J51" s="32"/>
      <c r="K51" s="32"/>
      <c r="L51" s="32"/>
      <c r="M51" s="32"/>
    </row>
    <row r="52" spans="1:13" x14ac:dyDescent="0.25">
      <c r="A52" s="31"/>
      <c r="B52" s="31"/>
      <c r="C52" s="31"/>
      <c r="D52" s="31"/>
      <c r="E52" s="32"/>
      <c r="F52" s="32"/>
      <c r="G52" s="32"/>
      <c r="H52" s="32"/>
      <c r="I52" s="32"/>
      <c r="J52" s="32"/>
      <c r="K52" s="32"/>
      <c r="L52" s="32"/>
      <c r="M52" s="32"/>
    </row>
    <row r="53" spans="1:13" x14ac:dyDescent="0.25">
      <c r="A53" s="31" t="s">
        <v>1822</v>
      </c>
      <c r="B53" s="31" t="s">
        <v>1822</v>
      </c>
      <c r="C53" s="31" t="s">
        <v>1822</v>
      </c>
      <c r="D53" s="31" t="s">
        <v>1822</v>
      </c>
      <c r="E53" s="31" t="s">
        <v>1822</v>
      </c>
      <c r="F53" s="31" t="s">
        <v>1822</v>
      </c>
      <c r="G53" s="31" t="s">
        <v>1822</v>
      </c>
      <c r="H53" s="31" t="s">
        <v>1822</v>
      </c>
      <c r="I53" s="31" t="s">
        <v>1822</v>
      </c>
      <c r="J53" s="31" t="s">
        <v>1822</v>
      </c>
      <c r="K53" s="31" t="s">
        <v>1822</v>
      </c>
      <c r="L53" s="31" t="s">
        <v>1822</v>
      </c>
      <c r="M53" s="31" t="s">
        <v>1822</v>
      </c>
    </row>
  </sheetData>
  <autoFilter ref="A3:Q53">
    <sortState ref="A6:S55">
      <sortCondition ref="E5:E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258"/>
  <sheetViews>
    <sheetView topLeftCell="A3" workbookViewId="0">
      <selection activeCell="A3" sqref="A3"/>
    </sheetView>
  </sheetViews>
  <sheetFormatPr defaultRowHeight="15" x14ac:dyDescent="0.25"/>
  <cols>
    <col min="1" max="1" width="58.28515625" bestFit="1" customWidth="1"/>
    <col min="2" max="2" width="16" customWidth="1"/>
    <col min="3" max="3" width="14.42578125" bestFit="1" customWidth="1"/>
    <col min="4" max="4" width="21.140625" bestFit="1" customWidth="1"/>
    <col min="5" max="5" width="16.28515625" customWidth="1"/>
    <col min="6" max="6" width="16.5703125" bestFit="1" customWidth="1"/>
    <col min="7" max="9" width="14.42578125" bestFit="1" customWidth="1"/>
    <col min="10" max="10" width="13.42578125" bestFit="1" customWidth="1"/>
    <col min="11" max="12" width="14.42578125" bestFit="1" customWidth="1"/>
    <col min="13" max="13" width="15.140625" bestFit="1" customWidth="1"/>
    <col min="14" max="14" width="15.28515625" bestFit="1" customWidth="1"/>
    <col min="15" max="15" width="10" bestFit="1" customWidth="1"/>
  </cols>
  <sheetData>
    <row r="3" spans="1:14" x14ac:dyDescent="0.25">
      <c r="E3" s="27">
        <f>SUBTOTAL(9,E5:E257)</f>
        <v>323930704.60999995</v>
      </c>
      <c r="F3" s="27">
        <f t="shared" ref="F3:M3" si="0">SUBTOTAL(9,F5:F257)</f>
        <v>103013705.73000005</v>
      </c>
      <c r="G3" s="27">
        <f t="shared" si="0"/>
        <v>94247248.579999983</v>
      </c>
      <c r="H3" s="27">
        <f t="shared" si="0"/>
        <v>18918674.100000001</v>
      </c>
      <c r="I3" s="27">
        <f t="shared" si="0"/>
        <v>16311613.699999999</v>
      </c>
      <c r="J3" s="27">
        <f t="shared" si="0"/>
        <v>3220010.93</v>
      </c>
      <c r="K3" s="27">
        <f t="shared" si="0"/>
        <v>12430620.75</v>
      </c>
      <c r="L3" s="27">
        <f t="shared" si="0"/>
        <v>52779019.780000009</v>
      </c>
      <c r="M3" s="27">
        <f t="shared" si="0"/>
        <v>23009811.039999999</v>
      </c>
      <c r="N3" s="27">
        <f>SUBTOTAL(9,N5:N257)</f>
        <v>323930704.60999995</v>
      </c>
    </row>
    <row r="4" spans="1:14" x14ac:dyDescent="0.25">
      <c r="A4" s="47" t="s">
        <v>1770</v>
      </c>
      <c r="B4" s="49" t="s">
        <v>1793</v>
      </c>
      <c r="C4" s="49" t="s">
        <v>1794</v>
      </c>
      <c r="D4" s="49" t="s">
        <v>1825</v>
      </c>
      <c r="E4" s="47" t="s">
        <v>312</v>
      </c>
      <c r="F4" s="47" t="s">
        <v>1796</v>
      </c>
      <c r="G4" s="47" t="s">
        <v>1797</v>
      </c>
      <c r="H4" s="47" t="s">
        <v>1798</v>
      </c>
      <c r="I4" s="47" t="s">
        <v>1799</v>
      </c>
      <c r="J4" s="47" t="s">
        <v>1800</v>
      </c>
      <c r="K4" s="47" t="s">
        <v>1801</v>
      </c>
      <c r="L4" s="47" t="s">
        <v>1820</v>
      </c>
      <c r="M4" s="47" t="s">
        <v>1821</v>
      </c>
      <c r="N4" s="47" t="s">
        <v>312</v>
      </c>
    </row>
    <row r="5" spans="1:14" x14ac:dyDescent="0.25">
      <c r="A5" s="44" t="s">
        <v>425</v>
      </c>
      <c r="B5" s="44" t="s">
        <v>426</v>
      </c>
      <c r="C5" s="44" t="s">
        <v>1829</v>
      </c>
      <c r="D5" s="44" t="s">
        <v>1830</v>
      </c>
      <c r="E5" s="45">
        <f>SUM(F5:M5)</f>
        <v>0.01</v>
      </c>
      <c r="F5" s="45"/>
      <c r="G5" s="45"/>
      <c r="H5" s="45"/>
      <c r="I5" s="45"/>
      <c r="J5" s="45"/>
      <c r="K5" s="45"/>
      <c r="L5" s="45"/>
      <c r="M5" s="45">
        <v>0.01</v>
      </c>
      <c r="N5" s="45">
        <v>0.01</v>
      </c>
    </row>
    <row r="6" spans="1:14" x14ac:dyDescent="0.25">
      <c r="A6" s="44" t="s">
        <v>13</v>
      </c>
      <c r="B6" s="44" t="s">
        <v>402</v>
      </c>
      <c r="C6" s="44" t="s">
        <v>1829</v>
      </c>
      <c r="D6" s="44" t="s">
        <v>1830</v>
      </c>
      <c r="E6" s="45">
        <f t="shared" ref="E6:E69" si="1">SUM(F6:M6)</f>
        <v>151788</v>
      </c>
      <c r="F6" s="45">
        <v>151788</v>
      </c>
      <c r="G6" s="45"/>
      <c r="H6" s="45"/>
      <c r="I6" s="45"/>
      <c r="J6" s="45"/>
      <c r="K6" s="45"/>
      <c r="L6" s="45"/>
      <c r="M6" s="45"/>
      <c r="N6" s="45">
        <v>151788</v>
      </c>
    </row>
    <row r="7" spans="1:14" x14ac:dyDescent="0.25">
      <c r="A7" s="44" t="s">
        <v>15</v>
      </c>
      <c r="B7" s="44" t="s">
        <v>402</v>
      </c>
      <c r="C7" s="44" t="s">
        <v>1808</v>
      </c>
      <c r="D7" s="44" t="s">
        <v>1831</v>
      </c>
      <c r="E7" s="45">
        <f t="shared" si="1"/>
        <v>44840</v>
      </c>
      <c r="F7" s="45">
        <v>44840</v>
      </c>
      <c r="G7" s="45"/>
      <c r="H7" s="45"/>
      <c r="I7" s="45"/>
      <c r="J7" s="45"/>
      <c r="K7" s="45"/>
      <c r="L7" s="45"/>
      <c r="M7" s="45"/>
      <c r="N7" s="45">
        <v>44840</v>
      </c>
    </row>
    <row r="8" spans="1:14" x14ac:dyDescent="0.25">
      <c r="A8" s="44" t="s">
        <v>16</v>
      </c>
      <c r="B8" s="44" t="s">
        <v>1826</v>
      </c>
      <c r="C8" s="44" t="s">
        <v>1829</v>
      </c>
      <c r="D8" s="44" t="s">
        <v>1830</v>
      </c>
      <c r="E8" s="45">
        <f t="shared" si="1"/>
        <v>85266.8</v>
      </c>
      <c r="F8" s="45"/>
      <c r="G8" s="45"/>
      <c r="H8" s="45"/>
      <c r="I8" s="45">
        <v>85266.8</v>
      </c>
      <c r="J8" s="45"/>
      <c r="K8" s="45"/>
      <c r="L8" s="45"/>
      <c r="M8" s="45"/>
      <c r="N8" s="45">
        <v>85266.8</v>
      </c>
    </row>
    <row r="9" spans="1:14" x14ac:dyDescent="0.25">
      <c r="A9" s="44" t="s">
        <v>17</v>
      </c>
      <c r="B9" s="44" t="s">
        <v>1816</v>
      </c>
      <c r="C9" s="44" t="s">
        <v>1808</v>
      </c>
      <c r="D9" s="44" t="s">
        <v>1831</v>
      </c>
      <c r="E9" s="45">
        <f t="shared" si="1"/>
        <v>1166477.6600000001</v>
      </c>
      <c r="F9" s="45">
        <v>575160.48</v>
      </c>
      <c r="G9" s="45">
        <v>442502.06</v>
      </c>
      <c r="H9" s="45">
        <v>148815.12</v>
      </c>
      <c r="I9" s="45"/>
      <c r="J9" s="45"/>
      <c r="K9" s="45"/>
      <c r="L9" s="45"/>
      <c r="M9" s="45"/>
      <c r="N9" s="45">
        <v>1166477.6600000001</v>
      </c>
    </row>
    <row r="10" spans="1:14" x14ac:dyDescent="0.25">
      <c r="A10" s="44" t="s">
        <v>18</v>
      </c>
      <c r="B10" s="44" t="s">
        <v>402</v>
      </c>
      <c r="C10" s="44" t="s">
        <v>1808</v>
      </c>
      <c r="D10" s="44" t="s">
        <v>1831</v>
      </c>
      <c r="E10" s="45">
        <f t="shared" si="1"/>
        <v>48545</v>
      </c>
      <c r="F10" s="45"/>
      <c r="G10" s="45">
        <v>48545</v>
      </c>
      <c r="H10" s="45"/>
      <c r="I10" s="45"/>
      <c r="J10" s="45"/>
      <c r="K10" s="45"/>
      <c r="L10" s="45"/>
      <c r="M10" s="45"/>
      <c r="N10" s="45">
        <v>48545</v>
      </c>
    </row>
    <row r="11" spans="1:14" x14ac:dyDescent="0.25">
      <c r="A11" s="44" t="s">
        <v>19</v>
      </c>
      <c r="B11" s="44" t="s">
        <v>449</v>
      </c>
      <c r="C11" s="44" t="s">
        <v>1808</v>
      </c>
      <c r="D11" s="44" t="s">
        <v>1852</v>
      </c>
      <c r="E11" s="45">
        <f t="shared" si="1"/>
        <v>78840</v>
      </c>
      <c r="F11" s="45">
        <v>78840</v>
      </c>
      <c r="G11" s="45"/>
      <c r="H11" s="45"/>
      <c r="I11" s="45"/>
      <c r="J11" s="45"/>
      <c r="K11" s="45"/>
      <c r="L11" s="45"/>
      <c r="M11" s="45"/>
      <c r="N11" s="45">
        <v>78840</v>
      </c>
    </row>
    <row r="12" spans="1:14" x14ac:dyDescent="0.25">
      <c r="A12" s="44" t="s">
        <v>20</v>
      </c>
      <c r="B12" s="44" t="s">
        <v>1816</v>
      </c>
      <c r="C12" s="44" t="s">
        <v>1808</v>
      </c>
      <c r="D12" s="44" t="s">
        <v>1831</v>
      </c>
      <c r="E12" s="45">
        <f t="shared" si="1"/>
        <v>52675.199999999997</v>
      </c>
      <c r="F12" s="45">
        <v>52675.199999999997</v>
      </c>
      <c r="G12" s="45"/>
      <c r="H12" s="45"/>
      <c r="I12" s="45"/>
      <c r="J12" s="45"/>
      <c r="K12" s="45"/>
      <c r="L12" s="45"/>
      <c r="M12" s="45"/>
      <c r="N12" s="45">
        <v>52675.199999999997</v>
      </c>
    </row>
    <row r="13" spans="1:14" x14ac:dyDescent="0.25">
      <c r="A13" s="44" t="s">
        <v>21</v>
      </c>
      <c r="B13" s="44" t="s">
        <v>1807</v>
      </c>
      <c r="C13" s="44" t="s">
        <v>1829</v>
      </c>
      <c r="D13" s="44" t="s">
        <v>1830</v>
      </c>
      <c r="E13" s="45">
        <f t="shared" si="1"/>
        <v>300000.02</v>
      </c>
      <c r="F13" s="45"/>
      <c r="G13" s="45"/>
      <c r="H13" s="45"/>
      <c r="I13" s="45">
        <v>300000.02</v>
      </c>
      <c r="J13" s="45"/>
      <c r="K13" s="45"/>
      <c r="L13" s="45"/>
      <c r="M13" s="45"/>
      <c r="N13" s="45">
        <v>300000.02</v>
      </c>
    </row>
    <row r="14" spans="1:14" x14ac:dyDescent="0.25">
      <c r="A14" s="44" t="s">
        <v>22</v>
      </c>
      <c r="B14" s="44" t="s">
        <v>449</v>
      </c>
      <c r="C14" s="44" t="s">
        <v>1829</v>
      </c>
      <c r="D14" s="44" t="s">
        <v>1830</v>
      </c>
      <c r="E14" s="45">
        <f t="shared" si="1"/>
        <v>72552</v>
      </c>
      <c r="F14" s="45">
        <v>72552</v>
      </c>
      <c r="G14" s="45"/>
      <c r="H14" s="45"/>
      <c r="I14" s="45"/>
      <c r="J14" s="45"/>
      <c r="K14" s="45"/>
      <c r="L14" s="45"/>
      <c r="M14" s="45"/>
      <c r="N14" s="45">
        <v>72552</v>
      </c>
    </row>
    <row r="15" spans="1:14" x14ac:dyDescent="0.25">
      <c r="A15" s="44" t="s">
        <v>23</v>
      </c>
      <c r="B15" s="44" t="s">
        <v>449</v>
      </c>
      <c r="C15" s="44" t="s">
        <v>1808</v>
      </c>
      <c r="D15" s="44" t="s">
        <v>1832</v>
      </c>
      <c r="E15" s="45">
        <f t="shared" si="1"/>
        <v>211798.2</v>
      </c>
      <c r="F15" s="45">
        <v>211798.2</v>
      </c>
      <c r="G15" s="45"/>
      <c r="H15" s="45"/>
      <c r="I15" s="45"/>
      <c r="J15" s="45"/>
      <c r="K15" s="45"/>
      <c r="L15" s="45"/>
      <c r="M15" s="45"/>
      <c r="N15" s="45">
        <v>211798.2</v>
      </c>
    </row>
    <row r="16" spans="1:14" x14ac:dyDescent="0.25">
      <c r="A16" s="44" t="s">
        <v>24</v>
      </c>
      <c r="B16" s="44" t="s">
        <v>1827</v>
      </c>
      <c r="C16" s="44" t="s">
        <v>1808</v>
      </c>
      <c r="D16" s="44" t="s">
        <v>1833</v>
      </c>
      <c r="E16" s="45">
        <f t="shared" si="1"/>
        <v>120</v>
      </c>
      <c r="F16" s="45">
        <v>120</v>
      </c>
      <c r="G16" s="45"/>
      <c r="H16" s="45"/>
      <c r="I16" s="45"/>
      <c r="J16" s="45"/>
      <c r="K16" s="45"/>
      <c r="L16" s="45"/>
      <c r="M16" s="45"/>
      <c r="N16" s="45">
        <v>120</v>
      </c>
    </row>
    <row r="17" spans="1:14" x14ac:dyDescent="0.25">
      <c r="A17" s="44" t="s">
        <v>25</v>
      </c>
      <c r="B17" s="44" t="s">
        <v>373</v>
      </c>
      <c r="C17" s="44" t="s">
        <v>1808</v>
      </c>
      <c r="D17" s="44" t="s">
        <v>1834</v>
      </c>
      <c r="E17" s="45">
        <f t="shared" si="1"/>
        <v>37189.599999999999</v>
      </c>
      <c r="F17" s="45">
        <v>3074</v>
      </c>
      <c r="G17" s="45">
        <v>34115.599999999999</v>
      </c>
      <c r="H17" s="45"/>
      <c r="I17" s="45"/>
      <c r="J17" s="45"/>
      <c r="K17" s="45"/>
      <c r="L17" s="45"/>
      <c r="M17" s="45"/>
      <c r="N17" s="45">
        <v>37189.599999999999</v>
      </c>
    </row>
    <row r="18" spans="1:14" x14ac:dyDescent="0.25">
      <c r="A18" s="44" t="s">
        <v>26</v>
      </c>
      <c r="B18" s="44" t="s">
        <v>426</v>
      </c>
      <c r="C18" s="44" t="s">
        <v>1817</v>
      </c>
      <c r="D18" s="44" t="s">
        <v>1809</v>
      </c>
      <c r="E18" s="45">
        <f t="shared" si="1"/>
        <v>5807270.8700000001</v>
      </c>
      <c r="F18" s="45">
        <v>5807270.8700000001</v>
      </c>
      <c r="G18" s="45"/>
      <c r="H18" s="45"/>
      <c r="I18" s="45"/>
      <c r="J18" s="45"/>
      <c r="K18" s="45"/>
      <c r="L18" s="45"/>
      <c r="M18" s="45"/>
      <c r="N18" s="45">
        <v>5807270.8700000001</v>
      </c>
    </row>
    <row r="19" spans="1:14" x14ac:dyDescent="0.25">
      <c r="A19" s="44" t="s">
        <v>27</v>
      </c>
      <c r="B19" s="44" t="s">
        <v>449</v>
      </c>
      <c r="C19" s="44" t="s">
        <v>1808</v>
      </c>
      <c r="D19" s="44" t="s">
        <v>1812</v>
      </c>
      <c r="E19" s="45">
        <f t="shared" si="1"/>
        <v>28136</v>
      </c>
      <c r="F19" s="45"/>
      <c r="G19" s="45">
        <v>28136</v>
      </c>
      <c r="H19" s="45"/>
      <c r="I19" s="45"/>
      <c r="J19" s="45"/>
      <c r="K19" s="45"/>
      <c r="L19" s="45"/>
      <c r="M19" s="45"/>
      <c r="N19" s="45">
        <v>28136</v>
      </c>
    </row>
    <row r="20" spans="1:14" x14ac:dyDescent="0.25">
      <c r="A20" s="44" t="s">
        <v>29</v>
      </c>
      <c r="B20" s="44" t="s">
        <v>1828</v>
      </c>
      <c r="C20" s="44" t="s">
        <v>1829</v>
      </c>
      <c r="D20" s="44" t="s">
        <v>1830</v>
      </c>
      <c r="E20" s="45">
        <f t="shared" si="1"/>
        <v>8640</v>
      </c>
      <c r="F20" s="45"/>
      <c r="G20" s="45"/>
      <c r="H20" s="45"/>
      <c r="I20" s="45">
        <v>8640</v>
      </c>
      <c r="J20" s="45"/>
      <c r="K20" s="45"/>
      <c r="L20" s="45"/>
      <c r="M20" s="45"/>
      <c r="N20" s="45">
        <v>8640</v>
      </c>
    </row>
    <row r="21" spans="1:14" x14ac:dyDescent="0.25">
      <c r="A21" s="44" t="s">
        <v>30</v>
      </c>
      <c r="B21" s="44" t="s">
        <v>426</v>
      </c>
      <c r="C21" s="44" t="s">
        <v>1817</v>
      </c>
      <c r="D21" s="44" t="s">
        <v>1809</v>
      </c>
      <c r="E21" s="45">
        <f t="shared" si="1"/>
        <v>480870.08</v>
      </c>
      <c r="F21" s="45">
        <v>480870.08</v>
      </c>
      <c r="G21" s="45"/>
      <c r="H21" s="45"/>
      <c r="I21" s="45"/>
      <c r="J21" s="45"/>
      <c r="K21" s="45"/>
      <c r="L21" s="45"/>
      <c r="M21" s="45"/>
      <c r="N21" s="45">
        <v>480870.08</v>
      </c>
    </row>
    <row r="22" spans="1:14" x14ac:dyDescent="0.25">
      <c r="A22" s="44" t="s">
        <v>31</v>
      </c>
      <c r="B22" s="44" t="s">
        <v>346</v>
      </c>
      <c r="C22" s="44" t="s">
        <v>1808</v>
      </c>
      <c r="D22" s="44" t="s">
        <v>1835</v>
      </c>
      <c r="E22" s="45">
        <f t="shared" si="1"/>
        <v>3000</v>
      </c>
      <c r="F22" s="45">
        <v>3000</v>
      </c>
      <c r="G22" s="45"/>
      <c r="H22" s="45"/>
      <c r="I22" s="45"/>
      <c r="J22" s="45"/>
      <c r="K22" s="45"/>
      <c r="L22" s="45"/>
      <c r="M22" s="45"/>
      <c r="N22" s="45">
        <v>3000</v>
      </c>
    </row>
    <row r="23" spans="1:14" x14ac:dyDescent="0.25">
      <c r="A23" s="44" t="s">
        <v>32</v>
      </c>
      <c r="B23" s="44" t="s">
        <v>426</v>
      </c>
      <c r="C23" s="44" t="s">
        <v>1817</v>
      </c>
      <c r="D23" s="44" t="s">
        <v>1809</v>
      </c>
      <c r="E23" s="45">
        <f t="shared" si="1"/>
        <v>7078495.5899999999</v>
      </c>
      <c r="F23" s="45">
        <v>2157798.7400000002</v>
      </c>
      <c r="G23" s="45">
        <v>671978.52</v>
      </c>
      <c r="H23" s="45"/>
      <c r="I23" s="45">
        <v>1220804.04</v>
      </c>
      <c r="J23" s="45"/>
      <c r="K23" s="45"/>
      <c r="L23" s="45">
        <v>3027914.29</v>
      </c>
      <c r="M23" s="45"/>
      <c r="N23" s="45">
        <v>7078495.5900000008</v>
      </c>
    </row>
    <row r="24" spans="1:14" x14ac:dyDescent="0.25">
      <c r="A24" s="44" t="s">
        <v>34</v>
      </c>
      <c r="B24" s="44" t="s">
        <v>373</v>
      </c>
      <c r="C24" s="44" t="s">
        <v>1812</v>
      </c>
      <c r="D24" s="44" t="s">
        <v>1812</v>
      </c>
      <c r="E24" s="45">
        <f t="shared" si="1"/>
        <v>21719</v>
      </c>
      <c r="F24" s="45">
        <v>20430</v>
      </c>
      <c r="G24" s="45">
        <v>1289</v>
      </c>
      <c r="H24" s="45"/>
      <c r="I24" s="45"/>
      <c r="J24" s="45"/>
      <c r="K24" s="45"/>
      <c r="L24" s="45"/>
      <c r="M24" s="45"/>
      <c r="N24" s="45">
        <v>21719</v>
      </c>
    </row>
    <row r="25" spans="1:14" x14ac:dyDescent="0.25">
      <c r="A25" s="44" t="s">
        <v>35</v>
      </c>
      <c r="B25" s="44" t="s">
        <v>1816</v>
      </c>
      <c r="C25" s="44" t="s">
        <v>1808</v>
      </c>
      <c r="D25" s="44" t="s">
        <v>1831</v>
      </c>
      <c r="E25" s="45">
        <f t="shared" si="1"/>
        <v>1191092.01</v>
      </c>
      <c r="F25" s="45">
        <v>1191092.01</v>
      </c>
      <c r="G25" s="45"/>
      <c r="H25" s="45"/>
      <c r="I25" s="45"/>
      <c r="J25" s="45"/>
      <c r="K25" s="45"/>
      <c r="L25" s="45"/>
      <c r="M25" s="45"/>
      <c r="N25" s="45">
        <v>1191092.01</v>
      </c>
    </row>
    <row r="26" spans="1:14" x14ac:dyDescent="0.25">
      <c r="A26" s="44" t="s">
        <v>36</v>
      </c>
      <c r="B26" s="44" t="s">
        <v>402</v>
      </c>
      <c r="C26" s="44" t="s">
        <v>1829</v>
      </c>
      <c r="D26" s="44" t="s">
        <v>1830</v>
      </c>
      <c r="E26" s="45">
        <f t="shared" si="1"/>
        <v>2847566.66</v>
      </c>
      <c r="F26" s="45">
        <v>1781876.02</v>
      </c>
      <c r="G26" s="45">
        <v>452388.02</v>
      </c>
      <c r="H26" s="45">
        <v>613302.62</v>
      </c>
      <c r="I26" s="45"/>
      <c r="J26" s="45"/>
      <c r="K26" s="45"/>
      <c r="L26" s="45"/>
      <c r="M26" s="45"/>
      <c r="N26" s="45">
        <v>2847566.66</v>
      </c>
    </row>
    <row r="27" spans="1:14" x14ac:dyDescent="0.25">
      <c r="A27" s="44" t="s">
        <v>38</v>
      </c>
      <c r="B27" s="44" t="s">
        <v>1827</v>
      </c>
      <c r="C27" s="44" t="s">
        <v>1808</v>
      </c>
      <c r="D27" s="44" t="s">
        <v>1836</v>
      </c>
      <c r="E27" s="45">
        <f t="shared" si="1"/>
        <v>280.02</v>
      </c>
      <c r="F27" s="45">
        <v>280.02</v>
      </c>
      <c r="G27" s="45"/>
      <c r="H27" s="45"/>
      <c r="I27" s="45"/>
      <c r="J27" s="45"/>
      <c r="K27" s="45"/>
      <c r="L27" s="45"/>
      <c r="M27" s="45"/>
      <c r="N27" s="45">
        <v>280.02</v>
      </c>
    </row>
    <row r="28" spans="1:14" x14ac:dyDescent="0.25">
      <c r="A28" s="44" t="s">
        <v>39</v>
      </c>
      <c r="B28" s="44" t="s">
        <v>449</v>
      </c>
      <c r="C28" s="44" t="s">
        <v>1808</v>
      </c>
      <c r="D28" s="44" t="s">
        <v>1837</v>
      </c>
      <c r="E28" s="45">
        <f t="shared" si="1"/>
        <v>284882</v>
      </c>
      <c r="F28" s="45"/>
      <c r="G28" s="45">
        <v>284882</v>
      </c>
      <c r="H28" s="45"/>
      <c r="I28" s="45"/>
      <c r="J28" s="45"/>
      <c r="K28" s="45"/>
      <c r="L28" s="45"/>
      <c r="M28" s="45"/>
      <c r="N28" s="45">
        <v>284882</v>
      </c>
    </row>
    <row r="29" spans="1:14" x14ac:dyDescent="0.25">
      <c r="A29" s="44" t="s">
        <v>56</v>
      </c>
      <c r="B29" s="44" t="s">
        <v>1807</v>
      </c>
      <c r="C29" s="44" t="s">
        <v>1805</v>
      </c>
      <c r="D29" s="44" t="s">
        <v>1807</v>
      </c>
      <c r="E29" s="45">
        <f t="shared" si="1"/>
        <v>399959.5</v>
      </c>
      <c r="F29" s="45">
        <v>399959.5</v>
      </c>
      <c r="G29" s="45"/>
      <c r="H29" s="45"/>
      <c r="I29" s="45"/>
      <c r="J29" s="45"/>
      <c r="K29" s="45"/>
      <c r="L29" s="45"/>
      <c r="M29" s="45"/>
      <c r="N29" s="45">
        <v>399959.5</v>
      </c>
    </row>
    <row r="30" spans="1:14" x14ac:dyDescent="0.25">
      <c r="A30" s="44" t="s">
        <v>40</v>
      </c>
      <c r="B30" s="44" t="s">
        <v>323</v>
      </c>
      <c r="C30" s="44" t="s">
        <v>1817</v>
      </c>
      <c r="D30" s="44" t="s">
        <v>1813</v>
      </c>
      <c r="E30" s="45">
        <f t="shared" si="1"/>
        <v>12180301.199999999</v>
      </c>
      <c r="F30" s="45">
        <v>832278</v>
      </c>
      <c r="G30" s="45">
        <v>1819535</v>
      </c>
      <c r="H30" s="45">
        <v>1392753.2</v>
      </c>
      <c r="I30" s="45">
        <v>1470375</v>
      </c>
      <c r="J30" s="45">
        <v>676388</v>
      </c>
      <c r="K30" s="45">
        <v>2876498</v>
      </c>
      <c r="L30" s="45">
        <v>3112474</v>
      </c>
      <c r="M30" s="45"/>
      <c r="N30" s="45">
        <v>12180301.199999999</v>
      </c>
    </row>
    <row r="31" spans="1:14" x14ac:dyDescent="0.25">
      <c r="A31" s="44" t="s">
        <v>41</v>
      </c>
      <c r="B31" s="44" t="s">
        <v>1828</v>
      </c>
      <c r="C31" s="44" t="s">
        <v>1808</v>
      </c>
      <c r="D31" s="44" t="s">
        <v>1812</v>
      </c>
      <c r="E31" s="45">
        <f t="shared" si="1"/>
        <v>142884</v>
      </c>
      <c r="F31" s="45">
        <v>81972</v>
      </c>
      <c r="G31" s="45">
        <v>60912</v>
      </c>
      <c r="H31" s="45"/>
      <c r="I31" s="45"/>
      <c r="J31" s="45"/>
      <c r="K31" s="45"/>
      <c r="L31" s="45"/>
      <c r="M31" s="45"/>
      <c r="N31" s="45">
        <v>142884</v>
      </c>
    </row>
    <row r="32" spans="1:14" x14ac:dyDescent="0.25">
      <c r="A32" s="44" t="s">
        <v>43</v>
      </c>
      <c r="B32" s="44" t="s">
        <v>642</v>
      </c>
      <c r="C32" s="44" t="s">
        <v>1829</v>
      </c>
      <c r="D32" s="44" t="s">
        <v>1830</v>
      </c>
      <c r="E32" s="45">
        <f t="shared" si="1"/>
        <v>903630</v>
      </c>
      <c r="F32" s="45">
        <v>903630</v>
      </c>
      <c r="G32" s="45"/>
      <c r="H32" s="45"/>
      <c r="I32" s="45"/>
      <c r="J32" s="45"/>
      <c r="K32" s="45"/>
      <c r="L32" s="45"/>
      <c r="M32" s="45"/>
      <c r="N32" s="45">
        <v>903630</v>
      </c>
    </row>
    <row r="33" spans="1:14" x14ac:dyDescent="0.25">
      <c r="A33" s="44" t="s">
        <v>44</v>
      </c>
      <c r="B33" s="44" t="s">
        <v>426</v>
      </c>
      <c r="C33" s="44" t="s">
        <v>1808</v>
      </c>
      <c r="D33" s="44" t="s">
        <v>1830</v>
      </c>
      <c r="E33" s="45">
        <f t="shared" si="1"/>
        <v>488555.92000000004</v>
      </c>
      <c r="F33" s="45">
        <v>488555.92000000004</v>
      </c>
      <c r="G33" s="45"/>
      <c r="H33" s="45"/>
      <c r="I33" s="45"/>
      <c r="J33" s="45"/>
      <c r="K33" s="45"/>
      <c r="L33" s="45"/>
      <c r="M33" s="45"/>
      <c r="N33" s="45">
        <v>488555.92000000004</v>
      </c>
    </row>
    <row r="34" spans="1:14" x14ac:dyDescent="0.25">
      <c r="A34" s="44" t="s">
        <v>45</v>
      </c>
      <c r="B34" s="44" t="s">
        <v>1807</v>
      </c>
      <c r="C34" s="44" t="s">
        <v>1808</v>
      </c>
      <c r="D34" s="44" t="s">
        <v>1836</v>
      </c>
      <c r="E34" s="45">
        <f t="shared" si="1"/>
        <v>86725</v>
      </c>
      <c r="F34" s="45">
        <v>81651</v>
      </c>
      <c r="G34" s="45">
        <v>5074</v>
      </c>
      <c r="H34" s="45"/>
      <c r="I34" s="45"/>
      <c r="J34" s="45"/>
      <c r="K34" s="45"/>
      <c r="L34" s="45"/>
      <c r="M34" s="45"/>
      <c r="N34" s="45">
        <v>86725</v>
      </c>
    </row>
    <row r="35" spans="1:14" x14ac:dyDescent="0.25">
      <c r="A35" s="44" t="s">
        <v>46</v>
      </c>
      <c r="B35" s="44" t="s">
        <v>402</v>
      </c>
      <c r="C35" s="44" t="s">
        <v>1808</v>
      </c>
      <c r="D35" s="44" t="s">
        <v>1836</v>
      </c>
      <c r="E35" s="45">
        <f t="shared" si="1"/>
        <v>723057.6</v>
      </c>
      <c r="F35" s="45">
        <v>359900</v>
      </c>
      <c r="G35" s="45"/>
      <c r="H35" s="45">
        <v>363157</v>
      </c>
      <c r="I35" s="45"/>
      <c r="J35" s="45"/>
      <c r="K35" s="45"/>
      <c r="L35" s="45">
        <v>0.6</v>
      </c>
      <c r="M35" s="45"/>
      <c r="N35" s="45">
        <v>723057.6</v>
      </c>
    </row>
    <row r="36" spans="1:14" x14ac:dyDescent="0.25">
      <c r="A36" s="44" t="s">
        <v>47</v>
      </c>
      <c r="B36" s="44" t="s">
        <v>373</v>
      </c>
      <c r="C36" s="44" t="s">
        <v>1808</v>
      </c>
      <c r="D36" s="44" t="s">
        <v>1832</v>
      </c>
      <c r="E36" s="45">
        <f t="shared" si="1"/>
        <v>2590.1</v>
      </c>
      <c r="F36" s="45">
        <v>2590.1</v>
      </c>
      <c r="G36" s="45"/>
      <c r="H36" s="45"/>
      <c r="I36" s="45"/>
      <c r="J36" s="45"/>
      <c r="K36" s="45"/>
      <c r="L36" s="45"/>
      <c r="M36" s="45"/>
      <c r="N36" s="45">
        <v>2590.1</v>
      </c>
    </row>
    <row r="37" spans="1:14" x14ac:dyDescent="0.25">
      <c r="A37" s="44" t="s">
        <v>48</v>
      </c>
      <c r="B37" s="44" t="s">
        <v>402</v>
      </c>
      <c r="C37" s="44" t="s">
        <v>1808</v>
      </c>
      <c r="D37" s="44" t="s">
        <v>1835</v>
      </c>
      <c r="E37" s="45">
        <f t="shared" si="1"/>
        <v>8000</v>
      </c>
      <c r="F37" s="45">
        <v>8000</v>
      </c>
      <c r="G37" s="45"/>
      <c r="H37" s="45"/>
      <c r="I37" s="45"/>
      <c r="J37" s="45"/>
      <c r="K37" s="45"/>
      <c r="L37" s="45"/>
      <c r="M37" s="45"/>
      <c r="N37" s="45">
        <v>8000</v>
      </c>
    </row>
    <row r="38" spans="1:14" x14ac:dyDescent="0.25">
      <c r="A38" s="44" t="s">
        <v>49</v>
      </c>
      <c r="B38" s="44" t="s">
        <v>1813</v>
      </c>
      <c r="C38" s="44" t="s">
        <v>1805</v>
      </c>
      <c r="D38" s="44" t="s">
        <v>1807</v>
      </c>
      <c r="E38" s="45">
        <f t="shared" si="1"/>
        <v>1703640.08</v>
      </c>
      <c r="F38" s="45">
        <v>875944.81</v>
      </c>
      <c r="G38" s="45">
        <v>487102.29</v>
      </c>
      <c r="H38" s="45">
        <v>340592.98</v>
      </c>
      <c r="I38" s="45"/>
      <c r="J38" s="45"/>
      <c r="K38" s="45"/>
      <c r="L38" s="45"/>
      <c r="M38" s="45"/>
      <c r="N38" s="45">
        <v>1703640.08</v>
      </c>
    </row>
    <row r="39" spans="1:14" x14ac:dyDescent="0.25">
      <c r="A39" s="44" t="s">
        <v>50</v>
      </c>
      <c r="B39" s="44" t="s">
        <v>402</v>
      </c>
      <c r="C39" s="44" t="s">
        <v>1806</v>
      </c>
      <c r="D39" s="44" t="s">
        <v>1806</v>
      </c>
      <c r="E39" s="45">
        <f t="shared" si="1"/>
        <v>766855.8</v>
      </c>
      <c r="F39" s="45"/>
      <c r="G39" s="45"/>
      <c r="H39" s="45"/>
      <c r="I39" s="45"/>
      <c r="J39" s="45"/>
      <c r="K39" s="45"/>
      <c r="L39" s="45"/>
      <c r="M39" s="45">
        <v>766855.8</v>
      </c>
      <c r="N39" s="45">
        <v>766855.8</v>
      </c>
    </row>
    <row r="40" spans="1:14" x14ac:dyDescent="0.25">
      <c r="A40" s="44" t="s">
        <v>51</v>
      </c>
      <c r="B40" s="44" t="s">
        <v>1813</v>
      </c>
      <c r="C40" s="44" t="s">
        <v>1805</v>
      </c>
      <c r="D40" s="44" t="s">
        <v>1807</v>
      </c>
      <c r="E40" s="45">
        <f t="shared" si="1"/>
        <v>1753376.62</v>
      </c>
      <c r="F40" s="45">
        <v>847961.26</v>
      </c>
      <c r="G40" s="45">
        <v>905415.36</v>
      </c>
      <c r="H40" s="45"/>
      <c r="I40" s="45"/>
      <c r="J40" s="45"/>
      <c r="K40" s="45"/>
      <c r="L40" s="45"/>
      <c r="M40" s="45"/>
      <c r="N40" s="45">
        <v>1753376.62</v>
      </c>
    </row>
    <row r="41" spans="1:14" x14ac:dyDescent="0.25">
      <c r="A41" s="44" t="s">
        <v>52</v>
      </c>
      <c r="B41" s="44" t="s">
        <v>1816</v>
      </c>
      <c r="C41" s="44" t="s">
        <v>1808</v>
      </c>
      <c r="D41" s="44" t="s">
        <v>1835</v>
      </c>
      <c r="E41" s="45">
        <f t="shared" si="1"/>
        <v>6000</v>
      </c>
      <c r="F41" s="45">
        <v>6000</v>
      </c>
      <c r="G41" s="45"/>
      <c r="H41" s="45"/>
      <c r="I41" s="45"/>
      <c r="J41" s="45"/>
      <c r="K41" s="45"/>
      <c r="L41" s="45"/>
      <c r="M41" s="45"/>
      <c r="N41" s="45">
        <v>6000</v>
      </c>
    </row>
    <row r="42" spans="1:14" x14ac:dyDescent="0.25">
      <c r="A42" s="44" t="s">
        <v>53</v>
      </c>
      <c r="B42" s="44" t="s">
        <v>1813</v>
      </c>
      <c r="C42" s="44" t="s">
        <v>1808</v>
      </c>
      <c r="D42" s="44" t="s">
        <v>1830</v>
      </c>
      <c r="E42" s="45">
        <f t="shared" si="1"/>
        <v>154991.81</v>
      </c>
      <c r="F42" s="45">
        <v>118180</v>
      </c>
      <c r="G42" s="45">
        <v>36811.81</v>
      </c>
      <c r="H42" s="45"/>
      <c r="I42" s="45"/>
      <c r="J42" s="45"/>
      <c r="K42" s="45"/>
      <c r="L42" s="45"/>
      <c r="M42" s="45"/>
      <c r="N42" s="45">
        <v>154991.81</v>
      </c>
    </row>
    <row r="43" spans="1:14" x14ac:dyDescent="0.25">
      <c r="A43" s="44" t="s">
        <v>54</v>
      </c>
      <c r="B43" s="44" t="s">
        <v>402</v>
      </c>
      <c r="C43" s="44" t="s">
        <v>1829</v>
      </c>
      <c r="D43" s="44" t="s">
        <v>1830</v>
      </c>
      <c r="E43" s="45">
        <f t="shared" si="1"/>
        <v>1029929.48</v>
      </c>
      <c r="F43" s="45">
        <v>1029929.48</v>
      </c>
      <c r="G43" s="45"/>
      <c r="H43" s="45"/>
      <c r="I43" s="45"/>
      <c r="J43" s="45"/>
      <c r="K43" s="45"/>
      <c r="L43" s="45"/>
      <c r="M43" s="45"/>
      <c r="N43" s="45">
        <v>1029929.48</v>
      </c>
    </row>
    <row r="44" spans="1:14" x14ac:dyDescent="0.25">
      <c r="A44" s="44" t="s">
        <v>58</v>
      </c>
      <c r="B44" s="44" t="s">
        <v>393</v>
      </c>
      <c r="C44" s="44" t="s">
        <v>1808</v>
      </c>
      <c r="D44" s="44" t="s">
        <v>1836</v>
      </c>
      <c r="E44" s="45">
        <f t="shared" si="1"/>
        <v>83900</v>
      </c>
      <c r="F44" s="45"/>
      <c r="G44" s="45"/>
      <c r="H44" s="45"/>
      <c r="I44" s="45">
        <v>83900</v>
      </c>
      <c r="J44" s="45"/>
      <c r="K44" s="45"/>
      <c r="L44" s="45"/>
      <c r="M44" s="45"/>
      <c r="N44" s="45">
        <v>83900</v>
      </c>
    </row>
    <row r="45" spans="1:14" x14ac:dyDescent="0.25">
      <c r="A45" s="44" t="s">
        <v>59</v>
      </c>
      <c r="B45" s="44" t="s">
        <v>1827</v>
      </c>
      <c r="C45" s="44" t="s">
        <v>1808</v>
      </c>
      <c r="D45" s="44" t="s">
        <v>1838</v>
      </c>
      <c r="E45" s="45">
        <f t="shared" si="1"/>
        <v>10584</v>
      </c>
      <c r="F45" s="45"/>
      <c r="G45" s="45"/>
      <c r="H45" s="45"/>
      <c r="I45" s="45"/>
      <c r="J45" s="45"/>
      <c r="K45" s="45"/>
      <c r="L45" s="45">
        <v>10584</v>
      </c>
      <c r="M45" s="45"/>
      <c r="N45" s="45">
        <v>10584</v>
      </c>
    </row>
    <row r="46" spans="1:14" x14ac:dyDescent="0.25">
      <c r="A46" s="44" t="s">
        <v>60</v>
      </c>
      <c r="B46" s="44" t="s">
        <v>402</v>
      </c>
      <c r="C46" s="44" t="s">
        <v>1808</v>
      </c>
      <c r="D46" s="44" t="s">
        <v>1831</v>
      </c>
      <c r="E46" s="45">
        <f t="shared" si="1"/>
        <v>40254</v>
      </c>
      <c r="F46" s="45">
        <v>34374</v>
      </c>
      <c r="G46" s="45">
        <v>5880</v>
      </c>
      <c r="H46" s="45"/>
      <c r="I46" s="45"/>
      <c r="J46" s="45"/>
      <c r="K46" s="45"/>
      <c r="L46" s="45"/>
      <c r="M46" s="45"/>
      <c r="N46" s="45">
        <v>40254</v>
      </c>
    </row>
    <row r="47" spans="1:14" x14ac:dyDescent="0.25">
      <c r="A47" s="44" t="s">
        <v>61</v>
      </c>
      <c r="B47" s="44" t="s">
        <v>373</v>
      </c>
      <c r="C47" s="44" t="s">
        <v>1805</v>
      </c>
      <c r="D47" s="44" t="s">
        <v>1805</v>
      </c>
      <c r="E47" s="45">
        <f t="shared" si="1"/>
        <v>141231.72</v>
      </c>
      <c r="F47" s="45">
        <v>141231.72</v>
      </c>
      <c r="G47" s="45"/>
      <c r="H47" s="45"/>
      <c r="I47" s="45"/>
      <c r="J47" s="45"/>
      <c r="K47" s="45"/>
      <c r="L47" s="45"/>
      <c r="M47" s="45"/>
      <c r="N47" s="45">
        <v>141231.72</v>
      </c>
    </row>
    <row r="48" spans="1:14" x14ac:dyDescent="0.25">
      <c r="A48" s="44" t="s">
        <v>62</v>
      </c>
      <c r="B48" s="44" t="s">
        <v>561</v>
      </c>
      <c r="C48" s="44" t="s">
        <v>1805</v>
      </c>
      <c r="D48" s="44" t="s">
        <v>1839</v>
      </c>
      <c r="E48" s="45">
        <f t="shared" si="1"/>
        <v>6214357</v>
      </c>
      <c r="F48" s="45">
        <v>6058717</v>
      </c>
      <c r="G48" s="45">
        <v>155640</v>
      </c>
      <c r="H48" s="45"/>
      <c r="I48" s="45"/>
      <c r="J48" s="45"/>
      <c r="K48" s="45"/>
      <c r="L48" s="45"/>
      <c r="M48" s="45"/>
      <c r="N48" s="45">
        <v>6214357</v>
      </c>
    </row>
    <row r="49" spans="1:14" x14ac:dyDescent="0.25">
      <c r="A49" s="44" t="s">
        <v>63</v>
      </c>
      <c r="B49" s="44" t="s">
        <v>642</v>
      </c>
      <c r="C49" s="44" t="s">
        <v>1829</v>
      </c>
      <c r="D49" s="44" t="s">
        <v>1830</v>
      </c>
      <c r="E49" s="45">
        <f t="shared" si="1"/>
        <v>9042910.0999999996</v>
      </c>
      <c r="F49" s="45">
        <v>3603424</v>
      </c>
      <c r="G49" s="45">
        <v>2078140</v>
      </c>
      <c r="H49" s="45">
        <v>767203.7</v>
      </c>
      <c r="I49" s="45">
        <v>2594142.4</v>
      </c>
      <c r="J49" s="45"/>
      <c r="K49" s="45"/>
      <c r="L49" s="45"/>
      <c r="M49" s="45"/>
      <c r="N49" s="45">
        <v>9042910.0999999996</v>
      </c>
    </row>
    <row r="50" spans="1:14" x14ac:dyDescent="0.25">
      <c r="A50" s="44" t="s">
        <v>64</v>
      </c>
      <c r="B50" s="44" t="s">
        <v>449</v>
      </c>
      <c r="C50" s="44" t="s">
        <v>1808</v>
      </c>
      <c r="D50" s="44" t="s">
        <v>1832</v>
      </c>
      <c r="E50" s="45">
        <f t="shared" si="1"/>
        <v>44842.37</v>
      </c>
      <c r="F50" s="45">
        <v>45503.32</v>
      </c>
      <c r="G50" s="45"/>
      <c r="H50" s="45"/>
      <c r="I50" s="45">
        <v>-660.95</v>
      </c>
      <c r="J50" s="45"/>
      <c r="K50" s="45"/>
      <c r="L50" s="45"/>
      <c r="M50" s="45"/>
      <c r="N50" s="45">
        <v>44842.37</v>
      </c>
    </row>
    <row r="51" spans="1:14" x14ac:dyDescent="0.25">
      <c r="A51" s="44" t="s">
        <v>72</v>
      </c>
      <c r="B51" s="44" t="s">
        <v>1816</v>
      </c>
      <c r="C51" s="44" t="s">
        <v>1808</v>
      </c>
      <c r="D51" s="44" t="s">
        <v>1835</v>
      </c>
      <c r="E51" s="45">
        <f t="shared" si="1"/>
        <v>1094616</v>
      </c>
      <c r="F51" s="45">
        <v>1094616</v>
      </c>
      <c r="G51" s="45"/>
      <c r="H51" s="45"/>
      <c r="I51" s="45"/>
      <c r="J51" s="45"/>
      <c r="K51" s="45"/>
      <c r="L51" s="45"/>
      <c r="M51" s="45"/>
      <c r="N51" s="45">
        <v>1094616</v>
      </c>
    </row>
    <row r="52" spans="1:14" x14ac:dyDescent="0.25">
      <c r="A52" s="44" t="s">
        <v>75</v>
      </c>
      <c r="B52" s="44" t="s">
        <v>373</v>
      </c>
      <c r="C52" s="44" t="s">
        <v>1808</v>
      </c>
      <c r="D52" s="44" t="s">
        <v>1836</v>
      </c>
      <c r="E52" s="45">
        <f t="shared" si="1"/>
        <v>72088.2</v>
      </c>
      <c r="F52" s="45">
        <v>65998.2</v>
      </c>
      <c r="G52" s="45">
        <v>6090</v>
      </c>
      <c r="H52" s="45"/>
      <c r="I52" s="45"/>
      <c r="J52" s="45"/>
      <c r="K52" s="45"/>
      <c r="L52" s="45"/>
      <c r="M52" s="45"/>
      <c r="N52" s="45">
        <v>72088.2</v>
      </c>
    </row>
    <row r="53" spans="1:14" x14ac:dyDescent="0.25">
      <c r="A53" s="44" t="s">
        <v>65</v>
      </c>
      <c r="B53" s="44" t="s">
        <v>393</v>
      </c>
      <c r="C53" s="44" t="s">
        <v>1829</v>
      </c>
      <c r="D53" s="44" t="s">
        <v>1830</v>
      </c>
      <c r="E53" s="45">
        <f t="shared" si="1"/>
        <v>2710552.2</v>
      </c>
      <c r="F53" s="45"/>
      <c r="G53" s="45"/>
      <c r="H53" s="45"/>
      <c r="I53" s="45"/>
      <c r="J53" s="45"/>
      <c r="K53" s="45"/>
      <c r="L53" s="45">
        <v>2710552.2</v>
      </c>
      <c r="M53" s="45"/>
      <c r="N53" s="45">
        <v>2710552.2</v>
      </c>
    </row>
    <row r="54" spans="1:14" x14ac:dyDescent="0.25">
      <c r="A54" s="44" t="s">
        <v>66</v>
      </c>
      <c r="B54" s="44" t="s">
        <v>642</v>
      </c>
      <c r="C54" s="44" t="s">
        <v>1808</v>
      </c>
      <c r="D54" s="44" t="s">
        <v>1840</v>
      </c>
      <c r="E54" s="45">
        <f t="shared" si="1"/>
        <v>151040</v>
      </c>
      <c r="F54" s="45">
        <v>151040</v>
      </c>
      <c r="G54" s="45"/>
      <c r="H54" s="45"/>
      <c r="I54" s="45"/>
      <c r="J54" s="45"/>
      <c r="K54" s="45"/>
      <c r="L54" s="45"/>
      <c r="M54" s="45"/>
      <c r="N54" s="45">
        <v>151040</v>
      </c>
    </row>
    <row r="55" spans="1:14" x14ac:dyDescent="0.25">
      <c r="A55" s="44" t="s">
        <v>68</v>
      </c>
      <c r="B55" s="44" t="s">
        <v>373</v>
      </c>
      <c r="C55" s="44" t="s">
        <v>1808</v>
      </c>
      <c r="D55" s="44" t="s">
        <v>1832</v>
      </c>
      <c r="E55" s="45">
        <f t="shared" si="1"/>
        <v>3000</v>
      </c>
      <c r="F55" s="45">
        <v>3000</v>
      </c>
      <c r="G55" s="45"/>
      <c r="H55" s="45"/>
      <c r="I55" s="45"/>
      <c r="J55" s="45"/>
      <c r="K55" s="45"/>
      <c r="L55" s="45"/>
      <c r="M55" s="45"/>
      <c r="N55" s="45">
        <v>3000</v>
      </c>
    </row>
    <row r="56" spans="1:14" x14ac:dyDescent="0.25">
      <c r="A56" s="44" t="s">
        <v>67</v>
      </c>
      <c r="B56" s="44" t="s">
        <v>449</v>
      </c>
      <c r="C56" s="44" t="s">
        <v>1812</v>
      </c>
      <c r="D56" s="44" t="s">
        <v>1812</v>
      </c>
      <c r="E56" s="45">
        <f t="shared" si="1"/>
        <v>10000</v>
      </c>
      <c r="F56" s="45">
        <v>10000</v>
      </c>
      <c r="G56" s="45"/>
      <c r="H56" s="45"/>
      <c r="I56" s="45"/>
      <c r="J56" s="45"/>
      <c r="K56" s="45"/>
      <c r="L56" s="45"/>
      <c r="M56" s="45"/>
      <c r="N56" s="45">
        <v>10000</v>
      </c>
    </row>
    <row r="57" spans="1:14" x14ac:dyDescent="0.25">
      <c r="A57" s="44" t="s">
        <v>71</v>
      </c>
      <c r="B57" s="44" t="s">
        <v>1807</v>
      </c>
      <c r="C57" s="44" t="s">
        <v>1808</v>
      </c>
      <c r="D57" s="44" t="s">
        <v>1841</v>
      </c>
      <c r="E57" s="45">
        <f t="shared" si="1"/>
        <v>8756</v>
      </c>
      <c r="F57" s="45">
        <v>8756</v>
      </c>
      <c r="G57" s="45"/>
      <c r="H57" s="45"/>
      <c r="I57" s="45"/>
      <c r="J57" s="45"/>
      <c r="K57" s="45"/>
      <c r="L57" s="45"/>
      <c r="M57" s="45"/>
      <c r="N57" s="45">
        <v>8756</v>
      </c>
    </row>
    <row r="58" spans="1:14" x14ac:dyDescent="0.25">
      <c r="A58" s="44" t="s">
        <v>70</v>
      </c>
      <c r="B58" s="44" t="s">
        <v>449</v>
      </c>
      <c r="C58" s="44" t="s">
        <v>1808</v>
      </c>
      <c r="D58" s="44" t="s">
        <v>1853</v>
      </c>
      <c r="E58" s="45">
        <f t="shared" si="1"/>
        <v>720600.36</v>
      </c>
      <c r="F58" s="45">
        <v>720600.36</v>
      </c>
      <c r="G58" s="45"/>
      <c r="H58" s="45"/>
      <c r="I58" s="45"/>
      <c r="J58" s="45"/>
      <c r="K58" s="45"/>
      <c r="L58" s="45"/>
      <c r="M58" s="45"/>
      <c r="N58" s="45">
        <v>720600.36</v>
      </c>
    </row>
    <row r="59" spans="1:14" x14ac:dyDescent="0.25">
      <c r="A59" s="44" t="s">
        <v>73</v>
      </c>
      <c r="B59" s="44" t="s">
        <v>426</v>
      </c>
      <c r="C59" s="44" t="s">
        <v>1808</v>
      </c>
      <c r="D59" s="44" t="s">
        <v>1838</v>
      </c>
      <c r="E59" s="45">
        <f t="shared" si="1"/>
        <v>132805.28</v>
      </c>
      <c r="F59" s="45"/>
      <c r="G59" s="45"/>
      <c r="H59" s="45">
        <v>132805.28</v>
      </c>
      <c r="I59" s="45"/>
      <c r="J59" s="45"/>
      <c r="K59" s="45"/>
      <c r="L59" s="45"/>
      <c r="M59" s="45"/>
      <c r="N59" s="45">
        <v>132805.28</v>
      </c>
    </row>
    <row r="60" spans="1:14" x14ac:dyDescent="0.25">
      <c r="A60" s="44" t="s">
        <v>74</v>
      </c>
      <c r="B60" s="44" t="s">
        <v>1813</v>
      </c>
      <c r="C60" s="44" t="s">
        <v>1808</v>
      </c>
      <c r="D60" s="44" t="s">
        <v>1836</v>
      </c>
      <c r="E60" s="45">
        <f t="shared" si="1"/>
        <v>21476</v>
      </c>
      <c r="F60" s="45"/>
      <c r="G60" s="45">
        <v>21476</v>
      </c>
      <c r="H60" s="45"/>
      <c r="I60" s="45"/>
      <c r="J60" s="45"/>
      <c r="K60" s="45"/>
      <c r="L60" s="45"/>
      <c r="M60" s="45"/>
      <c r="N60" s="45">
        <v>21476</v>
      </c>
    </row>
    <row r="61" spans="1:14" x14ac:dyDescent="0.25">
      <c r="A61" s="44" t="s">
        <v>77</v>
      </c>
      <c r="B61" s="44" t="s">
        <v>373</v>
      </c>
      <c r="C61" s="44" t="s">
        <v>1808</v>
      </c>
      <c r="D61" s="44" t="s">
        <v>1834</v>
      </c>
      <c r="E61" s="45">
        <f t="shared" si="1"/>
        <v>3480</v>
      </c>
      <c r="F61" s="45">
        <v>3480</v>
      </c>
      <c r="G61" s="45"/>
      <c r="H61" s="45"/>
      <c r="I61" s="45"/>
      <c r="J61" s="45"/>
      <c r="K61" s="45"/>
      <c r="L61" s="45"/>
      <c r="M61" s="45"/>
      <c r="N61" s="45">
        <v>3480</v>
      </c>
    </row>
    <row r="62" spans="1:14" x14ac:dyDescent="0.25">
      <c r="A62" s="44" t="s">
        <v>78</v>
      </c>
      <c r="B62" s="44" t="s">
        <v>1813</v>
      </c>
      <c r="C62" s="44" t="s">
        <v>1808</v>
      </c>
      <c r="D62" s="44" t="s">
        <v>1836</v>
      </c>
      <c r="E62" s="45">
        <f t="shared" si="1"/>
        <v>15387.3</v>
      </c>
      <c r="F62" s="45"/>
      <c r="G62" s="45">
        <v>15387</v>
      </c>
      <c r="H62" s="45"/>
      <c r="I62" s="45">
        <v>0.3</v>
      </c>
      <c r="J62" s="45"/>
      <c r="K62" s="45"/>
      <c r="L62" s="45"/>
      <c r="M62" s="45"/>
      <c r="N62" s="45">
        <v>15387.3</v>
      </c>
    </row>
    <row r="63" spans="1:14" x14ac:dyDescent="0.25">
      <c r="A63" s="44" t="s">
        <v>79</v>
      </c>
      <c r="B63" s="44" t="s">
        <v>402</v>
      </c>
      <c r="C63" s="44" t="s">
        <v>1808</v>
      </c>
      <c r="D63" s="44" t="s">
        <v>1831</v>
      </c>
      <c r="E63" s="45">
        <f t="shared" si="1"/>
        <v>18275</v>
      </c>
      <c r="F63" s="45">
        <v>18275</v>
      </c>
      <c r="G63" s="45"/>
      <c r="H63" s="45"/>
      <c r="I63" s="45"/>
      <c r="J63" s="45"/>
      <c r="K63" s="45"/>
      <c r="L63" s="45"/>
      <c r="M63" s="45"/>
      <c r="N63" s="45">
        <v>18275</v>
      </c>
    </row>
    <row r="64" spans="1:14" x14ac:dyDescent="0.25">
      <c r="A64" s="44" t="s">
        <v>80</v>
      </c>
      <c r="B64" s="44" t="s">
        <v>402</v>
      </c>
      <c r="C64" s="44" t="s">
        <v>1808</v>
      </c>
      <c r="D64" s="44" t="s">
        <v>1831</v>
      </c>
      <c r="E64" s="45">
        <f t="shared" si="1"/>
        <v>305835</v>
      </c>
      <c r="F64" s="45">
        <v>305835</v>
      </c>
      <c r="G64" s="45"/>
      <c r="H64" s="45"/>
      <c r="I64" s="45"/>
      <c r="J64" s="45"/>
      <c r="K64" s="45"/>
      <c r="L64" s="45"/>
      <c r="M64" s="45"/>
      <c r="N64" s="45">
        <v>305835</v>
      </c>
    </row>
    <row r="65" spans="1:14" x14ac:dyDescent="0.25">
      <c r="A65" s="44" t="s">
        <v>81</v>
      </c>
      <c r="B65" s="44" t="s">
        <v>393</v>
      </c>
      <c r="C65" s="44" t="s">
        <v>1806</v>
      </c>
      <c r="D65" s="44" t="s">
        <v>1806</v>
      </c>
      <c r="E65" s="45">
        <f t="shared" si="1"/>
        <v>12347769.26</v>
      </c>
      <c r="F65" s="45"/>
      <c r="G65" s="45"/>
      <c r="H65" s="45"/>
      <c r="I65" s="45"/>
      <c r="J65" s="45"/>
      <c r="K65" s="45"/>
      <c r="L65" s="45">
        <v>12347769.26</v>
      </c>
      <c r="M65" s="45"/>
      <c r="N65" s="45">
        <v>12347769.26</v>
      </c>
    </row>
    <row r="66" spans="1:14" x14ac:dyDescent="0.25">
      <c r="A66" s="44" t="s">
        <v>83</v>
      </c>
      <c r="B66" s="44" t="s">
        <v>1807</v>
      </c>
      <c r="C66" s="44" t="s">
        <v>1817</v>
      </c>
      <c r="D66" s="44" t="s">
        <v>1807</v>
      </c>
      <c r="E66" s="45">
        <f t="shared" si="1"/>
        <v>637613.97999999986</v>
      </c>
      <c r="F66" s="45"/>
      <c r="G66" s="45"/>
      <c r="H66" s="45"/>
      <c r="I66" s="45"/>
      <c r="J66" s="45"/>
      <c r="K66" s="45">
        <v>637613.97999999986</v>
      </c>
      <c r="L66" s="45"/>
      <c r="M66" s="45"/>
      <c r="N66" s="45">
        <v>637613.97999999986</v>
      </c>
    </row>
    <row r="67" spans="1:14" x14ac:dyDescent="0.25">
      <c r="A67" s="44" t="s">
        <v>84</v>
      </c>
      <c r="B67" s="44" t="s">
        <v>341</v>
      </c>
      <c r="C67" s="44" t="s">
        <v>1806</v>
      </c>
      <c r="D67" s="44" t="s">
        <v>1806</v>
      </c>
      <c r="E67" s="45">
        <f t="shared" si="1"/>
        <v>1580000</v>
      </c>
      <c r="F67" s="45"/>
      <c r="G67" s="45"/>
      <c r="H67" s="45"/>
      <c r="I67" s="45"/>
      <c r="J67" s="45"/>
      <c r="K67" s="45"/>
      <c r="L67" s="45"/>
      <c r="M67" s="45">
        <v>1580000</v>
      </c>
      <c r="N67" s="45">
        <v>1580000</v>
      </c>
    </row>
    <row r="68" spans="1:14" x14ac:dyDescent="0.25">
      <c r="A68" s="44" t="s">
        <v>85</v>
      </c>
      <c r="B68" s="44" t="s">
        <v>1807</v>
      </c>
      <c r="C68" s="44" t="s">
        <v>1808</v>
      </c>
      <c r="D68" s="44" t="s">
        <v>1836</v>
      </c>
      <c r="E68" s="45">
        <f t="shared" si="1"/>
        <v>438491</v>
      </c>
      <c r="F68" s="45">
        <v>245340</v>
      </c>
      <c r="G68" s="45">
        <v>97624</v>
      </c>
      <c r="H68" s="45">
        <v>19604</v>
      </c>
      <c r="I68" s="45">
        <v>75923</v>
      </c>
      <c r="J68" s="45"/>
      <c r="K68" s="45"/>
      <c r="L68" s="45"/>
      <c r="M68" s="45"/>
      <c r="N68" s="45">
        <v>438491</v>
      </c>
    </row>
    <row r="69" spans="1:14" x14ac:dyDescent="0.25">
      <c r="A69" s="44" t="s">
        <v>86</v>
      </c>
      <c r="B69" s="44" t="s">
        <v>1807</v>
      </c>
      <c r="C69" s="44" t="s">
        <v>1806</v>
      </c>
      <c r="D69" s="44" t="s">
        <v>1806</v>
      </c>
      <c r="E69" s="45">
        <f t="shared" si="1"/>
        <v>284053.5</v>
      </c>
      <c r="F69" s="45"/>
      <c r="G69" s="45"/>
      <c r="H69" s="45"/>
      <c r="I69" s="45"/>
      <c r="J69" s="45"/>
      <c r="K69" s="45"/>
      <c r="L69" s="45"/>
      <c r="M69" s="45">
        <v>284053.5</v>
      </c>
      <c r="N69" s="45">
        <v>284053.5</v>
      </c>
    </row>
    <row r="70" spans="1:14" x14ac:dyDescent="0.25">
      <c r="A70" s="44" t="s">
        <v>87</v>
      </c>
      <c r="B70" s="44" t="s">
        <v>402</v>
      </c>
      <c r="C70" s="44" t="s">
        <v>1808</v>
      </c>
      <c r="D70" s="44" t="s">
        <v>1835</v>
      </c>
      <c r="E70" s="45">
        <f t="shared" ref="E70:E133" si="2">SUM(F70:M70)</f>
        <v>20000</v>
      </c>
      <c r="F70" s="45">
        <v>20000</v>
      </c>
      <c r="G70" s="45"/>
      <c r="H70" s="45"/>
      <c r="I70" s="45"/>
      <c r="J70" s="45"/>
      <c r="K70" s="45"/>
      <c r="L70" s="45"/>
      <c r="M70" s="45"/>
      <c r="N70" s="45">
        <v>20000</v>
      </c>
    </row>
    <row r="71" spans="1:14" x14ac:dyDescent="0.25">
      <c r="A71" s="44" t="s">
        <v>88</v>
      </c>
      <c r="B71" s="44" t="s">
        <v>373</v>
      </c>
      <c r="C71" s="44" t="s">
        <v>1829</v>
      </c>
      <c r="D71" s="44" t="s">
        <v>1830</v>
      </c>
      <c r="E71" s="45">
        <f t="shared" si="2"/>
        <v>22375.81</v>
      </c>
      <c r="F71" s="45"/>
      <c r="G71" s="45"/>
      <c r="H71" s="45"/>
      <c r="I71" s="45">
        <v>22375.81</v>
      </c>
      <c r="J71" s="45"/>
      <c r="K71" s="45"/>
      <c r="L71" s="45"/>
      <c r="M71" s="45"/>
      <c r="N71" s="45">
        <v>22375.81</v>
      </c>
    </row>
    <row r="72" spans="1:14" x14ac:dyDescent="0.25">
      <c r="A72" s="44" t="s">
        <v>91</v>
      </c>
      <c r="B72" s="44" t="s">
        <v>561</v>
      </c>
      <c r="C72" s="44" t="s">
        <v>1808</v>
      </c>
      <c r="D72" s="44" t="s">
        <v>1831</v>
      </c>
      <c r="E72" s="45">
        <f t="shared" si="2"/>
        <v>179124</v>
      </c>
      <c r="F72" s="45">
        <v>62304</v>
      </c>
      <c r="G72" s="45">
        <v>116820</v>
      </c>
      <c r="H72" s="45"/>
      <c r="I72" s="45"/>
      <c r="J72" s="45"/>
      <c r="K72" s="45"/>
      <c r="L72" s="45"/>
      <c r="M72" s="45"/>
      <c r="N72" s="45">
        <v>179124</v>
      </c>
    </row>
    <row r="73" spans="1:14" x14ac:dyDescent="0.25">
      <c r="A73" s="44" t="s">
        <v>90</v>
      </c>
      <c r="B73" s="44" t="s">
        <v>323</v>
      </c>
      <c r="C73" s="44" t="s">
        <v>1808</v>
      </c>
      <c r="D73" s="44" t="s">
        <v>1841</v>
      </c>
      <c r="E73" s="45">
        <f t="shared" si="2"/>
        <v>1800000</v>
      </c>
      <c r="F73" s="45"/>
      <c r="G73" s="45"/>
      <c r="H73" s="45"/>
      <c r="I73" s="45"/>
      <c r="J73" s="45"/>
      <c r="K73" s="45"/>
      <c r="L73" s="45"/>
      <c r="M73" s="45">
        <v>1800000</v>
      </c>
      <c r="N73" s="45">
        <v>1800000</v>
      </c>
    </row>
    <row r="74" spans="1:14" x14ac:dyDescent="0.25">
      <c r="A74" s="44" t="s">
        <v>95</v>
      </c>
      <c r="B74" s="44" t="s">
        <v>449</v>
      </c>
      <c r="C74" s="44" t="s">
        <v>1808</v>
      </c>
      <c r="D74" s="44" t="s">
        <v>1812</v>
      </c>
      <c r="E74" s="45">
        <f t="shared" si="2"/>
        <v>287496</v>
      </c>
      <c r="F74" s="45">
        <v>287496</v>
      </c>
      <c r="G74" s="45"/>
      <c r="H74" s="45"/>
      <c r="I74" s="45"/>
      <c r="J74" s="45"/>
      <c r="K74" s="45"/>
      <c r="L74" s="45"/>
      <c r="M74" s="45"/>
      <c r="N74" s="45">
        <v>287496</v>
      </c>
    </row>
    <row r="75" spans="1:14" x14ac:dyDescent="0.25">
      <c r="A75" s="44" t="s">
        <v>96</v>
      </c>
      <c r="B75" s="44" t="s">
        <v>402</v>
      </c>
      <c r="C75" s="44" t="s">
        <v>1808</v>
      </c>
      <c r="D75" s="44" t="s">
        <v>1841</v>
      </c>
      <c r="E75" s="45">
        <f t="shared" si="2"/>
        <v>362778.22000000003</v>
      </c>
      <c r="F75" s="45">
        <v>362778.22000000003</v>
      </c>
      <c r="G75" s="45"/>
      <c r="H75" s="45"/>
      <c r="I75" s="45"/>
      <c r="J75" s="45"/>
      <c r="K75" s="45"/>
      <c r="L75" s="45"/>
      <c r="M75" s="45"/>
      <c r="N75" s="45">
        <v>362778.22000000003</v>
      </c>
    </row>
    <row r="76" spans="1:14" x14ac:dyDescent="0.25">
      <c r="A76" s="44" t="s">
        <v>98</v>
      </c>
      <c r="B76" s="44" t="s">
        <v>449</v>
      </c>
      <c r="C76" s="44" t="s">
        <v>1808</v>
      </c>
      <c r="D76" s="44" t="s">
        <v>1842</v>
      </c>
      <c r="E76" s="45">
        <f t="shared" si="2"/>
        <v>1831352</v>
      </c>
      <c r="F76" s="45">
        <v>1831352</v>
      </c>
      <c r="G76" s="45"/>
      <c r="H76" s="45"/>
      <c r="I76" s="45"/>
      <c r="J76" s="45"/>
      <c r="K76" s="45"/>
      <c r="L76" s="45"/>
      <c r="M76" s="45"/>
      <c r="N76" s="45">
        <v>1831352</v>
      </c>
    </row>
    <row r="77" spans="1:14" x14ac:dyDescent="0.25">
      <c r="A77" s="44" t="s">
        <v>99</v>
      </c>
      <c r="B77" s="44" t="s">
        <v>449</v>
      </c>
      <c r="C77" s="44" t="s">
        <v>1808</v>
      </c>
      <c r="D77" s="44" t="s">
        <v>1843</v>
      </c>
      <c r="E77" s="45">
        <f t="shared" si="2"/>
        <v>5934541.8599999994</v>
      </c>
      <c r="F77" s="45">
        <v>4719879.18</v>
      </c>
      <c r="G77" s="45"/>
      <c r="H77" s="45"/>
      <c r="I77" s="45"/>
      <c r="J77" s="45"/>
      <c r="K77" s="45"/>
      <c r="L77" s="45">
        <v>1214662.68</v>
      </c>
      <c r="M77" s="45"/>
      <c r="N77" s="45">
        <v>5934541.8599999994</v>
      </c>
    </row>
    <row r="78" spans="1:14" x14ac:dyDescent="0.25">
      <c r="A78" s="44" t="s">
        <v>101</v>
      </c>
      <c r="B78" s="44" t="s">
        <v>341</v>
      </c>
      <c r="C78" s="44" t="s">
        <v>1808</v>
      </c>
      <c r="D78" s="44" t="s">
        <v>1831</v>
      </c>
      <c r="E78" s="45">
        <f t="shared" si="2"/>
        <v>1710410</v>
      </c>
      <c r="F78" s="45">
        <v>1000050</v>
      </c>
      <c r="G78" s="45">
        <v>710360</v>
      </c>
      <c r="H78" s="45"/>
      <c r="I78" s="45"/>
      <c r="J78" s="45"/>
      <c r="K78" s="45"/>
      <c r="L78" s="45"/>
      <c r="M78" s="45"/>
      <c r="N78" s="45">
        <v>1710410</v>
      </c>
    </row>
    <row r="79" spans="1:14" x14ac:dyDescent="0.25">
      <c r="A79" s="44" t="s">
        <v>102</v>
      </c>
      <c r="B79" s="44" t="s">
        <v>341</v>
      </c>
      <c r="C79" s="44" t="s">
        <v>1808</v>
      </c>
      <c r="D79" s="44" t="s">
        <v>1836</v>
      </c>
      <c r="E79" s="45">
        <f t="shared" si="2"/>
        <v>9280</v>
      </c>
      <c r="F79" s="45">
        <v>9280</v>
      </c>
      <c r="G79" s="45"/>
      <c r="H79" s="45"/>
      <c r="I79" s="45"/>
      <c r="J79" s="45"/>
      <c r="K79" s="45"/>
      <c r="L79" s="45"/>
      <c r="M79" s="45"/>
      <c r="N79" s="45">
        <v>9280</v>
      </c>
    </row>
    <row r="80" spans="1:14" x14ac:dyDescent="0.25">
      <c r="A80" s="44" t="s">
        <v>104</v>
      </c>
      <c r="B80" s="44" t="s">
        <v>402</v>
      </c>
      <c r="C80" s="44" t="s">
        <v>1808</v>
      </c>
      <c r="D80" s="44" t="s">
        <v>1841</v>
      </c>
      <c r="E80" s="45">
        <f t="shared" si="2"/>
        <v>7972.88</v>
      </c>
      <c r="F80" s="45"/>
      <c r="G80" s="45"/>
      <c r="H80" s="45"/>
      <c r="I80" s="45">
        <v>7972.88</v>
      </c>
      <c r="J80" s="45"/>
      <c r="K80" s="45"/>
      <c r="L80" s="45"/>
      <c r="M80" s="45"/>
      <c r="N80" s="45">
        <v>7972.88</v>
      </c>
    </row>
    <row r="81" spans="1:14" x14ac:dyDescent="0.25">
      <c r="A81" s="44" t="s">
        <v>105</v>
      </c>
      <c r="B81" s="44" t="s">
        <v>373</v>
      </c>
      <c r="C81" s="44" t="s">
        <v>1808</v>
      </c>
      <c r="D81" s="44" t="s">
        <v>1836</v>
      </c>
      <c r="E81" s="45">
        <f t="shared" si="2"/>
        <v>0.44</v>
      </c>
      <c r="F81" s="45"/>
      <c r="G81" s="45"/>
      <c r="H81" s="45"/>
      <c r="I81" s="45"/>
      <c r="J81" s="45"/>
      <c r="K81" s="45"/>
      <c r="L81" s="45"/>
      <c r="M81" s="45">
        <v>0.44</v>
      </c>
      <c r="N81" s="45">
        <v>0.44</v>
      </c>
    </row>
    <row r="82" spans="1:14" x14ac:dyDescent="0.25">
      <c r="A82" s="44" t="s">
        <v>116</v>
      </c>
      <c r="B82" s="44" t="s">
        <v>1807</v>
      </c>
      <c r="C82" s="44" t="s">
        <v>1829</v>
      </c>
      <c r="D82" s="44" t="s">
        <v>1830</v>
      </c>
      <c r="E82" s="45">
        <f t="shared" si="2"/>
        <v>37522.15</v>
      </c>
      <c r="F82" s="45"/>
      <c r="G82" s="45"/>
      <c r="H82" s="45"/>
      <c r="I82" s="45"/>
      <c r="J82" s="45">
        <v>37522.15</v>
      </c>
      <c r="K82" s="45"/>
      <c r="L82" s="45"/>
      <c r="M82" s="45"/>
      <c r="N82" s="45">
        <v>37522.15</v>
      </c>
    </row>
    <row r="83" spans="1:14" x14ac:dyDescent="0.25">
      <c r="A83" s="44" t="s">
        <v>106</v>
      </c>
      <c r="B83" s="44" t="s">
        <v>1813</v>
      </c>
      <c r="C83" s="44" t="s">
        <v>1808</v>
      </c>
      <c r="D83" s="44" t="s">
        <v>1836</v>
      </c>
      <c r="E83" s="45">
        <f t="shared" si="2"/>
        <v>69890</v>
      </c>
      <c r="F83" s="45">
        <v>55390</v>
      </c>
      <c r="G83" s="45">
        <v>14500</v>
      </c>
      <c r="H83" s="45"/>
      <c r="I83" s="45"/>
      <c r="J83" s="45"/>
      <c r="K83" s="45"/>
      <c r="L83" s="45"/>
      <c r="M83" s="45"/>
      <c r="N83" s="45">
        <v>69890</v>
      </c>
    </row>
    <row r="84" spans="1:14" x14ac:dyDescent="0.25">
      <c r="A84" s="44" t="s">
        <v>107</v>
      </c>
      <c r="B84" s="44" t="s">
        <v>1807</v>
      </c>
      <c r="C84" s="44" t="s">
        <v>1808</v>
      </c>
      <c r="D84" s="44" t="s">
        <v>1836</v>
      </c>
      <c r="E84" s="45">
        <f t="shared" si="2"/>
        <v>5664</v>
      </c>
      <c r="F84" s="45"/>
      <c r="G84" s="45">
        <v>5664</v>
      </c>
      <c r="H84" s="45"/>
      <c r="I84" s="45"/>
      <c r="J84" s="45"/>
      <c r="K84" s="45"/>
      <c r="L84" s="45"/>
      <c r="M84" s="45"/>
      <c r="N84" s="45">
        <v>5664</v>
      </c>
    </row>
    <row r="85" spans="1:14" x14ac:dyDescent="0.25">
      <c r="A85" s="44" t="s">
        <v>109</v>
      </c>
      <c r="B85" s="44" t="s">
        <v>393</v>
      </c>
      <c r="C85" s="44" t="s">
        <v>1805</v>
      </c>
      <c r="D85" s="44" t="s">
        <v>1839</v>
      </c>
      <c r="E85" s="45">
        <f t="shared" si="2"/>
        <v>909849.5</v>
      </c>
      <c r="F85" s="45">
        <v>650788.78</v>
      </c>
      <c r="G85" s="45">
        <v>259060.72</v>
      </c>
      <c r="H85" s="45"/>
      <c r="I85" s="45"/>
      <c r="J85" s="45"/>
      <c r="K85" s="45"/>
      <c r="L85" s="45"/>
      <c r="M85" s="45"/>
      <c r="N85" s="45">
        <v>909849.5</v>
      </c>
    </row>
    <row r="86" spans="1:14" x14ac:dyDescent="0.25">
      <c r="A86" s="44" t="s">
        <v>110</v>
      </c>
      <c r="B86" s="44" t="s">
        <v>393</v>
      </c>
      <c r="C86" s="44" t="s">
        <v>1808</v>
      </c>
      <c r="D86" s="44" t="s">
        <v>1835</v>
      </c>
      <c r="E86" s="45">
        <f t="shared" si="2"/>
        <v>18000</v>
      </c>
      <c r="F86" s="45">
        <v>18000</v>
      </c>
      <c r="G86" s="45"/>
      <c r="H86" s="45"/>
      <c r="I86" s="45"/>
      <c r="J86" s="45"/>
      <c r="K86" s="45"/>
      <c r="L86" s="45"/>
      <c r="M86" s="45"/>
      <c r="N86" s="45">
        <v>18000</v>
      </c>
    </row>
    <row r="87" spans="1:14" x14ac:dyDescent="0.25">
      <c r="A87" s="44" t="s">
        <v>112</v>
      </c>
      <c r="B87" s="44" t="s">
        <v>1807</v>
      </c>
      <c r="C87" s="44" t="s">
        <v>1808</v>
      </c>
      <c r="D87" s="44" t="s">
        <v>1836</v>
      </c>
      <c r="E87" s="45">
        <f t="shared" si="2"/>
        <v>70595.399999999994</v>
      </c>
      <c r="F87" s="45"/>
      <c r="G87" s="45"/>
      <c r="H87" s="45"/>
      <c r="I87" s="45"/>
      <c r="J87" s="45">
        <v>21515.4</v>
      </c>
      <c r="K87" s="45"/>
      <c r="L87" s="45">
        <v>49080</v>
      </c>
      <c r="M87" s="45"/>
      <c r="N87" s="45">
        <v>70595.399999999994</v>
      </c>
    </row>
    <row r="88" spans="1:14" x14ac:dyDescent="0.25">
      <c r="A88" s="44" t="s">
        <v>113</v>
      </c>
      <c r="B88" s="44" t="s">
        <v>393</v>
      </c>
      <c r="C88" s="44" t="s">
        <v>1829</v>
      </c>
      <c r="D88" s="44" t="s">
        <v>1830</v>
      </c>
      <c r="E88" s="45">
        <f t="shared" si="2"/>
        <v>1287520</v>
      </c>
      <c r="F88" s="45"/>
      <c r="G88" s="45"/>
      <c r="H88" s="45"/>
      <c r="I88" s="45"/>
      <c r="J88" s="45"/>
      <c r="K88" s="45">
        <v>160020</v>
      </c>
      <c r="L88" s="45">
        <v>1127500</v>
      </c>
      <c r="M88" s="45"/>
      <c r="N88" s="45">
        <v>1287520</v>
      </c>
    </row>
    <row r="89" spans="1:14" x14ac:dyDescent="0.25">
      <c r="A89" s="44" t="s">
        <v>114</v>
      </c>
      <c r="B89" s="44" t="s">
        <v>435</v>
      </c>
      <c r="C89" s="44" t="s">
        <v>1808</v>
      </c>
      <c r="D89" s="44" t="s">
        <v>1836</v>
      </c>
      <c r="E89" s="45">
        <f t="shared" si="2"/>
        <v>64139</v>
      </c>
      <c r="F89" s="45"/>
      <c r="G89" s="45"/>
      <c r="H89" s="45"/>
      <c r="I89" s="45">
        <v>64139</v>
      </c>
      <c r="J89" s="45"/>
      <c r="K89" s="45"/>
      <c r="L89" s="45"/>
      <c r="M89" s="45"/>
      <c r="N89" s="45">
        <v>64139</v>
      </c>
    </row>
    <row r="90" spans="1:14" x14ac:dyDescent="0.25">
      <c r="A90" s="44" t="s">
        <v>115</v>
      </c>
      <c r="B90" s="44" t="s">
        <v>642</v>
      </c>
      <c r="C90" s="44" t="s">
        <v>1809</v>
      </c>
      <c r="D90" s="44" t="s">
        <v>1809</v>
      </c>
      <c r="E90" s="45">
        <f t="shared" si="2"/>
        <v>27453.599999999999</v>
      </c>
      <c r="F90" s="45">
        <v>27453.599999999999</v>
      </c>
      <c r="G90" s="45"/>
      <c r="H90" s="45"/>
      <c r="I90" s="45"/>
      <c r="J90" s="45"/>
      <c r="K90" s="45"/>
      <c r="L90" s="45"/>
      <c r="M90" s="45"/>
      <c r="N90" s="45">
        <v>27453.599999999999</v>
      </c>
    </row>
    <row r="91" spans="1:14" x14ac:dyDescent="0.25">
      <c r="A91" s="44" t="s">
        <v>117</v>
      </c>
      <c r="B91" s="44" t="s">
        <v>561</v>
      </c>
      <c r="C91" s="44" t="s">
        <v>1808</v>
      </c>
      <c r="D91" s="44" t="s">
        <v>1853</v>
      </c>
      <c r="E91" s="45">
        <f t="shared" si="2"/>
        <v>50938</v>
      </c>
      <c r="F91" s="45">
        <v>50938</v>
      </c>
      <c r="G91" s="45"/>
      <c r="H91" s="45"/>
      <c r="I91" s="45"/>
      <c r="J91" s="45"/>
      <c r="K91" s="45"/>
      <c r="L91" s="45"/>
      <c r="M91" s="45"/>
      <c r="N91" s="45">
        <v>50938</v>
      </c>
    </row>
    <row r="92" spans="1:14" x14ac:dyDescent="0.25">
      <c r="A92" s="44" t="s">
        <v>118</v>
      </c>
      <c r="B92" s="44" t="s">
        <v>402</v>
      </c>
      <c r="C92" s="44" t="s">
        <v>1806</v>
      </c>
      <c r="D92" s="44" t="s">
        <v>1806</v>
      </c>
      <c r="E92" s="45">
        <f t="shared" si="2"/>
        <v>24300</v>
      </c>
      <c r="F92" s="45">
        <v>24300</v>
      </c>
      <c r="G92" s="45"/>
      <c r="H92" s="45"/>
      <c r="I92" s="45"/>
      <c r="J92" s="45"/>
      <c r="K92" s="45"/>
      <c r="L92" s="45"/>
      <c r="M92" s="45"/>
      <c r="N92" s="45">
        <v>24300</v>
      </c>
    </row>
    <row r="93" spans="1:14" x14ac:dyDescent="0.25">
      <c r="A93" s="44" t="s">
        <v>126</v>
      </c>
      <c r="B93" s="44" t="s">
        <v>426</v>
      </c>
      <c r="C93" s="44" t="s">
        <v>1809</v>
      </c>
      <c r="D93" s="44" t="s">
        <v>1809</v>
      </c>
      <c r="E93" s="45">
        <f t="shared" si="2"/>
        <v>4870770.7100000009</v>
      </c>
      <c r="F93" s="45">
        <v>4870770.7100000009</v>
      </c>
      <c r="G93" s="45"/>
      <c r="H93" s="45"/>
      <c r="I93" s="45"/>
      <c r="J93" s="45"/>
      <c r="K93" s="45"/>
      <c r="L93" s="45"/>
      <c r="M93" s="45"/>
      <c r="N93" s="45">
        <v>4870770.7100000009</v>
      </c>
    </row>
    <row r="94" spans="1:14" x14ac:dyDescent="0.25">
      <c r="A94" s="44" t="s">
        <v>128</v>
      </c>
      <c r="B94" s="44" t="s">
        <v>402</v>
      </c>
      <c r="C94" s="44" t="s">
        <v>1806</v>
      </c>
      <c r="D94" s="44" t="s">
        <v>1806</v>
      </c>
      <c r="E94" s="45">
        <f t="shared" si="2"/>
        <v>736320</v>
      </c>
      <c r="F94" s="45"/>
      <c r="G94" s="45"/>
      <c r="H94" s="45"/>
      <c r="I94" s="45"/>
      <c r="J94" s="45"/>
      <c r="K94" s="45"/>
      <c r="L94" s="45"/>
      <c r="M94" s="45">
        <v>736320</v>
      </c>
      <c r="N94" s="45">
        <v>736320</v>
      </c>
    </row>
    <row r="95" spans="1:14" x14ac:dyDescent="0.25">
      <c r="A95" s="44" t="s">
        <v>119</v>
      </c>
      <c r="B95" s="44" t="s">
        <v>402</v>
      </c>
      <c r="C95" s="44" t="s">
        <v>1806</v>
      </c>
      <c r="D95" s="44" t="s">
        <v>1806</v>
      </c>
      <c r="E95" s="45">
        <f t="shared" si="2"/>
        <v>776875</v>
      </c>
      <c r="F95" s="45">
        <v>776875</v>
      </c>
      <c r="G95" s="45"/>
      <c r="H95" s="45"/>
      <c r="I95" s="45"/>
      <c r="J95" s="45"/>
      <c r="K95" s="45"/>
      <c r="L95" s="45"/>
      <c r="M95" s="45"/>
      <c r="N95" s="45">
        <v>776875</v>
      </c>
    </row>
    <row r="96" spans="1:14" x14ac:dyDescent="0.25">
      <c r="A96" s="44" t="s">
        <v>120</v>
      </c>
      <c r="B96" s="44" t="s">
        <v>1807</v>
      </c>
      <c r="C96" s="44" t="s">
        <v>1808</v>
      </c>
      <c r="D96" s="44" t="s">
        <v>1830</v>
      </c>
      <c r="E96" s="45">
        <f t="shared" si="2"/>
        <v>1000725</v>
      </c>
      <c r="F96" s="45">
        <v>1000725</v>
      </c>
      <c r="G96" s="45"/>
      <c r="H96" s="45"/>
      <c r="I96" s="45"/>
      <c r="J96" s="45"/>
      <c r="K96" s="45"/>
      <c r="L96" s="45"/>
      <c r="M96" s="45"/>
      <c r="N96" s="45">
        <v>1000725</v>
      </c>
    </row>
    <row r="97" spans="1:14" x14ac:dyDescent="0.25">
      <c r="A97" s="44" t="s">
        <v>121</v>
      </c>
      <c r="B97" s="44" t="s">
        <v>341</v>
      </c>
      <c r="C97" s="44" t="s">
        <v>1808</v>
      </c>
      <c r="D97" s="44" t="s">
        <v>1835</v>
      </c>
      <c r="E97" s="45">
        <f t="shared" si="2"/>
        <v>34900.199999999997</v>
      </c>
      <c r="F97" s="45">
        <v>34900.199999999997</v>
      </c>
      <c r="G97" s="45"/>
      <c r="H97" s="45"/>
      <c r="I97" s="45"/>
      <c r="J97" s="45"/>
      <c r="K97" s="45"/>
      <c r="L97" s="45"/>
      <c r="M97" s="45"/>
      <c r="N97" s="45">
        <v>34900.199999999997</v>
      </c>
    </row>
    <row r="98" spans="1:14" x14ac:dyDescent="0.25">
      <c r="A98" s="44" t="s">
        <v>122</v>
      </c>
      <c r="B98" s="44" t="s">
        <v>426</v>
      </c>
      <c r="C98" s="44" t="s">
        <v>1809</v>
      </c>
      <c r="D98" s="44" t="s">
        <v>1809</v>
      </c>
      <c r="E98" s="45">
        <f t="shared" si="2"/>
        <v>131043</v>
      </c>
      <c r="F98" s="45">
        <v>131043</v>
      </c>
      <c r="G98" s="45"/>
      <c r="H98" s="45"/>
      <c r="I98" s="45"/>
      <c r="J98" s="45"/>
      <c r="K98" s="45"/>
      <c r="L98" s="45"/>
      <c r="M98" s="45"/>
      <c r="N98" s="45">
        <v>131043</v>
      </c>
    </row>
    <row r="99" spans="1:14" x14ac:dyDescent="0.25">
      <c r="A99" s="44" t="s">
        <v>123</v>
      </c>
      <c r="B99" s="44" t="s">
        <v>341</v>
      </c>
      <c r="C99" s="44" t="s">
        <v>1808</v>
      </c>
      <c r="D99" s="44" t="s">
        <v>1832</v>
      </c>
      <c r="E99" s="45">
        <f t="shared" si="2"/>
        <v>3840</v>
      </c>
      <c r="F99" s="45">
        <v>3840</v>
      </c>
      <c r="G99" s="45"/>
      <c r="H99" s="45"/>
      <c r="I99" s="45"/>
      <c r="J99" s="45"/>
      <c r="K99" s="45"/>
      <c r="L99" s="45"/>
      <c r="M99" s="45"/>
      <c r="N99" s="45">
        <v>3840</v>
      </c>
    </row>
    <row r="100" spans="1:14" x14ac:dyDescent="0.25">
      <c r="A100" s="44" t="s">
        <v>124</v>
      </c>
      <c r="B100" s="44" t="s">
        <v>449</v>
      </c>
      <c r="C100" s="44" t="s">
        <v>1808</v>
      </c>
      <c r="D100" s="44" t="s">
        <v>1853</v>
      </c>
      <c r="E100" s="45">
        <f t="shared" si="2"/>
        <v>484.70000000000073</v>
      </c>
      <c r="F100" s="45">
        <v>484.70000000000073</v>
      </c>
      <c r="G100" s="45"/>
      <c r="H100" s="45"/>
      <c r="I100" s="45"/>
      <c r="J100" s="45"/>
      <c r="K100" s="45"/>
      <c r="L100" s="45"/>
      <c r="M100" s="45"/>
      <c r="N100" s="45">
        <v>484.70000000000073</v>
      </c>
    </row>
    <row r="101" spans="1:14" x14ac:dyDescent="0.25">
      <c r="A101" s="44" t="s">
        <v>125</v>
      </c>
      <c r="B101" s="44" t="s">
        <v>373</v>
      </c>
      <c r="C101" s="44" t="s">
        <v>1808</v>
      </c>
      <c r="D101" s="44" t="s">
        <v>1836</v>
      </c>
      <c r="E101" s="45">
        <f t="shared" si="2"/>
        <v>73.2</v>
      </c>
      <c r="F101" s="45">
        <v>73.2</v>
      </c>
      <c r="G101" s="45"/>
      <c r="H101" s="45"/>
      <c r="I101" s="45"/>
      <c r="J101" s="45"/>
      <c r="K101" s="45"/>
      <c r="L101" s="45"/>
      <c r="M101" s="45"/>
      <c r="N101" s="45">
        <v>73.2</v>
      </c>
    </row>
    <row r="102" spans="1:14" x14ac:dyDescent="0.25">
      <c r="A102" s="44" t="s">
        <v>127</v>
      </c>
      <c r="B102" s="44" t="s">
        <v>393</v>
      </c>
      <c r="C102" s="44" t="s">
        <v>1829</v>
      </c>
      <c r="D102" s="44" t="s">
        <v>1830</v>
      </c>
      <c r="E102" s="45">
        <f t="shared" si="2"/>
        <v>2320277.7000000002</v>
      </c>
      <c r="F102" s="45"/>
      <c r="G102" s="45"/>
      <c r="H102" s="45"/>
      <c r="I102" s="45"/>
      <c r="J102" s="45"/>
      <c r="K102" s="45"/>
      <c r="L102" s="45">
        <v>2320277.7000000002</v>
      </c>
      <c r="M102" s="45"/>
      <c r="N102" s="45">
        <v>2320277.7000000002</v>
      </c>
    </row>
    <row r="103" spans="1:14" x14ac:dyDescent="0.25">
      <c r="A103" s="44" t="s">
        <v>129</v>
      </c>
      <c r="B103" s="44" t="s">
        <v>402</v>
      </c>
      <c r="C103" s="44" t="s">
        <v>1808</v>
      </c>
      <c r="D103" s="44" t="s">
        <v>1831</v>
      </c>
      <c r="E103" s="45">
        <f t="shared" si="2"/>
        <v>7611</v>
      </c>
      <c r="F103" s="45">
        <v>7611</v>
      </c>
      <c r="G103" s="45"/>
      <c r="H103" s="45"/>
      <c r="I103" s="45"/>
      <c r="J103" s="45"/>
      <c r="K103" s="45"/>
      <c r="L103" s="45"/>
      <c r="M103" s="45"/>
      <c r="N103" s="45">
        <v>7611</v>
      </c>
    </row>
    <row r="104" spans="1:14" x14ac:dyDescent="0.25">
      <c r="A104" s="44" t="s">
        <v>130</v>
      </c>
      <c r="B104" s="44" t="s">
        <v>1826</v>
      </c>
      <c r="C104" s="44" t="s">
        <v>1806</v>
      </c>
      <c r="D104" s="44" t="s">
        <v>1835</v>
      </c>
      <c r="E104" s="45">
        <f t="shared" si="2"/>
        <v>18000</v>
      </c>
      <c r="F104" s="45">
        <v>18000</v>
      </c>
      <c r="G104" s="45"/>
      <c r="H104" s="45"/>
      <c r="I104" s="45"/>
      <c r="J104" s="45"/>
      <c r="K104" s="45"/>
      <c r="L104" s="45"/>
      <c r="M104" s="45"/>
      <c r="N104" s="45">
        <v>18000</v>
      </c>
    </row>
    <row r="105" spans="1:14" x14ac:dyDescent="0.25">
      <c r="A105" s="44" t="s">
        <v>131</v>
      </c>
      <c r="B105" s="44" t="s">
        <v>1807</v>
      </c>
      <c r="C105" s="44" t="s">
        <v>1806</v>
      </c>
      <c r="D105" s="44" t="s">
        <v>1806</v>
      </c>
      <c r="E105" s="45">
        <f t="shared" si="2"/>
        <v>573480</v>
      </c>
      <c r="F105" s="45"/>
      <c r="G105" s="45"/>
      <c r="H105" s="45"/>
      <c r="I105" s="45"/>
      <c r="J105" s="45"/>
      <c r="K105" s="45"/>
      <c r="L105" s="45"/>
      <c r="M105" s="45">
        <v>573480</v>
      </c>
      <c r="N105" s="45">
        <v>573480</v>
      </c>
    </row>
    <row r="106" spans="1:14" x14ac:dyDescent="0.25">
      <c r="A106" s="44" t="s">
        <v>132</v>
      </c>
      <c r="B106" s="44" t="s">
        <v>1826</v>
      </c>
      <c r="C106" s="44" t="s">
        <v>1806</v>
      </c>
      <c r="D106" s="44" t="s">
        <v>1835</v>
      </c>
      <c r="E106" s="45">
        <f t="shared" si="2"/>
        <v>111000</v>
      </c>
      <c r="F106" s="45">
        <v>74000</v>
      </c>
      <c r="G106" s="45">
        <v>37000</v>
      </c>
      <c r="H106" s="45"/>
      <c r="I106" s="45"/>
      <c r="J106" s="45"/>
      <c r="K106" s="45"/>
      <c r="L106" s="45"/>
      <c r="M106" s="45"/>
      <c r="N106" s="45">
        <v>111000</v>
      </c>
    </row>
    <row r="107" spans="1:14" x14ac:dyDescent="0.25">
      <c r="A107" s="44" t="s">
        <v>134</v>
      </c>
      <c r="B107" s="44" t="s">
        <v>323</v>
      </c>
      <c r="C107" s="44" t="s">
        <v>1808</v>
      </c>
      <c r="D107" s="44" t="s">
        <v>1836</v>
      </c>
      <c r="E107" s="45">
        <f t="shared" si="2"/>
        <v>12016.44</v>
      </c>
      <c r="F107" s="45"/>
      <c r="G107" s="45"/>
      <c r="H107" s="45">
        <v>12016.44</v>
      </c>
      <c r="I107" s="45"/>
      <c r="J107" s="45"/>
      <c r="K107" s="45"/>
      <c r="L107" s="45"/>
      <c r="M107" s="45"/>
      <c r="N107" s="45">
        <v>12016.44</v>
      </c>
    </row>
    <row r="108" spans="1:14" x14ac:dyDescent="0.25">
      <c r="A108" s="44" t="s">
        <v>135</v>
      </c>
      <c r="B108" s="44" t="s">
        <v>1813</v>
      </c>
      <c r="C108" s="44" t="s">
        <v>1808</v>
      </c>
      <c r="D108" s="44" t="s">
        <v>1836</v>
      </c>
      <c r="E108" s="45">
        <f t="shared" si="2"/>
        <v>13806.1</v>
      </c>
      <c r="F108" s="45"/>
      <c r="G108" s="45"/>
      <c r="H108" s="45">
        <v>13806</v>
      </c>
      <c r="I108" s="45">
        <v>0.1</v>
      </c>
      <c r="J108" s="45"/>
      <c r="K108" s="45"/>
      <c r="L108" s="45"/>
      <c r="M108" s="45"/>
      <c r="N108" s="45">
        <v>13806.1</v>
      </c>
    </row>
    <row r="109" spans="1:14" x14ac:dyDescent="0.25">
      <c r="A109" s="44" t="s">
        <v>137</v>
      </c>
      <c r="B109" s="44" t="s">
        <v>393</v>
      </c>
      <c r="C109" s="44" t="s">
        <v>1806</v>
      </c>
      <c r="D109" s="44" t="s">
        <v>1806</v>
      </c>
      <c r="E109" s="45">
        <f t="shared" si="2"/>
        <v>786935</v>
      </c>
      <c r="F109" s="45"/>
      <c r="G109" s="45"/>
      <c r="H109" s="45"/>
      <c r="I109" s="45"/>
      <c r="J109" s="45"/>
      <c r="K109" s="45"/>
      <c r="L109" s="45"/>
      <c r="M109" s="45">
        <v>786935</v>
      </c>
      <c r="N109" s="45">
        <v>786935</v>
      </c>
    </row>
    <row r="110" spans="1:14" x14ac:dyDescent="0.25">
      <c r="A110" s="44" t="s">
        <v>136</v>
      </c>
      <c r="B110" s="44" t="s">
        <v>1807</v>
      </c>
      <c r="C110" s="44">
        <v>0</v>
      </c>
      <c r="D110" s="44">
        <v>0</v>
      </c>
      <c r="E110" s="45">
        <f t="shared" si="2"/>
        <v>422000</v>
      </c>
      <c r="F110" s="45">
        <v>422000</v>
      </c>
      <c r="G110" s="45"/>
      <c r="H110" s="45"/>
      <c r="I110" s="45"/>
      <c r="J110" s="45"/>
      <c r="K110" s="45"/>
      <c r="L110" s="45"/>
      <c r="M110" s="45"/>
      <c r="N110" s="45">
        <v>422000</v>
      </c>
    </row>
    <row r="111" spans="1:14" x14ac:dyDescent="0.25">
      <c r="A111" s="44" t="s">
        <v>138</v>
      </c>
      <c r="B111" s="44" t="s">
        <v>1813</v>
      </c>
      <c r="C111" s="44" t="s">
        <v>1808</v>
      </c>
      <c r="D111" s="44" t="s">
        <v>1836</v>
      </c>
      <c r="E111" s="45">
        <f t="shared" si="2"/>
        <v>7163</v>
      </c>
      <c r="F111" s="45"/>
      <c r="G111" s="45"/>
      <c r="H111" s="45"/>
      <c r="I111" s="45">
        <v>7163</v>
      </c>
      <c r="J111" s="45"/>
      <c r="K111" s="45"/>
      <c r="L111" s="45"/>
      <c r="M111" s="45"/>
      <c r="N111" s="45">
        <v>7163</v>
      </c>
    </row>
    <row r="112" spans="1:14" x14ac:dyDescent="0.25">
      <c r="A112" s="44" t="s">
        <v>139</v>
      </c>
      <c r="B112" s="44" t="s">
        <v>402</v>
      </c>
      <c r="C112" s="44" t="s">
        <v>1806</v>
      </c>
      <c r="D112" s="44" t="s">
        <v>1806</v>
      </c>
      <c r="E112" s="45">
        <f t="shared" si="2"/>
        <v>2727771.51</v>
      </c>
      <c r="F112" s="45"/>
      <c r="G112" s="45"/>
      <c r="H112" s="45"/>
      <c r="I112" s="45">
        <v>1292147.67</v>
      </c>
      <c r="J112" s="45">
        <v>14558</v>
      </c>
      <c r="K112" s="45"/>
      <c r="L112" s="45">
        <v>1421065.84</v>
      </c>
      <c r="M112" s="45"/>
      <c r="N112" s="45">
        <v>2727771.51</v>
      </c>
    </row>
    <row r="113" spans="1:14" x14ac:dyDescent="0.25">
      <c r="A113" s="44" t="s">
        <v>146</v>
      </c>
      <c r="B113" s="44" t="s">
        <v>1813</v>
      </c>
      <c r="C113" s="44" t="s">
        <v>1808</v>
      </c>
      <c r="D113" s="44" t="s">
        <v>1832</v>
      </c>
      <c r="E113" s="45">
        <f t="shared" si="2"/>
        <v>22581</v>
      </c>
      <c r="F113" s="45">
        <v>22581</v>
      </c>
      <c r="G113" s="45"/>
      <c r="H113" s="45"/>
      <c r="I113" s="45"/>
      <c r="J113" s="45"/>
      <c r="K113" s="45"/>
      <c r="L113" s="45"/>
      <c r="M113" s="45"/>
      <c r="N113" s="45">
        <v>22581</v>
      </c>
    </row>
    <row r="114" spans="1:14" x14ac:dyDescent="0.25">
      <c r="A114" s="44" t="s">
        <v>147</v>
      </c>
      <c r="B114" s="44" t="s">
        <v>1807</v>
      </c>
      <c r="C114" s="44" t="s">
        <v>1829</v>
      </c>
      <c r="D114" s="44" t="s">
        <v>1830</v>
      </c>
      <c r="E114" s="45">
        <f t="shared" si="2"/>
        <v>1026069.82</v>
      </c>
      <c r="F114" s="45">
        <v>1026069.82</v>
      </c>
      <c r="G114" s="45"/>
      <c r="H114" s="45"/>
      <c r="I114" s="45"/>
      <c r="J114" s="45"/>
      <c r="K114" s="45"/>
      <c r="L114" s="45"/>
      <c r="M114" s="45"/>
      <c r="N114" s="45">
        <v>1026069.82</v>
      </c>
    </row>
    <row r="115" spans="1:14" x14ac:dyDescent="0.25">
      <c r="A115" s="44" t="s">
        <v>153</v>
      </c>
      <c r="B115" s="44" t="s">
        <v>1807</v>
      </c>
      <c r="C115" s="44" t="s">
        <v>1817</v>
      </c>
      <c r="D115" s="44" t="s">
        <v>1807</v>
      </c>
      <c r="E115" s="45">
        <f t="shared" si="2"/>
        <v>70004.02</v>
      </c>
      <c r="F115" s="45">
        <v>70004.02</v>
      </c>
      <c r="G115" s="45"/>
      <c r="H115" s="45"/>
      <c r="I115" s="45"/>
      <c r="J115" s="45"/>
      <c r="K115" s="45"/>
      <c r="L115" s="45"/>
      <c r="M115" s="45"/>
      <c r="N115" s="45">
        <v>70004.02</v>
      </c>
    </row>
    <row r="116" spans="1:14" x14ac:dyDescent="0.25">
      <c r="A116" s="44" t="s">
        <v>155</v>
      </c>
      <c r="B116" s="44" t="s">
        <v>1813</v>
      </c>
      <c r="C116" s="44" t="s">
        <v>1808</v>
      </c>
      <c r="D116" s="44" t="s">
        <v>1844</v>
      </c>
      <c r="E116" s="45">
        <f t="shared" si="2"/>
        <v>111634.8</v>
      </c>
      <c r="F116" s="45"/>
      <c r="G116" s="45">
        <v>111634.8</v>
      </c>
      <c r="H116" s="45"/>
      <c r="I116" s="45"/>
      <c r="J116" s="45"/>
      <c r="K116" s="45"/>
      <c r="L116" s="45"/>
      <c r="M116" s="45"/>
      <c r="N116" s="45">
        <v>111634.8</v>
      </c>
    </row>
    <row r="117" spans="1:14" x14ac:dyDescent="0.25">
      <c r="A117" s="44" t="s">
        <v>157</v>
      </c>
      <c r="B117" s="44" t="s">
        <v>1813</v>
      </c>
      <c r="C117" s="44" t="s">
        <v>1808</v>
      </c>
      <c r="D117" s="44" t="s">
        <v>1836</v>
      </c>
      <c r="E117" s="45">
        <f t="shared" si="2"/>
        <v>1671598</v>
      </c>
      <c r="F117" s="45">
        <v>1671598</v>
      </c>
      <c r="G117" s="45"/>
      <c r="H117" s="45"/>
      <c r="I117" s="45"/>
      <c r="J117" s="45"/>
      <c r="K117" s="45"/>
      <c r="L117" s="45"/>
      <c r="M117" s="45"/>
      <c r="N117" s="45">
        <v>1671598</v>
      </c>
    </row>
    <row r="118" spans="1:14" x14ac:dyDescent="0.25">
      <c r="A118" s="44" t="s">
        <v>159</v>
      </c>
      <c r="B118" s="44" t="s">
        <v>449</v>
      </c>
      <c r="C118" s="44" t="s">
        <v>1808</v>
      </c>
      <c r="D118" s="44" t="s">
        <v>1836</v>
      </c>
      <c r="E118" s="45">
        <f t="shared" si="2"/>
        <v>1</v>
      </c>
      <c r="F118" s="45"/>
      <c r="G118" s="45"/>
      <c r="H118" s="45"/>
      <c r="I118" s="45"/>
      <c r="J118" s="45"/>
      <c r="K118" s="45"/>
      <c r="L118" s="45">
        <v>1</v>
      </c>
      <c r="M118" s="45"/>
      <c r="N118" s="45">
        <v>1</v>
      </c>
    </row>
    <row r="119" spans="1:14" x14ac:dyDescent="0.25">
      <c r="A119" s="44" t="s">
        <v>442</v>
      </c>
      <c r="B119" s="44" t="s">
        <v>1807</v>
      </c>
      <c r="C119" s="44" t="s">
        <v>1817</v>
      </c>
      <c r="D119" s="44" t="s">
        <v>1807</v>
      </c>
      <c r="E119" s="45">
        <f t="shared" si="2"/>
        <v>0.22</v>
      </c>
      <c r="F119" s="45"/>
      <c r="G119" s="45"/>
      <c r="H119" s="45"/>
      <c r="I119" s="45"/>
      <c r="J119" s="45"/>
      <c r="K119" s="45"/>
      <c r="L119" s="45">
        <v>0.22</v>
      </c>
      <c r="M119" s="45"/>
      <c r="N119" s="45">
        <v>0.22</v>
      </c>
    </row>
    <row r="120" spans="1:14" x14ac:dyDescent="0.25">
      <c r="A120" s="44" t="s">
        <v>158</v>
      </c>
      <c r="B120" s="44" t="s">
        <v>1828</v>
      </c>
      <c r="C120" s="44" t="s">
        <v>1808</v>
      </c>
      <c r="D120" s="44" t="s">
        <v>1830</v>
      </c>
      <c r="E120" s="45">
        <f t="shared" si="2"/>
        <v>74200</v>
      </c>
      <c r="F120" s="45">
        <v>74200</v>
      </c>
      <c r="G120" s="45"/>
      <c r="H120" s="45"/>
      <c r="I120" s="45"/>
      <c r="J120" s="45"/>
      <c r="K120" s="45"/>
      <c r="L120" s="45"/>
      <c r="M120" s="45"/>
      <c r="N120" s="45">
        <v>74200</v>
      </c>
    </row>
    <row r="121" spans="1:14" x14ac:dyDescent="0.25">
      <c r="A121" s="44" t="s">
        <v>140</v>
      </c>
      <c r="B121" s="44" t="s">
        <v>402</v>
      </c>
      <c r="C121" s="44" t="s">
        <v>1808</v>
      </c>
      <c r="D121" s="44" t="s">
        <v>1830</v>
      </c>
      <c r="E121" s="45">
        <f t="shared" si="2"/>
        <v>782221.75</v>
      </c>
      <c r="F121" s="45">
        <v>782221.75</v>
      </c>
      <c r="G121" s="45"/>
      <c r="H121" s="45"/>
      <c r="I121" s="45"/>
      <c r="J121" s="45"/>
      <c r="K121" s="45"/>
      <c r="L121" s="45"/>
      <c r="M121" s="45"/>
      <c r="N121" s="45">
        <v>782221.75</v>
      </c>
    </row>
    <row r="122" spans="1:14" x14ac:dyDescent="0.25">
      <c r="A122" s="44" t="s">
        <v>141</v>
      </c>
      <c r="B122" s="44" t="s">
        <v>1826</v>
      </c>
      <c r="C122" s="44" t="s">
        <v>1808</v>
      </c>
      <c r="D122" s="44" t="s">
        <v>1854</v>
      </c>
      <c r="E122" s="45">
        <f t="shared" si="2"/>
        <v>60000</v>
      </c>
      <c r="F122" s="45">
        <v>60000</v>
      </c>
      <c r="G122" s="45"/>
      <c r="H122" s="45"/>
      <c r="I122" s="45"/>
      <c r="J122" s="45"/>
      <c r="K122" s="45"/>
      <c r="L122" s="45"/>
      <c r="M122" s="45"/>
      <c r="N122" s="45">
        <v>60000</v>
      </c>
    </row>
    <row r="123" spans="1:14" x14ac:dyDescent="0.25">
      <c r="A123" s="44" t="s">
        <v>142</v>
      </c>
      <c r="B123" s="44" t="s">
        <v>402</v>
      </c>
      <c r="C123" s="44" t="s">
        <v>1808</v>
      </c>
      <c r="D123" s="44" t="s">
        <v>1836</v>
      </c>
      <c r="E123" s="45">
        <f t="shared" si="2"/>
        <v>9221</v>
      </c>
      <c r="F123" s="45"/>
      <c r="G123" s="45">
        <v>9221</v>
      </c>
      <c r="H123" s="45"/>
      <c r="I123" s="45"/>
      <c r="J123" s="45"/>
      <c r="K123" s="45"/>
      <c r="L123" s="45"/>
      <c r="M123" s="45"/>
      <c r="N123" s="45">
        <v>9221</v>
      </c>
    </row>
    <row r="124" spans="1:14" x14ac:dyDescent="0.25">
      <c r="A124" s="44" t="s">
        <v>143</v>
      </c>
      <c r="B124" s="44" t="s">
        <v>341</v>
      </c>
      <c r="C124" s="44" t="s">
        <v>1808</v>
      </c>
      <c r="D124" s="44" t="s">
        <v>1833</v>
      </c>
      <c r="E124" s="45">
        <f t="shared" si="2"/>
        <v>49985.68</v>
      </c>
      <c r="F124" s="45">
        <v>49985.68</v>
      </c>
      <c r="G124" s="45"/>
      <c r="H124" s="45"/>
      <c r="I124" s="45"/>
      <c r="J124" s="45"/>
      <c r="K124" s="45"/>
      <c r="L124" s="45"/>
      <c r="M124" s="45"/>
      <c r="N124" s="45">
        <v>49985.68</v>
      </c>
    </row>
    <row r="125" spans="1:14" x14ac:dyDescent="0.25">
      <c r="A125" s="44" t="s">
        <v>144</v>
      </c>
      <c r="B125" s="44" t="s">
        <v>341</v>
      </c>
      <c r="C125" s="44" t="s">
        <v>1805</v>
      </c>
      <c r="D125" s="44" t="s">
        <v>1845</v>
      </c>
      <c r="E125" s="45">
        <f t="shared" si="2"/>
        <v>580699.71</v>
      </c>
      <c r="F125" s="45">
        <v>215999.64</v>
      </c>
      <c r="G125" s="45"/>
      <c r="H125" s="45">
        <v>364700.07</v>
      </c>
      <c r="I125" s="45"/>
      <c r="J125" s="45"/>
      <c r="K125" s="45"/>
      <c r="L125" s="45"/>
      <c r="M125" s="45"/>
      <c r="N125" s="45">
        <v>580699.71</v>
      </c>
    </row>
    <row r="126" spans="1:14" x14ac:dyDescent="0.25">
      <c r="A126" s="44" t="s">
        <v>145</v>
      </c>
      <c r="B126" s="44" t="s">
        <v>373</v>
      </c>
      <c r="C126" s="44" t="s">
        <v>1808</v>
      </c>
      <c r="D126" s="44" t="s">
        <v>1831</v>
      </c>
      <c r="E126" s="45">
        <f t="shared" si="2"/>
        <v>414180</v>
      </c>
      <c r="F126" s="45">
        <v>201780</v>
      </c>
      <c r="G126" s="45">
        <v>212400</v>
      </c>
      <c r="H126" s="45"/>
      <c r="I126" s="45"/>
      <c r="J126" s="45"/>
      <c r="K126" s="45"/>
      <c r="L126" s="45"/>
      <c r="M126" s="45"/>
      <c r="N126" s="45">
        <v>414180</v>
      </c>
    </row>
    <row r="127" spans="1:14" x14ac:dyDescent="0.25">
      <c r="A127" s="44" t="s">
        <v>148</v>
      </c>
      <c r="B127" s="44" t="s">
        <v>341</v>
      </c>
      <c r="C127" s="44" t="s">
        <v>1808</v>
      </c>
      <c r="D127" s="44" t="s">
        <v>1836</v>
      </c>
      <c r="E127" s="45">
        <f t="shared" si="2"/>
        <v>273</v>
      </c>
      <c r="F127" s="45"/>
      <c r="G127" s="45"/>
      <c r="H127" s="45"/>
      <c r="I127" s="45">
        <v>273</v>
      </c>
      <c r="J127" s="45"/>
      <c r="K127" s="45"/>
      <c r="L127" s="45"/>
      <c r="M127" s="45"/>
      <c r="N127" s="45">
        <v>273</v>
      </c>
    </row>
    <row r="128" spans="1:14" x14ac:dyDescent="0.25">
      <c r="A128" s="44" t="s">
        <v>150</v>
      </c>
      <c r="B128" s="44" t="s">
        <v>1807</v>
      </c>
      <c r="C128" s="44" t="s">
        <v>1817</v>
      </c>
      <c r="D128" s="44" t="s">
        <v>1807</v>
      </c>
      <c r="E128" s="45">
        <f t="shared" si="2"/>
        <v>1227723</v>
      </c>
      <c r="F128" s="45">
        <v>1227723</v>
      </c>
      <c r="G128" s="45"/>
      <c r="H128" s="45"/>
      <c r="I128" s="45"/>
      <c r="J128" s="45"/>
      <c r="K128" s="45"/>
      <c r="L128" s="45"/>
      <c r="M128" s="45"/>
      <c r="N128" s="45">
        <v>1227723</v>
      </c>
    </row>
    <row r="129" spans="1:14" x14ac:dyDescent="0.25">
      <c r="A129" s="44" t="s">
        <v>151</v>
      </c>
      <c r="B129" s="44" t="s">
        <v>373</v>
      </c>
      <c r="C129" s="44" t="s">
        <v>1808</v>
      </c>
      <c r="D129" s="44" t="s">
        <v>1819</v>
      </c>
      <c r="E129" s="45">
        <f t="shared" si="2"/>
        <v>459010</v>
      </c>
      <c r="F129" s="45">
        <v>459010</v>
      </c>
      <c r="G129" s="45"/>
      <c r="H129" s="45"/>
      <c r="I129" s="45"/>
      <c r="J129" s="45"/>
      <c r="K129" s="45"/>
      <c r="L129" s="45"/>
      <c r="M129" s="45"/>
      <c r="N129" s="45">
        <v>459010</v>
      </c>
    </row>
    <row r="130" spans="1:14" x14ac:dyDescent="0.25">
      <c r="A130" s="44" t="s">
        <v>154</v>
      </c>
      <c r="B130" s="44" t="s">
        <v>373</v>
      </c>
      <c r="C130" s="44" t="s">
        <v>1805</v>
      </c>
      <c r="D130" s="44" t="s">
        <v>1809</v>
      </c>
      <c r="E130" s="45">
        <f t="shared" si="2"/>
        <v>633017.12000000011</v>
      </c>
      <c r="F130" s="45">
        <v>317951.65000000002</v>
      </c>
      <c r="G130" s="45">
        <v>315065.47000000003</v>
      </c>
      <c r="H130" s="45"/>
      <c r="I130" s="45"/>
      <c r="J130" s="45"/>
      <c r="K130" s="45"/>
      <c r="L130" s="45"/>
      <c r="M130" s="45"/>
      <c r="N130" s="45">
        <v>633017.12000000011</v>
      </c>
    </row>
    <row r="131" spans="1:14" x14ac:dyDescent="0.25">
      <c r="A131" s="44" t="s">
        <v>160</v>
      </c>
      <c r="B131" s="44" t="s">
        <v>402</v>
      </c>
      <c r="C131" s="44" t="s">
        <v>1808</v>
      </c>
      <c r="D131" s="44" t="s">
        <v>1832</v>
      </c>
      <c r="E131" s="45">
        <f t="shared" si="2"/>
        <v>6700</v>
      </c>
      <c r="F131" s="45">
        <v>6700</v>
      </c>
      <c r="G131" s="45"/>
      <c r="H131" s="45"/>
      <c r="I131" s="45"/>
      <c r="J131" s="45"/>
      <c r="K131" s="45"/>
      <c r="L131" s="45"/>
      <c r="M131" s="45"/>
      <c r="N131" s="45">
        <v>6700</v>
      </c>
    </row>
    <row r="132" spans="1:14" x14ac:dyDescent="0.25">
      <c r="A132" s="44" t="s">
        <v>161</v>
      </c>
      <c r="B132" s="44" t="s">
        <v>642</v>
      </c>
      <c r="C132" s="44" t="s">
        <v>1808</v>
      </c>
      <c r="D132" s="44" t="s">
        <v>1835</v>
      </c>
      <c r="E132" s="45">
        <f t="shared" si="2"/>
        <v>27225</v>
      </c>
      <c r="F132" s="45">
        <v>27225</v>
      </c>
      <c r="G132" s="45"/>
      <c r="H132" s="45"/>
      <c r="I132" s="45"/>
      <c r="J132" s="45"/>
      <c r="K132" s="45"/>
      <c r="L132" s="45"/>
      <c r="M132" s="45"/>
      <c r="N132" s="45">
        <v>27225</v>
      </c>
    </row>
    <row r="133" spans="1:14" x14ac:dyDescent="0.25">
      <c r="A133" s="44" t="s">
        <v>162</v>
      </c>
      <c r="B133" s="44" t="s">
        <v>402</v>
      </c>
      <c r="C133" s="44" t="s">
        <v>1808</v>
      </c>
      <c r="D133" s="44" t="s">
        <v>1836</v>
      </c>
      <c r="E133" s="45">
        <f t="shared" si="2"/>
        <v>292316.17000000004</v>
      </c>
      <c r="F133" s="45">
        <v>292316.17000000004</v>
      </c>
      <c r="G133" s="45"/>
      <c r="H133" s="45"/>
      <c r="I133" s="45"/>
      <c r="J133" s="45"/>
      <c r="K133" s="45"/>
      <c r="L133" s="45"/>
      <c r="M133" s="45"/>
      <c r="N133" s="45">
        <v>292316.17000000004</v>
      </c>
    </row>
    <row r="134" spans="1:14" x14ac:dyDescent="0.25">
      <c r="A134" s="44" t="s">
        <v>163</v>
      </c>
      <c r="B134" s="44" t="s">
        <v>600</v>
      </c>
      <c r="C134" s="44" t="s">
        <v>1817</v>
      </c>
      <c r="D134" s="44" t="s">
        <v>1813</v>
      </c>
      <c r="E134" s="45">
        <f t="shared" ref="E134:E197" si="3">SUM(F134:M134)</f>
        <v>1380600</v>
      </c>
      <c r="F134" s="45">
        <v>920400</v>
      </c>
      <c r="G134" s="45">
        <v>460200</v>
      </c>
      <c r="H134" s="45"/>
      <c r="I134" s="45"/>
      <c r="J134" s="45"/>
      <c r="K134" s="45"/>
      <c r="L134" s="45"/>
      <c r="M134" s="45"/>
      <c r="N134" s="45">
        <v>1380600</v>
      </c>
    </row>
    <row r="135" spans="1:14" x14ac:dyDescent="0.25">
      <c r="A135" s="44" t="s">
        <v>165</v>
      </c>
      <c r="B135" s="44" t="s">
        <v>346</v>
      </c>
      <c r="C135" s="44" t="s">
        <v>1846</v>
      </c>
      <c r="D135" s="44" t="s">
        <v>1846</v>
      </c>
      <c r="E135" s="45">
        <f t="shared" si="3"/>
        <v>12579100.579999998</v>
      </c>
      <c r="F135" s="45"/>
      <c r="G135" s="45"/>
      <c r="H135" s="45"/>
      <c r="I135" s="45"/>
      <c r="J135" s="45"/>
      <c r="K135" s="45"/>
      <c r="L135" s="45"/>
      <c r="M135" s="45">
        <v>12579100.579999998</v>
      </c>
      <c r="N135" s="45">
        <v>12579100.579999998</v>
      </c>
    </row>
    <row r="136" spans="1:14" x14ac:dyDescent="0.25">
      <c r="A136" s="44" t="s">
        <v>164</v>
      </c>
      <c r="B136" s="44" t="s">
        <v>346</v>
      </c>
      <c r="C136" s="44" t="s">
        <v>1846</v>
      </c>
      <c r="D136" s="44" t="s">
        <v>1846</v>
      </c>
      <c r="E136" s="45">
        <f t="shared" si="3"/>
        <v>731051</v>
      </c>
      <c r="F136" s="45"/>
      <c r="G136" s="45"/>
      <c r="H136" s="45"/>
      <c r="I136" s="45"/>
      <c r="J136" s="45"/>
      <c r="K136" s="45"/>
      <c r="L136" s="45"/>
      <c r="M136" s="45">
        <v>731051</v>
      </c>
      <c r="N136" s="45">
        <v>731051</v>
      </c>
    </row>
    <row r="137" spans="1:14" x14ac:dyDescent="0.25">
      <c r="A137" s="44" t="s">
        <v>166</v>
      </c>
      <c r="B137" s="44" t="s">
        <v>346</v>
      </c>
      <c r="C137" s="44" t="s">
        <v>1846</v>
      </c>
      <c r="D137" s="44" t="s">
        <v>1846</v>
      </c>
      <c r="E137" s="45">
        <f t="shared" si="3"/>
        <v>708759.9</v>
      </c>
      <c r="F137" s="45"/>
      <c r="G137" s="45"/>
      <c r="H137" s="45"/>
      <c r="I137" s="45"/>
      <c r="J137" s="45"/>
      <c r="K137" s="45"/>
      <c r="L137" s="45"/>
      <c r="M137" s="45">
        <v>708759.9</v>
      </c>
      <c r="N137" s="45">
        <v>708759.9</v>
      </c>
    </row>
    <row r="138" spans="1:14" x14ac:dyDescent="0.25">
      <c r="A138" s="44" t="s">
        <v>168</v>
      </c>
      <c r="B138" s="44" t="s">
        <v>1813</v>
      </c>
      <c r="C138" s="44" t="s">
        <v>1808</v>
      </c>
      <c r="D138" s="44" t="s">
        <v>1835</v>
      </c>
      <c r="E138" s="45">
        <f t="shared" si="3"/>
        <v>67341</v>
      </c>
      <c r="F138" s="45"/>
      <c r="G138" s="45">
        <v>67341</v>
      </c>
      <c r="H138" s="45"/>
      <c r="I138" s="45"/>
      <c r="J138" s="45"/>
      <c r="K138" s="45"/>
      <c r="L138" s="45"/>
      <c r="M138" s="45"/>
      <c r="N138" s="45">
        <v>67341</v>
      </c>
    </row>
    <row r="139" spans="1:14" x14ac:dyDescent="0.25">
      <c r="A139" s="44" t="s">
        <v>169</v>
      </c>
      <c r="B139" s="44" t="s">
        <v>393</v>
      </c>
      <c r="C139" s="44" t="s">
        <v>1808</v>
      </c>
      <c r="D139" s="44" t="s">
        <v>1836</v>
      </c>
      <c r="E139" s="45">
        <f t="shared" si="3"/>
        <v>129469.14</v>
      </c>
      <c r="F139" s="45"/>
      <c r="G139" s="45"/>
      <c r="H139" s="45"/>
      <c r="I139" s="45"/>
      <c r="J139" s="45"/>
      <c r="K139" s="45"/>
      <c r="L139" s="45"/>
      <c r="M139" s="45">
        <v>129469.14</v>
      </c>
      <c r="N139" s="45">
        <v>129469.14</v>
      </c>
    </row>
    <row r="140" spans="1:14" x14ac:dyDescent="0.25">
      <c r="A140" s="44" t="s">
        <v>170</v>
      </c>
      <c r="B140" s="44" t="s">
        <v>341</v>
      </c>
      <c r="C140" s="44" t="s">
        <v>1808</v>
      </c>
      <c r="D140" s="44" t="s">
        <v>1832</v>
      </c>
      <c r="E140" s="45">
        <f t="shared" si="3"/>
        <v>9044</v>
      </c>
      <c r="F140" s="45">
        <v>9044</v>
      </c>
      <c r="G140" s="45"/>
      <c r="H140" s="45"/>
      <c r="I140" s="45"/>
      <c r="J140" s="45"/>
      <c r="K140" s="45"/>
      <c r="L140" s="45"/>
      <c r="M140" s="45"/>
      <c r="N140" s="45">
        <v>9044</v>
      </c>
    </row>
    <row r="141" spans="1:14" x14ac:dyDescent="0.25">
      <c r="A141" s="44" t="s">
        <v>171</v>
      </c>
      <c r="B141" s="44" t="s">
        <v>1827</v>
      </c>
      <c r="C141" s="44" t="s">
        <v>1805</v>
      </c>
      <c r="D141" s="44" t="s">
        <v>1845</v>
      </c>
      <c r="E141" s="45">
        <f t="shared" si="3"/>
        <v>2</v>
      </c>
      <c r="F141" s="45"/>
      <c r="G141" s="45"/>
      <c r="H141" s="45">
        <v>2</v>
      </c>
      <c r="I141" s="45"/>
      <c r="J141" s="45"/>
      <c r="K141" s="45"/>
      <c r="L141" s="45"/>
      <c r="M141" s="45"/>
      <c r="N141" s="45">
        <v>2</v>
      </c>
    </row>
    <row r="142" spans="1:14" x14ac:dyDescent="0.25">
      <c r="A142" s="44" t="s">
        <v>174</v>
      </c>
      <c r="B142" s="44" t="s">
        <v>435</v>
      </c>
      <c r="C142" s="44" t="s">
        <v>1808</v>
      </c>
      <c r="D142" s="44" t="s">
        <v>1836</v>
      </c>
      <c r="E142" s="45">
        <f t="shared" si="3"/>
        <v>1715226</v>
      </c>
      <c r="F142" s="45"/>
      <c r="G142" s="45">
        <v>1031733</v>
      </c>
      <c r="H142" s="45"/>
      <c r="I142" s="45"/>
      <c r="J142" s="45"/>
      <c r="K142" s="45">
        <v>683493</v>
      </c>
      <c r="L142" s="45"/>
      <c r="M142" s="45"/>
      <c r="N142" s="45">
        <v>1715226</v>
      </c>
    </row>
    <row r="143" spans="1:14" x14ac:dyDescent="0.25">
      <c r="A143" s="44" t="s">
        <v>186</v>
      </c>
      <c r="B143" s="44" t="s">
        <v>1807</v>
      </c>
      <c r="C143" s="44" t="s">
        <v>1817</v>
      </c>
      <c r="D143" s="44" t="s">
        <v>1807</v>
      </c>
      <c r="E143" s="45">
        <f t="shared" si="3"/>
        <v>1825092.73</v>
      </c>
      <c r="F143" s="45">
        <v>971792.0199999999</v>
      </c>
      <c r="G143" s="45"/>
      <c r="H143" s="45">
        <v>286712.61</v>
      </c>
      <c r="I143" s="45">
        <v>0.1</v>
      </c>
      <c r="J143" s="45">
        <v>566588</v>
      </c>
      <c r="K143" s="45"/>
      <c r="L143" s="45"/>
      <c r="M143" s="45"/>
      <c r="N143" s="45">
        <v>1825092.73</v>
      </c>
    </row>
    <row r="144" spans="1:14" x14ac:dyDescent="0.25">
      <c r="A144" s="44" t="s">
        <v>172</v>
      </c>
      <c r="B144" s="44" t="s">
        <v>402</v>
      </c>
      <c r="C144" s="44" t="s">
        <v>1808</v>
      </c>
      <c r="D144" s="44" t="s">
        <v>1836</v>
      </c>
      <c r="E144" s="45">
        <f t="shared" si="3"/>
        <v>681571.34</v>
      </c>
      <c r="F144" s="45">
        <v>183938.72</v>
      </c>
      <c r="G144" s="45">
        <v>305564.54000000004</v>
      </c>
      <c r="H144" s="45">
        <v>192068.08</v>
      </c>
      <c r="I144" s="45"/>
      <c r="J144" s="45"/>
      <c r="K144" s="45"/>
      <c r="L144" s="45"/>
      <c r="M144" s="45"/>
      <c r="N144" s="45">
        <v>681571.34</v>
      </c>
    </row>
    <row r="145" spans="1:14" x14ac:dyDescent="0.25">
      <c r="A145" s="44" t="s">
        <v>176</v>
      </c>
      <c r="B145" s="44" t="s">
        <v>435</v>
      </c>
      <c r="C145" s="44" t="s">
        <v>1808</v>
      </c>
      <c r="D145" s="44" t="s">
        <v>1838</v>
      </c>
      <c r="E145" s="45">
        <f t="shared" si="3"/>
        <v>2876.8</v>
      </c>
      <c r="F145" s="45">
        <v>2876.8</v>
      </c>
      <c r="G145" s="45"/>
      <c r="H145" s="45"/>
      <c r="I145" s="45"/>
      <c r="J145" s="45"/>
      <c r="K145" s="45"/>
      <c r="L145" s="45"/>
      <c r="M145" s="45"/>
      <c r="N145" s="45">
        <v>2876.8</v>
      </c>
    </row>
    <row r="146" spans="1:14" x14ac:dyDescent="0.25">
      <c r="A146" s="44" t="s">
        <v>178</v>
      </c>
      <c r="B146" s="44" t="s">
        <v>402</v>
      </c>
      <c r="C146" s="44" t="s">
        <v>1808</v>
      </c>
      <c r="D146" s="44" t="s">
        <v>1836</v>
      </c>
      <c r="E146" s="45">
        <f t="shared" si="3"/>
        <v>11136</v>
      </c>
      <c r="F146" s="45">
        <v>11136</v>
      </c>
      <c r="G146" s="45"/>
      <c r="H146" s="45"/>
      <c r="I146" s="45"/>
      <c r="J146" s="45"/>
      <c r="K146" s="45"/>
      <c r="L146" s="45"/>
      <c r="M146" s="45"/>
      <c r="N146" s="45">
        <v>11136</v>
      </c>
    </row>
    <row r="147" spans="1:14" x14ac:dyDescent="0.25">
      <c r="A147" s="44" t="s">
        <v>179</v>
      </c>
      <c r="B147" s="44" t="s">
        <v>373</v>
      </c>
      <c r="C147" s="44" t="s">
        <v>1808</v>
      </c>
      <c r="D147" s="44" t="s">
        <v>1853</v>
      </c>
      <c r="E147" s="45">
        <f t="shared" si="3"/>
        <v>1942.65</v>
      </c>
      <c r="F147" s="45">
        <v>1942.65</v>
      </c>
      <c r="G147" s="45"/>
      <c r="H147" s="45"/>
      <c r="I147" s="45"/>
      <c r="J147" s="45"/>
      <c r="K147" s="45"/>
      <c r="L147" s="45"/>
      <c r="M147" s="45"/>
      <c r="N147" s="45">
        <v>1942.65</v>
      </c>
    </row>
    <row r="148" spans="1:14" x14ac:dyDescent="0.25">
      <c r="A148" s="44" t="s">
        <v>180</v>
      </c>
      <c r="B148" s="44" t="s">
        <v>373</v>
      </c>
      <c r="C148" s="44" t="s">
        <v>1808</v>
      </c>
      <c r="D148" s="44" t="s">
        <v>1838</v>
      </c>
      <c r="E148" s="45">
        <f t="shared" si="3"/>
        <v>8918</v>
      </c>
      <c r="F148" s="45">
        <v>8918</v>
      </c>
      <c r="G148" s="45"/>
      <c r="H148" s="45"/>
      <c r="I148" s="45"/>
      <c r="J148" s="45"/>
      <c r="K148" s="45"/>
      <c r="L148" s="45"/>
      <c r="M148" s="45"/>
      <c r="N148" s="45">
        <v>8918</v>
      </c>
    </row>
    <row r="149" spans="1:14" x14ac:dyDescent="0.25">
      <c r="A149" s="44" t="s">
        <v>181</v>
      </c>
      <c r="B149" s="44" t="s">
        <v>449</v>
      </c>
      <c r="C149" s="44" t="s">
        <v>1808</v>
      </c>
      <c r="D149" s="44" t="s">
        <v>1855</v>
      </c>
      <c r="E149" s="45">
        <f t="shared" si="3"/>
        <v>67960</v>
      </c>
      <c r="F149" s="45">
        <v>67960</v>
      </c>
      <c r="G149" s="45"/>
      <c r="H149" s="45"/>
      <c r="I149" s="45"/>
      <c r="J149" s="45"/>
      <c r="K149" s="45"/>
      <c r="L149" s="45"/>
      <c r="M149" s="45"/>
      <c r="N149" s="45">
        <v>67960</v>
      </c>
    </row>
    <row r="150" spans="1:14" x14ac:dyDescent="0.25">
      <c r="A150" s="44" t="s">
        <v>182</v>
      </c>
      <c r="B150" s="44" t="s">
        <v>553</v>
      </c>
      <c r="C150" s="44" t="s">
        <v>1808</v>
      </c>
      <c r="D150" s="44" t="s">
        <v>1812</v>
      </c>
      <c r="E150" s="45">
        <f t="shared" si="3"/>
        <v>11854</v>
      </c>
      <c r="F150" s="45">
        <v>11854</v>
      </c>
      <c r="G150" s="45"/>
      <c r="H150" s="45"/>
      <c r="I150" s="45"/>
      <c r="J150" s="45"/>
      <c r="K150" s="45"/>
      <c r="L150" s="45"/>
      <c r="M150" s="45"/>
      <c r="N150" s="45">
        <v>11854</v>
      </c>
    </row>
    <row r="151" spans="1:14" x14ac:dyDescent="0.25">
      <c r="A151" s="44" t="s">
        <v>183</v>
      </c>
      <c r="B151" s="44" t="s">
        <v>393</v>
      </c>
      <c r="C151" s="44" t="s">
        <v>1808</v>
      </c>
      <c r="D151" s="44" t="s">
        <v>1847</v>
      </c>
      <c r="E151" s="45">
        <f t="shared" si="3"/>
        <v>89317</v>
      </c>
      <c r="F151" s="45"/>
      <c r="G151" s="45">
        <v>89317</v>
      </c>
      <c r="H151" s="45"/>
      <c r="I151" s="45"/>
      <c r="J151" s="45"/>
      <c r="K151" s="45"/>
      <c r="L151" s="45"/>
      <c r="M151" s="45"/>
      <c r="N151" s="45">
        <v>89317</v>
      </c>
    </row>
    <row r="152" spans="1:14" x14ac:dyDescent="0.25">
      <c r="A152" s="44" t="s">
        <v>184</v>
      </c>
      <c r="B152" s="44" t="s">
        <v>402</v>
      </c>
      <c r="C152" s="44" t="s">
        <v>1806</v>
      </c>
      <c r="D152" s="44" t="s">
        <v>1806</v>
      </c>
      <c r="E152" s="45">
        <f t="shared" si="3"/>
        <v>135200</v>
      </c>
      <c r="F152" s="45"/>
      <c r="G152" s="45"/>
      <c r="H152" s="45"/>
      <c r="I152" s="45"/>
      <c r="J152" s="45"/>
      <c r="K152" s="45"/>
      <c r="L152" s="45"/>
      <c r="M152" s="45">
        <v>135200</v>
      </c>
      <c r="N152" s="45">
        <v>135200</v>
      </c>
    </row>
    <row r="153" spans="1:14" x14ac:dyDescent="0.25">
      <c r="A153" s="44" t="s">
        <v>185</v>
      </c>
      <c r="B153" s="44" t="s">
        <v>402</v>
      </c>
      <c r="C153" s="44" t="s">
        <v>1806</v>
      </c>
      <c r="D153" s="44" t="s">
        <v>1806</v>
      </c>
      <c r="E153" s="45">
        <f t="shared" si="3"/>
        <v>913160</v>
      </c>
      <c r="F153" s="45"/>
      <c r="G153" s="45"/>
      <c r="H153" s="45"/>
      <c r="I153" s="45"/>
      <c r="J153" s="45"/>
      <c r="K153" s="45"/>
      <c r="L153" s="45"/>
      <c r="M153" s="45">
        <v>913160</v>
      </c>
      <c r="N153" s="45">
        <v>913160</v>
      </c>
    </row>
    <row r="154" spans="1:14" x14ac:dyDescent="0.25">
      <c r="A154" s="44" t="s">
        <v>187</v>
      </c>
      <c r="B154" s="44" t="s">
        <v>393</v>
      </c>
      <c r="C154" s="44" t="s">
        <v>1808</v>
      </c>
      <c r="D154" s="44" t="s">
        <v>1836</v>
      </c>
      <c r="E154" s="45">
        <f t="shared" si="3"/>
        <v>414589.65</v>
      </c>
      <c r="F154" s="45">
        <v>123206.72</v>
      </c>
      <c r="G154" s="45">
        <v>91698.68</v>
      </c>
      <c r="H154" s="45">
        <v>199684.25</v>
      </c>
      <c r="I154" s="45"/>
      <c r="J154" s="45"/>
      <c r="K154" s="45"/>
      <c r="L154" s="45"/>
      <c r="M154" s="45"/>
      <c r="N154" s="45">
        <v>414589.65</v>
      </c>
    </row>
    <row r="155" spans="1:14" x14ac:dyDescent="0.25">
      <c r="A155" s="44" t="s">
        <v>188</v>
      </c>
      <c r="B155" s="44" t="s">
        <v>402</v>
      </c>
      <c r="C155" s="44" t="s">
        <v>1808</v>
      </c>
      <c r="D155" s="44" t="s">
        <v>1831</v>
      </c>
      <c r="E155" s="45">
        <f t="shared" si="3"/>
        <v>704630</v>
      </c>
      <c r="F155" s="45">
        <v>618384</v>
      </c>
      <c r="G155" s="45">
        <v>86246</v>
      </c>
      <c r="H155" s="45"/>
      <c r="I155" s="45"/>
      <c r="J155" s="45"/>
      <c r="K155" s="45"/>
      <c r="L155" s="45"/>
      <c r="M155" s="45"/>
      <c r="N155" s="45">
        <v>704630</v>
      </c>
    </row>
    <row r="156" spans="1:14" x14ac:dyDescent="0.25">
      <c r="A156" s="44" t="s">
        <v>189</v>
      </c>
      <c r="B156" s="44" t="s">
        <v>1826</v>
      </c>
      <c r="C156" s="44" t="s">
        <v>1806</v>
      </c>
      <c r="D156" s="44" t="s">
        <v>1835</v>
      </c>
      <c r="E156" s="45">
        <f t="shared" si="3"/>
        <v>18000</v>
      </c>
      <c r="F156" s="45">
        <v>18000</v>
      </c>
      <c r="G156" s="45"/>
      <c r="H156" s="45"/>
      <c r="I156" s="45"/>
      <c r="J156" s="45"/>
      <c r="K156" s="45"/>
      <c r="L156" s="45"/>
      <c r="M156" s="45"/>
      <c r="N156" s="45">
        <v>18000</v>
      </c>
    </row>
    <row r="157" spans="1:14" x14ac:dyDescent="0.25">
      <c r="A157" s="44" t="s">
        <v>219</v>
      </c>
      <c r="B157" s="44" t="s">
        <v>402</v>
      </c>
      <c r="C157" s="44" t="s">
        <v>1808</v>
      </c>
      <c r="D157" s="44" t="s">
        <v>1856</v>
      </c>
      <c r="E157" s="45">
        <f t="shared" si="3"/>
        <v>488248.58</v>
      </c>
      <c r="F157" s="45">
        <v>488248.58</v>
      </c>
      <c r="G157" s="45"/>
      <c r="H157" s="45"/>
      <c r="I157" s="45"/>
      <c r="J157" s="45"/>
      <c r="K157" s="45"/>
      <c r="L157" s="45"/>
      <c r="M157" s="45"/>
      <c r="N157" s="45">
        <v>488248.58</v>
      </c>
    </row>
    <row r="158" spans="1:14" x14ac:dyDescent="0.25">
      <c r="A158" s="44" t="s">
        <v>210</v>
      </c>
      <c r="B158" s="44" t="s">
        <v>341</v>
      </c>
      <c r="C158" s="44" t="s">
        <v>1806</v>
      </c>
      <c r="D158" s="44" t="s">
        <v>1806</v>
      </c>
      <c r="E158" s="45">
        <f t="shared" si="3"/>
        <v>1029216.04</v>
      </c>
      <c r="F158" s="45"/>
      <c r="G158" s="45"/>
      <c r="H158" s="45"/>
      <c r="I158" s="45">
        <v>134560</v>
      </c>
      <c r="J158" s="45"/>
      <c r="K158" s="45"/>
      <c r="L158" s="45">
        <v>894656.04</v>
      </c>
      <c r="M158" s="45"/>
      <c r="N158" s="45">
        <v>1029216.04</v>
      </c>
    </row>
    <row r="159" spans="1:14" x14ac:dyDescent="0.25">
      <c r="A159" s="44" t="s">
        <v>190</v>
      </c>
      <c r="B159" s="44" t="s">
        <v>1826</v>
      </c>
      <c r="C159" s="44" t="s">
        <v>1808</v>
      </c>
      <c r="D159" s="44" t="s">
        <v>1838</v>
      </c>
      <c r="E159" s="45">
        <f t="shared" si="3"/>
        <v>124468</v>
      </c>
      <c r="F159" s="45">
        <v>124468</v>
      </c>
      <c r="G159" s="45"/>
      <c r="H159" s="45"/>
      <c r="I159" s="45"/>
      <c r="J159" s="45"/>
      <c r="K159" s="45"/>
      <c r="L159" s="45"/>
      <c r="M159" s="45"/>
      <c r="N159" s="45">
        <v>124468</v>
      </c>
    </row>
    <row r="160" spans="1:14" x14ac:dyDescent="0.25">
      <c r="A160" s="44" t="s">
        <v>192</v>
      </c>
      <c r="B160" s="44" t="s">
        <v>402</v>
      </c>
      <c r="C160" s="44" t="s">
        <v>1808</v>
      </c>
      <c r="D160" s="44" t="s">
        <v>1812</v>
      </c>
      <c r="E160" s="45">
        <f t="shared" si="3"/>
        <v>65000</v>
      </c>
      <c r="F160" s="45">
        <v>65000</v>
      </c>
      <c r="G160" s="45"/>
      <c r="H160" s="45"/>
      <c r="I160" s="45"/>
      <c r="J160" s="45"/>
      <c r="K160" s="45"/>
      <c r="L160" s="45"/>
      <c r="M160" s="45"/>
      <c r="N160" s="45">
        <v>65000</v>
      </c>
    </row>
    <row r="161" spans="1:14" x14ac:dyDescent="0.25">
      <c r="A161" s="44" t="s">
        <v>193</v>
      </c>
      <c r="B161" s="44" t="s">
        <v>449</v>
      </c>
      <c r="C161" s="44" t="s">
        <v>1808</v>
      </c>
      <c r="D161" s="44" t="s">
        <v>1855</v>
      </c>
      <c r="E161" s="45">
        <f t="shared" si="3"/>
        <v>65880</v>
      </c>
      <c r="F161" s="45">
        <v>65880</v>
      </c>
      <c r="G161" s="45"/>
      <c r="H161" s="45"/>
      <c r="I161" s="45"/>
      <c r="J161" s="45"/>
      <c r="K161" s="45"/>
      <c r="L161" s="45"/>
      <c r="M161" s="45"/>
      <c r="N161" s="45">
        <v>65880</v>
      </c>
    </row>
    <row r="162" spans="1:14" x14ac:dyDescent="0.25">
      <c r="A162" s="44" t="s">
        <v>195</v>
      </c>
      <c r="B162" s="44" t="s">
        <v>402</v>
      </c>
      <c r="C162" s="44" t="s">
        <v>1805</v>
      </c>
      <c r="D162" s="44" t="s">
        <v>1849</v>
      </c>
      <c r="E162" s="45">
        <f t="shared" si="3"/>
        <v>184382.09999999998</v>
      </c>
      <c r="F162" s="45">
        <v>184382.09999999998</v>
      </c>
      <c r="G162" s="45"/>
      <c r="H162" s="45"/>
      <c r="I162" s="45"/>
      <c r="J162" s="45"/>
      <c r="K162" s="45"/>
      <c r="L162" s="45"/>
      <c r="M162" s="45"/>
      <c r="N162" s="45">
        <v>184382.09999999998</v>
      </c>
    </row>
    <row r="163" spans="1:14" x14ac:dyDescent="0.25">
      <c r="A163" s="44" t="s">
        <v>194</v>
      </c>
      <c r="B163" s="44" t="s">
        <v>373</v>
      </c>
      <c r="C163" s="44" t="s">
        <v>1808</v>
      </c>
      <c r="D163" s="44" t="s">
        <v>1836</v>
      </c>
      <c r="E163" s="45">
        <f t="shared" si="3"/>
        <v>5800</v>
      </c>
      <c r="F163" s="45">
        <v>5800</v>
      </c>
      <c r="G163" s="45"/>
      <c r="H163" s="45"/>
      <c r="I163" s="45"/>
      <c r="J163" s="45"/>
      <c r="K163" s="45"/>
      <c r="L163" s="45"/>
      <c r="M163" s="45"/>
      <c r="N163" s="45">
        <v>5800</v>
      </c>
    </row>
    <row r="164" spans="1:14" x14ac:dyDescent="0.25">
      <c r="A164" s="44" t="s">
        <v>198</v>
      </c>
      <c r="B164" s="44" t="s">
        <v>642</v>
      </c>
      <c r="C164" s="44" t="s">
        <v>1805</v>
      </c>
      <c r="D164" s="44" t="s">
        <v>1848</v>
      </c>
      <c r="E164" s="45">
        <f t="shared" si="3"/>
        <v>215334</v>
      </c>
      <c r="F164" s="45"/>
      <c r="G164" s="45"/>
      <c r="H164" s="45">
        <v>215334</v>
      </c>
      <c r="I164" s="45"/>
      <c r="J164" s="45"/>
      <c r="K164" s="45"/>
      <c r="L164" s="45"/>
      <c r="M164" s="45"/>
      <c r="N164" s="45">
        <v>215334</v>
      </c>
    </row>
    <row r="165" spans="1:14" x14ac:dyDescent="0.25">
      <c r="A165" s="44" t="s">
        <v>199</v>
      </c>
      <c r="B165" s="44" t="s">
        <v>1826</v>
      </c>
      <c r="C165" s="44" t="s">
        <v>1806</v>
      </c>
      <c r="D165" s="44" t="s">
        <v>1806</v>
      </c>
      <c r="E165" s="45">
        <f t="shared" si="3"/>
        <v>590000</v>
      </c>
      <c r="F165" s="45"/>
      <c r="G165" s="45"/>
      <c r="H165" s="45"/>
      <c r="I165" s="45">
        <v>590000</v>
      </c>
      <c r="J165" s="45"/>
      <c r="K165" s="45"/>
      <c r="L165" s="45"/>
      <c r="M165" s="45"/>
      <c r="N165" s="45">
        <v>590000</v>
      </c>
    </row>
    <row r="166" spans="1:14" x14ac:dyDescent="0.25">
      <c r="A166" s="44" t="s">
        <v>200</v>
      </c>
      <c r="B166" s="44" t="s">
        <v>352</v>
      </c>
      <c r="C166" s="44" t="s">
        <v>1817</v>
      </c>
      <c r="D166" s="44" t="s">
        <v>1813</v>
      </c>
      <c r="E166" s="45">
        <f t="shared" si="3"/>
        <v>945920</v>
      </c>
      <c r="F166" s="45">
        <v>366390</v>
      </c>
      <c r="G166" s="45">
        <v>127440</v>
      </c>
      <c r="H166" s="45"/>
      <c r="I166" s="45">
        <v>63720</v>
      </c>
      <c r="J166" s="45">
        <v>118000</v>
      </c>
      <c r="K166" s="45">
        <v>63720</v>
      </c>
      <c r="L166" s="45">
        <v>206650</v>
      </c>
      <c r="M166" s="45"/>
      <c r="N166" s="45">
        <v>945920</v>
      </c>
    </row>
    <row r="167" spans="1:14" x14ac:dyDescent="0.25">
      <c r="A167" s="44" t="s">
        <v>201</v>
      </c>
      <c r="B167" s="44" t="s">
        <v>402</v>
      </c>
      <c r="C167" s="44" t="s">
        <v>1806</v>
      </c>
      <c r="D167" s="44" t="s">
        <v>1806</v>
      </c>
      <c r="E167" s="45">
        <f t="shared" si="3"/>
        <v>77850.5</v>
      </c>
      <c r="F167" s="45"/>
      <c r="G167" s="45"/>
      <c r="H167" s="45"/>
      <c r="I167" s="45"/>
      <c r="J167" s="45">
        <v>77850.5</v>
      </c>
      <c r="K167" s="45"/>
      <c r="L167" s="45"/>
      <c r="M167" s="45"/>
      <c r="N167" s="45">
        <v>77850.5</v>
      </c>
    </row>
    <row r="168" spans="1:14" x14ac:dyDescent="0.25">
      <c r="A168" s="44" t="s">
        <v>202</v>
      </c>
      <c r="B168" s="44" t="s">
        <v>449</v>
      </c>
      <c r="C168" s="44" t="s">
        <v>1808</v>
      </c>
      <c r="D168" s="44" t="s">
        <v>1844</v>
      </c>
      <c r="E168" s="45">
        <f t="shared" si="3"/>
        <v>73632799.25</v>
      </c>
      <c r="F168" s="45">
        <v>1798200</v>
      </c>
      <c r="G168" s="45">
        <v>59875773.160000004</v>
      </c>
      <c r="H168" s="45">
        <v>5942269</v>
      </c>
      <c r="I168" s="45">
        <v>912752.5</v>
      </c>
      <c r="J168" s="45"/>
      <c r="K168" s="45">
        <v>927486</v>
      </c>
      <c r="L168" s="45">
        <v>4176318.59</v>
      </c>
      <c r="M168" s="45"/>
      <c r="N168" s="45">
        <v>73632799.25</v>
      </c>
    </row>
    <row r="169" spans="1:14" x14ac:dyDescent="0.25">
      <c r="A169" s="44" t="s">
        <v>203</v>
      </c>
      <c r="B169" s="44" t="s">
        <v>1807</v>
      </c>
      <c r="C169" s="44" t="s">
        <v>1829</v>
      </c>
      <c r="D169" s="44" t="s">
        <v>1830</v>
      </c>
      <c r="E169" s="45">
        <f t="shared" si="3"/>
        <v>14216251.02</v>
      </c>
      <c r="F169" s="45">
        <v>1831101.58</v>
      </c>
      <c r="G169" s="45">
        <v>755593.6</v>
      </c>
      <c r="H169" s="45">
        <v>316850.64</v>
      </c>
      <c r="I169" s="45">
        <v>781725.24</v>
      </c>
      <c r="J169" s="45">
        <v>472131.28</v>
      </c>
      <c r="K169" s="45">
        <v>865712.1</v>
      </c>
      <c r="L169" s="45">
        <v>9193136.5800000001</v>
      </c>
      <c r="M169" s="45"/>
      <c r="N169" s="45">
        <v>14216251.020000001</v>
      </c>
    </row>
    <row r="170" spans="1:14" x14ac:dyDescent="0.25">
      <c r="A170" s="44" t="s">
        <v>205</v>
      </c>
      <c r="B170" s="44" t="s">
        <v>426</v>
      </c>
      <c r="C170" s="44" t="s">
        <v>1809</v>
      </c>
      <c r="D170" s="44" t="s">
        <v>1809</v>
      </c>
      <c r="E170" s="45">
        <f t="shared" si="3"/>
        <v>252546</v>
      </c>
      <c r="F170" s="45"/>
      <c r="G170" s="45"/>
      <c r="H170" s="45"/>
      <c r="I170" s="45">
        <v>153946</v>
      </c>
      <c r="J170" s="45">
        <v>98600</v>
      </c>
      <c r="K170" s="45"/>
      <c r="L170" s="45"/>
      <c r="M170" s="45"/>
      <c r="N170" s="45">
        <v>252546</v>
      </c>
    </row>
    <row r="171" spans="1:14" x14ac:dyDescent="0.25">
      <c r="A171" s="44" t="s">
        <v>207</v>
      </c>
      <c r="B171" s="44" t="s">
        <v>379</v>
      </c>
      <c r="C171" s="44" t="s">
        <v>1817</v>
      </c>
      <c r="D171" s="44" t="s">
        <v>1848</v>
      </c>
      <c r="E171" s="45">
        <f t="shared" si="3"/>
        <v>4462528.6399999997</v>
      </c>
      <c r="F171" s="45">
        <v>1991227.88</v>
      </c>
      <c r="G171" s="45">
        <v>439530</v>
      </c>
      <c r="H171" s="45">
        <v>808107.29999999993</v>
      </c>
      <c r="I171" s="45">
        <v>156975</v>
      </c>
      <c r="J171" s="45">
        <v>337496.26</v>
      </c>
      <c r="K171" s="45">
        <v>39243.75</v>
      </c>
      <c r="L171" s="45">
        <v>689948.45</v>
      </c>
      <c r="M171" s="45"/>
      <c r="N171" s="45">
        <v>4462528.6399999997</v>
      </c>
    </row>
    <row r="172" spans="1:14" x14ac:dyDescent="0.25">
      <c r="A172" s="44" t="s">
        <v>204</v>
      </c>
      <c r="B172" s="44" t="s">
        <v>1828</v>
      </c>
      <c r="C172" s="44" t="s">
        <v>1817</v>
      </c>
      <c r="D172" s="44" t="s">
        <v>1813</v>
      </c>
      <c r="E172" s="45">
        <f t="shared" si="3"/>
        <v>370425.59999999998</v>
      </c>
      <c r="F172" s="45"/>
      <c r="G172" s="45"/>
      <c r="H172" s="45"/>
      <c r="I172" s="45"/>
      <c r="J172" s="45">
        <v>370425.59999999998</v>
      </c>
      <c r="K172" s="45"/>
      <c r="L172" s="45"/>
      <c r="M172" s="45"/>
      <c r="N172" s="45">
        <v>370425.59999999998</v>
      </c>
    </row>
    <row r="173" spans="1:14" x14ac:dyDescent="0.25">
      <c r="A173" s="44" t="s">
        <v>206</v>
      </c>
      <c r="B173" s="44" t="s">
        <v>1813</v>
      </c>
      <c r="C173" s="44" t="s">
        <v>1817</v>
      </c>
      <c r="D173" s="44" t="s">
        <v>1813</v>
      </c>
      <c r="E173" s="45">
        <f t="shared" si="3"/>
        <v>30680</v>
      </c>
      <c r="F173" s="45"/>
      <c r="G173" s="45"/>
      <c r="H173" s="45"/>
      <c r="I173" s="45">
        <v>30680</v>
      </c>
      <c r="J173" s="45"/>
      <c r="K173" s="45"/>
      <c r="L173" s="45"/>
      <c r="M173" s="45"/>
      <c r="N173" s="45">
        <v>30680</v>
      </c>
    </row>
    <row r="174" spans="1:14" x14ac:dyDescent="0.25">
      <c r="A174" s="44" t="s">
        <v>208</v>
      </c>
      <c r="B174" s="44" t="s">
        <v>449</v>
      </c>
      <c r="C174" s="44" t="s">
        <v>1808</v>
      </c>
      <c r="D174" s="44" t="s">
        <v>1836</v>
      </c>
      <c r="E174" s="45">
        <f t="shared" si="3"/>
        <v>10800</v>
      </c>
      <c r="F174" s="45"/>
      <c r="G174" s="45"/>
      <c r="H174" s="45"/>
      <c r="I174" s="45"/>
      <c r="J174" s="45"/>
      <c r="K174" s="45"/>
      <c r="L174" s="45">
        <v>10800</v>
      </c>
      <c r="M174" s="45"/>
      <c r="N174" s="45">
        <v>10800</v>
      </c>
    </row>
    <row r="175" spans="1:14" x14ac:dyDescent="0.25">
      <c r="A175" s="44" t="s">
        <v>209</v>
      </c>
      <c r="B175" s="44" t="s">
        <v>561</v>
      </c>
      <c r="C175" s="44" t="s">
        <v>1829</v>
      </c>
      <c r="D175" s="44" t="s">
        <v>1830</v>
      </c>
      <c r="E175" s="45">
        <f t="shared" si="3"/>
        <v>836638.2</v>
      </c>
      <c r="F175" s="45">
        <v>836638.2</v>
      </c>
      <c r="G175" s="45"/>
      <c r="H175" s="45"/>
      <c r="I175" s="45"/>
      <c r="J175" s="45"/>
      <c r="K175" s="45"/>
      <c r="L175" s="45"/>
      <c r="M175" s="45"/>
      <c r="N175" s="45">
        <v>836638.2</v>
      </c>
    </row>
    <row r="176" spans="1:14" x14ac:dyDescent="0.25">
      <c r="A176" s="44" t="s">
        <v>211</v>
      </c>
      <c r="B176" s="44" t="s">
        <v>1807</v>
      </c>
      <c r="C176" s="44" t="s">
        <v>1806</v>
      </c>
      <c r="D176" s="44" t="s">
        <v>1806</v>
      </c>
      <c r="E176" s="45">
        <f t="shared" si="3"/>
        <v>0.72</v>
      </c>
      <c r="F176" s="45"/>
      <c r="G176" s="45"/>
      <c r="H176" s="45"/>
      <c r="I176" s="45"/>
      <c r="J176" s="45"/>
      <c r="K176" s="45"/>
      <c r="L176" s="45"/>
      <c r="M176" s="45">
        <v>0.72</v>
      </c>
      <c r="N176" s="45">
        <v>0.72</v>
      </c>
    </row>
    <row r="177" spans="1:14" x14ac:dyDescent="0.25">
      <c r="A177" s="44" t="s">
        <v>212</v>
      </c>
      <c r="B177" s="44" t="s">
        <v>341</v>
      </c>
      <c r="C177" s="44" t="s">
        <v>1806</v>
      </c>
      <c r="D177" s="44" t="s">
        <v>1806</v>
      </c>
      <c r="E177" s="45">
        <f t="shared" si="3"/>
        <v>68384.81</v>
      </c>
      <c r="F177" s="45"/>
      <c r="G177" s="45"/>
      <c r="H177" s="45"/>
      <c r="I177" s="45">
        <v>20227.060000000001</v>
      </c>
      <c r="J177" s="45"/>
      <c r="K177" s="45"/>
      <c r="L177" s="45"/>
      <c r="M177" s="45">
        <v>48157.75</v>
      </c>
      <c r="N177" s="45">
        <v>68384.81</v>
      </c>
    </row>
    <row r="178" spans="1:14" x14ac:dyDescent="0.25">
      <c r="A178" s="44" t="s">
        <v>213</v>
      </c>
      <c r="B178" s="44" t="s">
        <v>341</v>
      </c>
      <c r="C178" s="44" t="s">
        <v>1808</v>
      </c>
      <c r="D178" s="44" t="s">
        <v>1836</v>
      </c>
      <c r="E178" s="45">
        <f t="shared" si="3"/>
        <v>100659.28</v>
      </c>
      <c r="F178" s="45"/>
      <c r="G178" s="45">
        <v>46135.360000000001</v>
      </c>
      <c r="H178" s="45">
        <v>54523.92</v>
      </c>
      <c r="I178" s="45"/>
      <c r="J178" s="45"/>
      <c r="K178" s="45"/>
      <c r="L178" s="45"/>
      <c r="M178" s="45"/>
      <c r="N178" s="45">
        <v>100659.28</v>
      </c>
    </row>
    <row r="179" spans="1:14" x14ac:dyDescent="0.25">
      <c r="A179" s="44" t="s">
        <v>214</v>
      </c>
      <c r="B179" s="44" t="s">
        <v>1827</v>
      </c>
      <c r="C179" s="44" t="s">
        <v>1806</v>
      </c>
      <c r="D179" s="44" t="s">
        <v>1806</v>
      </c>
      <c r="E179" s="45">
        <f t="shared" si="3"/>
        <v>716986</v>
      </c>
      <c r="F179" s="45">
        <v>442125</v>
      </c>
      <c r="G179" s="45"/>
      <c r="H179" s="45">
        <v>21270</v>
      </c>
      <c r="I179" s="45">
        <v>253591</v>
      </c>
      <c r="J179" s="45"/>
      <c r="K179" s="45"/>
      <c r="L179" s="45"/>
      <c r="M179" s="45"/>
      <c r="N179" s="45">
        <v>716986</v>
      </c>
    </row>
    <row r="180" spans="1:14" x14ac:dyDescent="0.25">
      <c r="A180" s="44" t="s">
        <v>215</v>
      </c>
      <c r="B180" s="44" t="s">
        <v>402</v>
      </c>
      <c r="C180" s="44" t="s">
        <v>1808</v>
      </c>
      <c r="D180" s="44" t="s">
        <v>1836</v>
      </c>
      <c r="E180" s="45">
        <f t="shared" si="3"/>
        <v>85053</v>
      </c>
      <c r="F180" s="45">
        <v>37026</v>
      </c>
      <c r="G180" s="45">
        <v>48027</v>
      </c>
      <c r="H180" s="45"/>
      <c r="I180" s="45"/>
      <c r="J180" s="45"/>
      <c r="K180" s="45"/>
      <c r="L180" s="45"/>
      <c r="M180" s="45"/>
      <c r="N180" s="45">
        <v>85053</v>
      </c>
    </row>
    <row r="181" spans="1:14" x14ac:dyDescent="0.25">
      <c r="A181" s="44" t="s">
        <v>216</v>
      </c>
      <c r="B181" s="44" t="s">
        <v>1807</v>
      </c>
      <c r="C181" s="44" t="s">
        <v>1829</v>
      </c>
      <c r="D181" s="44" t="s">
        <v>1830</v>
      </c>
      <c r="E181" s="45">
        <f t="shared" si="3"/>
        <v>16051847.100000001</v>
      </c>
      <c r="F181" s="45">
        <v>1537000</v>
      </c>
      <c r="G181" s="45">
        <v>3449667.06</v>
      </c>
      <c r="H181" s="45"/>
      <c r="I181" s="45">
        <v>3161000</v>
      </c>
      <c r="J181" s="45"/>
      <c r="K181" s="45">
        <v>1624000</v>
      </c>
      <c r="L181" s="45">
        <v>6280180.04</v>
      </c>
      <c r="M181" s="45"/>
      <c r="N181" s="45">
        <v>16051847.1</v>
      </c>
    </row>
    <row r="182" spans="1:14" x14ac:dyDescent="0.25">
      <c r="A182" s="44" t="s">
        <v>218</v>
      </c>
      <c r="B182" s="44" t="s">
        <v>435</v>
      </c>
      <c r="C182" s="44" t="s">
        <v>1806</v>
      </c>
      <c r="D182" s="44" t="s">
        <v>1806</v>
      </c>
      <c r="E182" s="45">
        <f t="shared" si="3"/>
        <v>1543874.67</v>
      </c>
      <c r="F182" s="45">
        <v>646518.69999999995</v>
      </c>
      <c r="G182" s="45">
        <v>457131.30000000005</v>
      </c>
      <c r="H182" s="45">
        <v>316748.20999999996</v>
      </c>
      <c r="I182" s="45"/>
      <c r="J182" s="45"/>
      <c r="K182" s="45"/>
      <c r="L182" s="45">
        <v>123476.45999999999</v>
      </c>
      <c r="M182" s="45"/>
      <c r="N182" s="45">
        <v>1543874.67</v>
      </c>
    </row>
    <row r="183" spans="1:14" x14ac:dyDescent="0.25">
      <c r="A183" s="44" t="s">
        <v>220</v>
      </c>
      <c r="B183" s="44" t="s">
        <v>373</v>
      </c>
      <c r="C183" s="44" t="s">
        <v>1829</v>
      </c>
      <c r="D183" s="44" t="s">
        <v>1830</v>
      </c>
      <c r="E183" s="45">
        <f t="shared" si="3"/>
        <v>83300</v>
      </c>
      <c r="F183" s="45"/>
      <c r="G183" s="45">
        <v>83300</v>
      </c>
      <c r="H183" s="45"/>
      <c r="I183" s="45"/>
      <c r="J183" s="45"/>
      <c r="K183" s="45"/>
      <c r="L183" s="45"/>
      <c r="M183" s="45"/>
      <c r="N183" s="45">
        <v>83300</v>
      </c>
    </row>
    <row r="184" spans="1:14" x14ac:dyDescent="0.25">
      <c r="A184" s="44" t="s">
        <v>221</v>
      </c>
      <c r="B184" s="44" t="s">
        <v>426</v>
      </c>
      <c r="C184" s="44" t="s">
        <v>1829</v>
      </c>
      <c r="D184" s="44" t="s">
        <v>1830</v>
      </c>
      <c r="E184" s="45">
        <f t="shared" si="3"/>
        <v>1901960.73</v>
      </c>
      <c r="F184" s="45">
        <v>1362154.67</v>
      </c>
      <c r="G184" s="45">
        <v>539806.05999999994</v>
      </c>
      <c r="H184" s="45"/>
      <c r="I184" s="45"/>
      <c r="J184" s="45"/>
      <c r="K184" s="45"/>
      <c r="L184" s="45"/>
      <c r="M184" s="45"/>
      <c r="N184" s="45">
        <v>1901960.73</v>
      </c>
    </row>
    <row r="185" spans="1:14" x14ac:dyDescent="0.25">
      <c r="A185" s="44" t="s">
        <v>253</v>
      </c>
      <c r="B185" s="44" t="s">
        <v>1807</v>
      </c>
      <c r="C185" s="44" t="s">
        <v>1808</v>
      </c>
      <c r="D185" s="44" t="s">
        <v>1836</v>
      </c>
      <c r="E185" s="45">
        <f t="shared" si="3"/>
        <v>833389.99</v>
      </c>
      <c r="F185" s="45">
        <v>659501.4</v>
      </c>
      <c r="G185" s="45">
        <v>173888.59</v>
      </c>
      <c r="H185" s="45"/>
      <c r="I185" s="45"/>
      <c r="J185" s="45"/>
      <c r="K185" s="45"/>
      <c r="L185" s="45"/>
      <c r="M185" s="45"/>
      <c r="N185" s="45">
        <v>833389.99</v>
      </c>
    </row>
    <row r="186" spans="1:14" x14ac:dyDescent="0.25">
      <c r="A186" s="44" t="s">
        <v>260</v>
      </c>
      <c r="B186" s="44" t="s">
        <v>1807</v>
      </c>
      <c r="C186" s="44" t="s">
        <v>1805</v>
      </c>
      <c r="D186" s="44" t="s">
        <v>1807</v>
      </c>
      <c r="E186" s="45">
        <f t="shared" si="3"/>
        <v>165215</v>
      </c>
      <c r="F186" s="45"/>
      <c r="G186" s="45"/>
      <c r="H186" s="45"/>
      <c r="I186" s="45"/>
      <c r="J186" s="45"/>
      <c r="K186" s="45"/>
      <c r="L186" s="45">
        <v>165215</v>
      </c>
      <c r="M186" s="45"/>
      <c r="N186" s="45">
        <v>165215</v>
      </c>
    </row>
    <row r="187" spans="1:14" x14ac:dyDescent="0.25">
      <c r="A187" s="44" t="s">
        <v>222</v>
      </c>
      <c r="B187" s="44" t="s">
        <v>402</v>
      </c>
      <c r="C187" s="44" t="s">
        <v>1808</v>
      </c>
      <c r="D187" s="44" t="s">
        <v>1831</v>
      </c>
      <c r="E187" s="45">
        <f t="shared" si="3"/>
        <v>106390</v>
      </c>
      <c r="F187" s="45">
        <v>106390</v>
      </c>
      <c r="G187" s="45"/>
      <c r="H187" s="45"/>
      <c r="I187" s="45"/>
      <c r="J187" s="45"/>
      <c r="K187" s="45"/>
      <c r="L187" s="45"/>
      <c r="M187" s="45"/>
      <c r="N187" s="45">
        <v>106390</v>
      </c>
    </row>
    <row r="188" spans="1:14" x14ac:dyDescent="0.25">
      <c r="A188" s="44" t="s">
        <v>223</v>
      </c>
      <c r="B188" s="44" t="s">
        <v>341</v>
      </c>
      <c r="C188" s="44" t="s">
        <v>1808</v>
      </c>
      <c r="D188" s="44" t="s">
        <v>1833</v>
      </c>
      <c r="E188" s="45">
        <f t="shared" si="3"/>
        <v>41760</v>
      </c>
      <c r="F188" s="45">
        <v>41760</v>
      </c>
      <c r="G188" s="45"/>
      <c r="H188" s="45"/>
      <c r="I188" s="45"/>
      <c r="J188" s="45"/>
      <c r="K188" s="45"/>
      <c r="L188" s="45"/>
      <c r="M188" s="45"/>
      <c r="N188" s="45">
        <v>41760</v>
      </c>
    </row>
    <row r="189" spans="1:14" x14ac:dyDescent="0.25">
      <c r="A189" s="44" t="s">
        <v>224</v>
      </c>
      <c r="B189" s="44" t="s">
        <v>402</v>
      </c>
      <c r="C189" s="44" t="s">
        <v>1808</v>
      </c>
      <c r="D189" s="44" t="s">
        <v>1838</v>
      </c>
      <c r="E189" s="45">
        <f t="shared" si="3"/>
        <v>274456</v>
      </c>
      <c r="F189" s="45">
        <v>274456</v>
      </c>
      <c r="G189" s="45"/>
      <c r="H189" s="45"/>
      <c r="I189" s="45"/>
      <c r="J189" s="45"/>
      <c r="K189" s="45"/>
      <c r="L189" s="45"/>
      <c r="M189" s="45"/>
      <c r="N189" s="45">
        <v>274456</v>
      </c>
    </row>
    <row r="190" spans="1:14" x14ac:dyDescent="0.25">
      <c r="A190" s="44" t="s">
        <v>228</v>
      </c>
      <c r="B190" s="44" t="s">
        <v>373</v>
      </c>
      <c r="C190" s="44" t="s">
        <v>1808</v>
      </c>
      <c r="D190" s="44" t="s">
        <v>1841</v>
      </c>
      <c r="E190" s="45">
        <f t="shared" si="3"/>
        <v>33320</v>
      </c>
      <c r="F190" s="45">
        <v>33320</v>
      </c>
      <c r="G190" s="45"/>
      <c r="H190" s="45"/>
      <c r="I190" s="45"/>
      <c r="J190" s="45"/>
      <c r="K190" s="45"/>
      <c r="L190" s="45"/>
      <c r="M190" s="45"/>
      <c r="N190" s="45">
        <v>33320</v>
      </c>
    </row>
    <row r="191" spans="1:14" x14ac:dyDescent="0.25">
      <c r="A191" s="44" t="s">
        <v>225</v>
      </c>
      <c r="B191" s="44" t="s">
        <v>426</v>
      </c>
      <c r="C191" s="44" t="s">
        <v>1829</v>
      </c>
      <c r="D191" s="44" t="s">
        <v>1830</v>
      </c>
      <c r="E191" s="45">
        <f t="shared" si="3"/>
        <v>1025232.54</v>
      </c>
      <c r="F191" s="45">
        <v>1025232.54</v>
      </c>
      <c r="G191" s="45"/>
      <c r="H191" s="45"/>
      <c r="I191" s="45"/>
      <c r="J191" s="45"/>
      <c r="K191" s="45"/>
      <c r="L191" s="45"/>
      <c r="M191" s="45"/>
      <c r="N191" s="45">
        <v>1025232.54</v>
      </c>
    </row>
    <row r="192" spans="1:14" x14ac:dyDescent="0.25">
      <c r="A192" s="44" t="s">
        <v>227</v>
      </c>
      <c r="B192" s="44" t="s">
        <v>341</v>
      </c>
      <c r="C192" s="44" t="s">
        <v>1808</v>
      </c>
      <c r="D192" s="44" t="s">
        <v>1838</v>
      </c>
      <c r="E192" s="45">
        <f t="shared" si="3"/>
        <v>404023.01999999996</v>
      </c>
      <c r="F192" s="45">
        <v>348501.12</v>
      </c>
      <c r="G192" s="45">
        <v>-237134.04</v>
      </c>
      <c r="H192" s="45">
        <v>63079.08</v>
      </c>
      <c r="I192" s="45">
        <v>57364.72</v>
      </c>
      <c r="J192" s="45"/>
      <c r="K192" s="45">
        <v>62225.46</v>
      </c>
      <c r="L192" s="45">
        <v>109986.68</v>
      </c>
      <c r="M192" s="45"/>
      <c r="N192" s="45">
        <v>404023.02</v>
      </c>
    </row>
    <row r="193" spans="1:14" x14ac:dyDescent="0.25">
      <c r="A193" s="44" t="s">
        <v>229</v>
      </c>
      <c r="B193" s="44" t="s">
        <v>561</v>
      </c>
      <c r="C193" s="44" t="s">
        <v>1829</v>
      </c>
      <c r="D193" s="44" t="s">
        <v>1830</v>
      </c>
      <c r="E193" s="45">
        <f t="shared" si="3"/>
        <v>10971688</v>
      </c>
      <c r="F193" s="45">
        <v>4540977</v>
      </c>
      <c r="G193" s="45">
        <v>2635661</v>
      </c>
      <c r="H193" s="45">
        <v>1469265</v>
      </c>
      <c r="I193" s="45">
        <v>1024345</v>
      </c>
      <c r="J193" s="45">
        <v>105840</v>
      </c>
      <c r="K193" s="45">
        <v>1195600</v>
      </c>
      <c r="L193" s="45"/>
      <c r="M193" s="45"/>
      <c r="N193" s="45">
        <v>10971688</v>
      </c>
    </row>
    <row r="194" spans="1:14" x14ac:dyDescent="0.25">
      <c r="A194" s="44" t="s">
        <v>230</v>
      </c>
      <c r="B194" s="44" t="s">
        <v>402</v>
      </c>
      <c r="C194" s="44" t="s">
        <v>1808</v>
      </c>
      <c r="D194" s="44" t="s">
        <v>1833</v>
      </c>
      <c r="E194" s="45">
        <f t="shared" si="3"/>
        <v>65341.22</v>
      </c>
      <c r="F194" s="45">
        <v>65341.22</v>
      </c>
      <c r="G194" s="45"/>
      <c r="H194" s="45"/>
      <c r="I194" s="45"/>
      <c r="J194" s="45"/>
      <c r="K194" s="45"/>
      <c r="L194" s="45"/>
      <c r="M194" s="45"/>
      <c r="N194" s="45">
        <v>65341.22</v>
      </c>
    </row>
    <row r="195" spans="1:14" x14ac:dyDescent="0.25">
      <c r="A195" s="44" t="s">
        <v>232</v>
      </c>
      <c r="B195" s="44" t="s">
        <v>393</v>
      </c>
      <c r="C195" s="44" t="s">
        <v>1829</v>
      </c>
      <c r="D195" s="44" t="s">
        <v>1830</v>
      </c>
      <c r="E195" s="45">
        <f t="shared" si="3"/>
        <v>105009.94</v>
      </c>
      <c r="F195" s="45"/>
      <c r="G195" s="45"/>
      <c r="H195" s="45"/>
      <c r="I195" s="45"/>
      <c r="J195" s="45"/>
      <c r="K195" s="45">
        <v>105009.94</v>
      </c>
      <c r="L195" s="45"/>
      <c r="M195" s="45"/>
      <c r="N195" s="45">
        <v>105009.94</v>
      </c>
    </row>
    <row r="196" spans="1:14" x14ac:dyDescent="0.25">
      <c r="A196" s="44" t="s">
        <v>233</v>
      </c>
      <c r="B196" s="44" t="s">
        <v>373</v>
      </c>
      <c r="C196" s="44" t="s">
        <v>1808</v>
      </c>
      <c r="D196" s="44" t="s">
        <v>1836</v>
      </c>
      <c r="E196" s="45">
        <f t="shared" si="3"/>
        <v>12841.2</v>
      </c>
      <c r="F196" s="45"/>
      <c r="G196" s="45"/>
      <c r="H196" s="45">
        <v>12841.2</v>
      </c>
      <c r="I196" s="45"/>
      <c r="J196" s="45"/>
      <c r="K196" s="45"/>
      <c r="L196" s="45"/>
      <c r="M196" s="45"/>
      <c r="N196" s="45">
        <v>12841.2</v>
      </c>
    </row>
    <row r="197" spans="1:14" x14ac:dyDescent="0.25">
      <c r="A197" s="44" t="s">
        <v>235</v>
      </c>
      <c r="B197" s="44" t="s">
        <v>449</v>
      </c>
      <c r="C197" s="44" t="s">
        <v>1808</v>
      </c>
      <c r="D197" s="44" t="s">
        <v>1812</v>
      </c>
      <c r="E197" s="45">
        <f t="shared" si="3"/>
        <v>9300</v>
      </c>
      <c r="F197" s="45">
        <v>9300</v>
      </c>
      <c r="G197" s="45"/>
      <c r="H197" s="45"/>
      <c r="I197" s="45"/>
      <c r="J197" s="45"/>
      <c r="K197" s="45"/>
      <c r="L197" s="45"/>
      <c r="M197" s="45"/>
      <c r="N197" s="45">
        <v>9300</v>
      </c>
    </row>
    <row r="198" spans="1:14" x14ac:dyDescent="0.25">
      <c r="A198" s="44" t="s">
        <v>236</v>
      </c>
      <c r="B198" s="44" t="s">
        <v>373</v>
      </c>
      <c r="C198" s="44" t="s">
        <v>1808</v>
      </c>
      <c r="D198" s="44" t="s">
        <v>1831</v>
      </c>
      <c r="E198" s="45">
        <f t="shared" ref="E198:E256" si="4">SUM(F198:M198)</f>
        <v>87309.72</v>
      </c>
      <c r="F198" s="45">
        <v>87309.72</v>
      </c>
      <c r="G198" s="45"/>
      <c r="H198" s="45"/>
      <c r="I198" s="45"/>
      <c r="J198" s="45"/>
      <c r="K198" s="45"/>
      <c r="L198" s="45"/>
      <c r="M198" s="45"/>
      <c r="N198" s="45">
        <v>87309.72</v>
      </c>
    </row>
    <row r="199" spans="1:14" x14ac:dyDescent="0.25">
      <c r="A199" s="44" t="s">
        <v>238</v>
      </c>
      <c r="B199" s="44" t="s">
        <v>1813</v>
      </c>
      <c r="C199" s="44" t="s">
        <v>1806</v>
      </c>
      <c r="D199" s="44" t="s">
        <v>1806</v>
      </c>
      <c r="E199" s="45">
        <f t="shared" si="4"/>
        <v>76000</v>
      </c>
      <c r="F199" s="45"/>
      <c r="G199" s="45"/>
      <c r="H199" s="45"/>
      <c r="I199" s="45"/>
      <c r="J199" s="45"/>
      <c r="K199" s="45"/>
      <c r="L199" s="45"/>
      <c r="M199" s="45">
        <v>76000</v>
      </c>
      <c r="N199" s="45">
        <v>76000</v>
      </c>
    </row>
    <row r="200" spans="1:14" x14ac:dyDescent="0.25">
      <c r="A200" s="44" t="s">
        <v>239</v>
      </c>
      <c r="B200" s="44" t="s">
        <v>402</v>
      </c>
      <c r="C200" s="44" t="s">
        <v>1805</v>
      </c>
      <c r="D200" s="44" t="s">
        <v>1849</v>
      </c>
      <c r="E200" s="45">
        <f t="shared" si="4"/>
        <v>72379.88</v>
      </c>
      <c r="F200" s="45">
        <v>72379.88</v>
      </c>
      <c r="G200" s="45"/>
      <c r="H200" s="45"/>
      <c r="I200" s="45"/>
      <c r="J200" s="45"/>
      <c r="K200" s="45"/>
      <c r="L200" s="45"/>
      <c r="M200" s="45"/>
      <c r="N200" s="45">
        <v>72379.88</v>
      </c>
    </row>
    <row r="201" spans="1:14" x14ac:dyDescent="0.25">
      <c r="A201" s="44" t="s">
        <v>241</v>
      </c>
      <c r="B201" s="44" t="s">
        <v>642</v>
      </c>
      <c r="C201" s="44" t="s">
        <v>1829</v>
      </c>
      <c r="D201" s="44" t="s">
        <v>1830</v>
      </c>
      <c r="E201" s="45">
        <f t="shared" si="4"/>
        <v>297290</v>
      </c>
      <c r="F201" s="45">
        <v>297290</v>
      </c>
      <c r="G201" s="45"/>
      <c r="H201" s="45"/>
      <c r="I201" s="45"/>
      <c r="J201" s="45"/>
      <c r="K201" s="45"/>
      <c r="L201" s="45"/>
      <c r="M201" s="45"/>
      <c r="N201" s="45">
        <v>297290</v>
      </c>
    </row>
    <row r="202" spans="1:14" x14ac:dyDescent="0.25">
      <c r="A202" s="44" t="s">
        <v>243</v>
      </c>
      <c r="B202" s="44" t="s">
        <v>402</v>
      </c>
      <c r="C202" s="44" t="s">
        <v>1829</v>
      </c>
      <c r="D202" s="44" t="s">
        <v>1830</v>
      </c>
      <c r="E202" s="45">
        <f t="shared" si="4"/>
        <v>467100</v>
      </c>
      <c r="F202" s="45">
        <v>467100</v>
      </c>
      <c r="G202" s="45"/>
      <c r="H202" s="45"/>
      <c r="I202" s="45"/>
      <c r="J202" s="45"/>
      <c r="K202" s="45"/>
      <c r="L202" s="45"/>
      <c r="M202" s="45"/>
      <c r="N202" s="45">
        <v>467100</v>
      </c>
    </row>
    <row r="203" spans="1:14" x14ac:dyDescent="0.25">
      <c r="A203" s="44" t="s">
        <v>244</v>
      </c>
      <c r="B203" s="44" t="s">
        <v>1813</v>
      </c>
      <c r="C203" s="44" t="s">
        <v>1829</v>
      </c>
      <c r="D203" s="44" t="s">
        <v>1830</v>
      </c>
      <c r="E203" s="45">
        <f t="shared" si="4"/>
        <v>2382135</v>
      </c>
      <c r="F203" s="45">
        <v>2042565</v>
      </c>
      <c r="G203" s="45">
        <v>264600</v>
      </c>
      <c r="H203" s="45"/>
      <c r="I203" s="45"/>
      <c r="J203" s="45"/>
      <c r="K203" s="45"/>
      <c r="L203" s="45"/>
      <c r="M203" s="45">
        <v>74970</v>
      </c>
      <c r="N203" s="45">
        <v>2382135</v>
      </c>
    </row>
    <row r="204" spans="1:14" x14ac:dyDescent="0.25">
      <c r="A204" s="44" t="s">
        <v>245</v>
      </c>
      <c r="B204" s="44" t="s">
        <v>642</v>
      </c>
      <c r="C204" s="44" t="s">
        <v>1829</v>
      </c>
      <c r="D204" s="44" t="s">
        <v>1830</v>
      </c>
      <c r="E204" s="45">
        <f t="shared" si="4"/>
        <v>1380400</v>
      </c>
      <c r="F204" s="45">
        <v>893200</v>
      </c>
      <c r="G204" s="45">
        <v>487200</v>
      </c>
      <c r="H204" s="45"/>
      <c r="I204" s="45"/>
      <c r="J204" s="45"/>
      <c r="K204" s="45"/>
      <c r="L204" s="45"/>
      <c r="M204" s="45"/>
      <c r="N204" s="45">
        <v>1380400</v>
      </c>
    </row>
    <row r="205" spans="1:14" x14ac:dyDescent="0.25">
      <c r="A205" s="44" t="s">
        <v>246</v>
      </c>
      <c r="B205" s="44" t="s">
        <v>449</v>
      </c>
      <c r="C205" s="44" t="s">
        <v>1808</v>
      </c>
      <c r="D205" s="44" t="s">
        <v>1832</v>
      </c>
      <c r="E205" s="45">
        <f t="shared" si="4"/>
        <v>49481.9</v>
      </c>
      <c r="F205" s="45">
        <v>49481.9</v>
      </c>
      <c r="G205" s="45"/>
      <c r="H205" s="45"/>
      <c r="I205" s="45"/>
      <c r="J205" s="45"/>
      <c r="K205" s="45"/>
      <c r="L205" s="45"/>
      <c r="M205" s="45"/>
      <c r="N205" s="45">
        <v>49481.9</v>
      </c>
    </row>
    <row r="206" spans="1:14" x14ac:dyDescent="0.25">
      <c r="A206" s="44" t="s">
        <v>242</v>
      </c>
      <c r="B206" s="44" t="s">
        <v>426</v>
      </c>
      <c r="C206" s="44" t="s">
        <v>1809</v>
      </c>
      <c r="D206" s="44" t="s">
        <v>1809</v>
      </c>
      <c r="E206" s="45">
        <f t="shared" si="4"/>
        <v>488985</v>
      </c>
      <c r="F206" s="45">
        <v>488985</v>
      </c>
      <c r="G206" s="45"/>
      <c r="H206" s="45"/>
      <c r="I206" s="45"/>
      <c r="J206" s="45"/>
      <c r="K206" s="45"/>
      <c r="L206" s="45"/>
      <c r="M206" s="45"/>
      <c r="N206" s="45">
        <v>488985</v>
      </c>
    </row>
    <row r="207" spans="1:14" x14ac:dyDescent="0.25">
      <c r="A207" s="44" t="s">
        <v>247</v>
      </c>
      <c r="B207" s="44" t="s">
        <v>402</v>
      </c>
      <c r="C207" s="44" t="s">
        <v>1808</v>
      </c>
      <c r="D207" s="44" t="s">
        <v>1835</v>
      </c>
      <c r="E207" s="45">
        <f t="shared" si="4"/>
        <v>350065.3</v>
      </c>
      <c r="F207" s="45"/>
      <c r="G207" s="45"/>
      <c r="H207" s="45"/>
      <c r="I207" s="45"/>
      <c r="J207" s="45"/>
      <c r="K207" s="45"/>
      <c r="L207" s="45"/>
      <c r="M207" s="45">
        <v>350065.3</v>
      </c>
      <c r="N207" s="45">
        <v>350065.3</v>
      </c>
    </row>
    <row r="208" spans="1:14" x14ac:dyDescent="0.25">
      <c r="A208" s="44" t="s">
        <v>248</v>
      </c>
      <c r="B208" s="44" t="s">
        <v>402</v>
      </c>
      <c r="C208" s="44" t="s">
        <v>1808</v>
      </c>
      <c r="D208" s="44" t="s">
        <v>1836</v>
      </c>
      <c r="E208" s="45">
        <f t="shared" si="4"/>
        <v>294798.78000000003</v>
      </c>
      <c r="F208" s="45"/>
      <c r="G208" s="45"/>
      <c r="H208" s="45"/>
      <c r="I208" s="45"/>
      <c r="J208" s="45"/>
      <c r="K208" s="45"/>
      <c r="L208" s="45"/>
      <c r="M208" s="45">
        <v>294798.78000000003</v>
      </c>
      <c r="N208" s="45">
        <v>294798.78000000003</v>
      </c>
    </row>
    <row r="209" spans="1:14" x14ac:dyDescent="0.25">
      <c r="A209" s="44" t="s">
        <v>249</v>
      </c>
      <c r="B209" s="44" t="s">
        <v>341</v>
      </c>
      <c r="C209" s="44" t="s">
        <v>1808</v>
      </c>
      <c r="D209" s="44" t="s">
        <v>1830</v>
      </c>
      <c r="E209" s="45">
        <f t="shared" si="4"/>
        <v>337905.83999999997</v>
      </c>
      <c r="F209" s="45">
        <v>337905.83999999997</v>
      </c>
      <c r="G209" s="45"/>
      <c r="H209" s="45"/>
      <c r="I209" s="45"/>
      <c r="J209" s="45"/>
      <c r="K209" s="45"/>
      <c r="L209" s="45"/>
      <c r="M209" s="45"/>
      <c r="N209" s="45">
        <v>337905.83999999997</v>
      </c>
    </row>
    <row r="210" spans="1:14" x14ac:dyDescent="0.25">
      <c r="A210" s="44" t="s">
        <v>251</v>
      </c>
      <c r="B210" s="44" t="s">
        <v>402</v>
      </c>
      <c r="C210" s="44" t="s">
        <v>1808</v>
      </c>
      <c r="D210" s="44" t="s">
        <v>1836</v>
      </c>
      <c r="E210" s="45">
        <f t="shared" si="4"/>
        <v>4890</v>
      </c>
      <c r="F210" s="45">
        <v>4890</v>
      </c>
      <c r="G210" s="45"/>
      <c r="H210" s="45"/>
      <c r="I210" s="45"/>
      <c r="J210" s="45"/>
      <c r="K210" s="45"/>
      <c r="L210" s="45"/>
      <c r="M210" s="45"/>
      <c r="N210" s="45">
        <v>4890</v>
      </c>
    </row>
    <row r="211" spans="1:14" x14ac:dyDescent="0.25">
      <c r="A211" s="44" t="s">
        <v>252</v>
      </c>
      <c r="B211" s="44" t="s">
        <v>435</v>
      </c>
      <c r="C211" s="44" t="s">
        <v>1808</v>
      </c>
      <c r="D211" s="44" t="s">
        <v>1841</v>
      </c>
      <c r="E211" s="45">
        <f t="shared" si="4"/>
        <v>425184.61</v>
      </c>
      <c r="F211" s="45"/>
      <c r="G211" s="45"/>
      <c r="H211" s="45"/>
      <c r="I211" s="45">
        <v>292465.01</v>
      </c>
      <c r="J211" s="45">
        <v>132719.6</v>
      </c>
      <c r="K211" s="45"/>
      <c r="L211" s="45"/>
      <c r="M211" s="45"/>
      <c r="N211" s="45">
        <v>425184.61</v>
      </c>
    </row>
    <row r="212" spans="1:14" x14ac:dyDescent="0.25">
      <c r="A212" s="44" t="s">
        <v>254</v>
      </c>
      <c r="B212" s="44" t="s">
        <v>1813</v>
      </c>
      <c r="C212" s="44" t="s">
        <v>1817</v>
      </c>
      <c r="D212" s="44" t="s">
        <v>1813</v>
      </c>
      <c r="E212" s="45">
        <f t="shared" si="4"/>
        <v>247800</v>
      </c>
      <c r="F212" s="45">
        <v>247800</v>
      </c>
      <c r="G212" s="45"/>
      <c r="H212" s="45"/>
      <c r="I212" s="45"/>
      <c r="J212" s="45"/>
      <c r="K212" s="45"/>
      <c r="L212" s="45"/>
      <c r="M212" s="45"/>
      <c r="N212" s="45">
        <v>247800</v>
      </c>
    </row>
    <row r="213" spans="1:14" x14ac:dyDescent="0.25">
      <c r="A213" s="44" t="s">
        <v>255</v>
      </c>
      <c r="B213" s="44" t="s">
        <v>402</v>
      </c>
      <c r="C213" s="44" t="s">
        <v>1808</v>
      </c>
      <c r="D213" s="44" t="s">
        <v>1830</v>
      </c>
      <c r="E213" s="45">
        <f t="shared" si="4"/>
        <v>7091841.7799999993</v>
      </c>
      <c r="F213" s="45">
        <v>825920</v>
      </c>
      <c r="G213" s="45">
        <v>412960</v>
      </c>
      <c r="H213" s="45"/>
      <c r="I213" s="45">
        <v>1445360</v>
      </c>
      <c r="J213" s="45"/>
      <c r="K213" s="45">
        <v>2878041.76</v>
      </c>
      <c r="L213" s="45">
        <v>1529560.02</v>
      </c>
      <c r="M213" s="45"/>
      <c r="N213" s="45">
        <v>7091841.7799999993</v>
      </c>
    </row>
    <row r="214" spans="1:14" x14ac:dyDescent="0.25">
      <c r="A214" s="44" t="s">
        <v>256</v>
      </c>
      <c r="B214" s="44" t="s">
        <v>642</v>
      </c>
      <c r="C214" s="44" t="s">
        <v>1808</v>
      </c>
      <c r="D214" s="44" t="s">
        <v>1819</v>
      </c>
      <c r="E214" s="45">
        <f t="shared" si="4"/>
        <v>3797</v>
      </c>
      <c r="F214" s="45">
        <v>3797</v>
      </c>
      <c r="G214" s="45"/>
      <c r="H214" s="45"/>
      <c r="I214" s="45"/>
      <c r="J214" s="45"/>
      <c r="K214" s="45"/>
      <c r="L214" s="45"/>
      <c r="M214" s="45"/>
      <c r="N214" s="45">
        <v>3797</v>
      </c>
    </row>
    <row r="215" spans="1:14" x14ac:dyDescent="0.25">
      <c r="A215" s="44" t="s">
        <v>259</v>
      </c>
      <c r="B215" s="44" t="s">
        <v>323</v>
      </c>
      <c r="C215" s="44" t="s">
        <v>1808</v>
      </c>
      <c r="D215" s="44" t="s">
        <v>1839</v>
      </c>
      <c r="E215" s="45">
        <f t="shared" si="4"/>
        <v>293540.64</v>
      </c>
      <c r="F215" s="45">
        <v>293540.64</v>
      </c>
      <c r="G215" s="45"/>
      <c r="H215" s="45"/>
      <c r="I215" s="45"/>
      <c r="J215" s="45"/>
      <c r="K215" s="45"/>
      <c r="L215" s="45"/>
      <c r="M215" s="45"/>
      <c r="N215" s="45">
        <v>293540.64</v>
      </c>
    </row>
    <row r="216" spans="1:14" x14ac:dyDescent="0.25">
      <c r="A216" s="44" t="s">
        <v>258</v>
      </c>
      <c r="B216" s="44" t="s">
        <v>323</v>
      </c>
      <c r="C216" s="44" t="s">
        <v>1808</v>
      </c>
      <c r="D216" s="44" t="s">
        <v>1850</v>
      </c>
      <c r="E216" s="45">
        <f t="shared" si="4"/>
        <v>16216933</v>
      </c>
      <c r="F216" s="45">
        <v>4745397</v>
      </c>
      <c r="G216" s="45">
        <v>8324685</v>
      </c>
      <c r="H216" s="45">
        <v>3146851</v>
      </c>
      <c r="I216" s="45"/>
      <c r="J216" s="45"/>
      <c r="K216" s="45"/>
      <c r="L216" s="45"/>
      <c r="M216" s="45"/>
      <c r="N216" s="45">
        <v>16216933</v>
      </c>
    </row>
    <row r="217" spans="1:14" x14ac:dyDescent="0.25">
      <c r="A217" s="44" t="s">
        <v>262</v>
      </c>
      <c r="B217" s="44" t="s">
        <v>1813</v>
      </c>
      <c r="C217" s="44" t="s">
        <v>1808</v>
      </c>
      <c r="D217" s="44" t="s">
        <v>1836</v>
      </c>
      <c r="E217" s="45">
        <f t="shared" si="4"/>
        <v>1320</v>
      </c>
      <c r="F217" s="45"/>
      <c r="G217" s="45"/>
      <c r="H217" s="45">
        <v>880</v>
      </c>
      <c r="I217" s="45">
        <v>440</v>
      </c>
      <c r="J217" s="45"/>
      <c r="K217" s="45"/>
      <c r="L217" s="45"/>
      <c r="M217" s="45"/>
      <c r="N217" s="45">
        <v>1320</v>
      </c>
    </row>
    <row r="218" spans="1:14" x14ac:dyDescent="0.25">
      <c r="A218" s="44" t="s">
        <v>264</v>
      </c>
      <c r="B218" s="44" t="s">
        <v>1826</v>
      </c>
      <c r="C218" s="44" t="s">
        <v>1806</v>
      </c>
      <c r="D218" s="44" t="s">
        <v>1835</v>
      </c>
      <c r="E218" s="45">
        <f t="shared" si="4"/>
        <v>37000</v>
      </c>
      <c r="F218" s="45">
        <v>37000</v>
      </c>
      <c r="G218" s="45"/>
      <c r="H218" s="45"/>
      <c r="I218" s="45"/>
      <c r="J218" s="45"/>
      <c r="K218" s="45"/>
      <c r="L218" s="45"/>
      <c r="M218" s="45"/>
      <c r="N218" s="45">
        <v>37000</v>
      </c>
    </row>
    <row r="219" spans="1:14" x14ac:dyDescent="0.25">
      <c r="A219" s="44" t="s">
        <v>265</v>
      </c>
      <c r="B219" s="44" t="s">
        <v>426</v>
      </c>
      <c r="C219" s="44" t="s">
        <v>1808</v>
      </c>
      <c r="D219" s="44" t="s">
        <v>1838</v>
      </c>
      <c r="E219" s="45">
        <f t="shared" si="4"/>
        <v>666028.6399999999</v>
      </c>
      <c r="F219" s="45">
        <v>114935.62</v>
      </c>
      <c r="G219" s="45">
        <v>125155.8</v>
      </c>
      <c r="H219" s="45"/>
      <c r="I219" s="45"/>
      <c r="J219" s="45"/>
      <c r="K219" s="45"/>
      <c r="L219" s="45">
        <v>425937.22</v>
      </c>
      <c r="M219" s="45"/>
      <c r="N219" s="45">
        <v>666028.64</v>
      </c>
    </row>
    <row r="220" spans="1:14" x14ac:dyDescent="0.25">
      <c r="A220" s="44" t="s">
        <v>266</v>
      </c>
      <c r="B220" s="44" t="s">
        <v>1828</v>
      </c>
      <c r="C220" s="44" t="s">
        <v>1808</v>
      </c>
      <c r="D220" s="44" t="s">
        <v>1836</v>
      </c>
      <c r="E220" s="45">
        <f t="shared" si="4"/>
        <v>191900</v>
      </c>
      <c r="F220" s="45">
        <v>191900</v>
      </c>
      <c r="G220" s="45"/>
      <c r="H220" s="45"/>
      <c r="I220" s="45"/>
      <c r="J220" s="45"/>
      <c r="K220" s="45"/>
      <c r="L220" s="45"/>
      <c r="M220" s="45"/>
      <c r="N220" s="45">
        <v>191900</v>
      </c>
    </row>
    <row r="221" spans="1:14" x14ac:dyDescent="0.25">
      <c r="A221" s="44" t="s">
        <v>267</v>
      </c>
      <c r="B221" s="44" t="s">
        <v>1813</v>
      </c>
      <c r="C221" s="44" t="s">
        <v>1808</v>
      </c>
      <c r="D221" s="44" t="s">
        <v>1836</v>
      </c>
      <c r="E221" s="45">
        <f t="shared" si="4"/>
        <v>5310</v>
      </c>
      <c r="F221" s="45">
        <v>5310</v>
      </c>
      <c r="G221" s="45"/>
      <c r="H221" s="45"/>
      <c r="I221" s="45"/>
      <c r="J221" s="45"/>
      <c r="K221" s="45"/>
      <c r="L221" s="45"/>
      <c r="M221" s="45"/>
      <c r="N221" s="45">
        <v>5310</v>
      </c>
    </row>
    <row r="222" spans="1:14" x14ac:dyDescent="0.25">
      <c r="A222" s="44" t="s">
        <v>268</v>
      </c>
      <c r="B222" s="44" t="s">
        <v>435</v>
      </c>
      <c r="C222" s="44" t="s">
        <v>1806</v>
      </c>
      <c r="D222" s="44" t="s">
        <v>1806</v>
      </c>
      <c r="E222" s="45">
        <f t="shared" si="4"/>
        <v>1153116</v>
      </c>
      <c r="F222" s="45">
        <v>1153116</v>
      </c>
      <c r="G222" s="45"/>
      <c r="H222" s="45"/>
      <c r="I222" s="45"/>
      <c r="J222" s="45"/>
      <c r="K222" s="45"/>
      <c r="L222" s="45"/>
      <c r="M222" s="45"/>
      <c r="N222" s="45">
        <v>1153116</v>
      </c>
    </row>
    <row r="223" spans="1:14" x14ac:dyDescent="0.25">
      <c r="A223" s="44" t="s">
        <v>269</v>
      </c>
      <c r="B223" s="44" t="s">
        <v>393</v>
      </c>
      <c r="C223" s="44" t="s">
        <v>1829</v>
      </c>
      <c r="D223" s="44" t="s">
        <v>1830</v>
      </c>
      <c r="E223" s="45">
        <f t="shared" si="4"/>
        <v>138405.4</v>
      </c>
      <c r="F223" s="45"/>
      <c r="G223" s="45"/>
      <c r="H223" s="45"/>
      <c r="I223" s="45"/>
      <c r="J223" s="45">
        <v>138405.4</v>
      </c>
      <c r="K223" s="45"/>
      <c r="L223" s="45"/>
      <c r="M223" s="45"/>
      <c r="N223" s="45">
        <v>138405.4</v>
      </c>
    </row>
    <row r="224" spans="1:14" x14ac:dyDescent="0.25">
      <c r="A224" s="44" t="s">
        <v>272</v>
      </c>
      <c r="B224" s="44" t="s">
        <v>1807</v>
      </c>
      <c r="C224" s="44" t="s">
        <v>1808</v>
      </c>
      <c r="D224" s="44" t="s">
        <v>1807</v>
      </c>
      <c r="E224" s="45">
        <f t="shared" si="4"/>
        <v>508258.29000000004</v>
      </c>
      <c r="F224" s="45">
        <v>508258.29000000004</v>
      </c>
      <c r="G224" s="45"/>
      <c r="H224" s="45"/>
      <c r="I224" s="45"/>
      <c r="J224" s="45"/>
      <c r="K224" s="45"/>
      <c r="L224" s="45"/>
      <c r="M224" s="45"/>
      <c r="N224" s="45">
        <v>508258.29000000004</v>
      </c>
    </row>
    <row r="225" spans="1:14" x14ac:dyDescent="0.25">
      <c r="A225" s="44" t="s">
        <v>274</v>
      </c>
      <c r="B225" s="44" t="s">
        <v>1813</v>
      </c>
      <c r="C225" s="44" t="s">
        <v>1808</v>
      </c>
      <c r="D225" s="44" t="s">
        <v>1830</v>
      </c>
      <c r="E225" s="45">
        <f t="shared" si="4"/>
        <v>49166</v>
      </c>
      <c r="F225" s="45">
        <v>49166</v>
      </c>
      <c r="G225" s="45"/>
      <c r="H225" s="45"/>
      <c r="I225" s="45"/>
      <c r="J225" s="45"/>
      <c r="K225" s="45"/>
      <c r="L225" s="45"/>
      <c r="M225" s="45"/>
      <c r="N225" s="45">
        <v>49166</v>
      </c>
    </row>
    <row r="226" spans="1:14" x14ac:dyDescent="0.25">
      <c r="A226" s="44" t="s">
        <v>275</v>
      </c>
      <c r="B226" s="44" t="s">
        <v>449</v>
      </c>
      <c r="C226" s="44" t="s">
        <v>1808</v>
      </c>
      <c r="D226" s="44" t="s">
        <v>1838</v>
      </c>
      <c r="E226" s="45">
        <f t="shared" si="4"/>
        <v>8748.0400000000009</v>
      </c>
      <c r="F226" s="45"/>
      <c r="G226" s="45"/>
      <c r="H226" s="45"/>
      <c r="I226" s="45"/>
      <c r="J226" s="45"/>
      <c r="K226" s="45"/>
      <c r="L226" s="45">
        <v>8748.0400000000009</v>
      </c>
      <c r="M226" s="45"/>
      <c r="N226" s="45">
        <v>8748.0400000000009</v>
      </c>
    </row>
    <row r="227" spans="1:14" x14ac:dyDescent="0.25">
      <c r="A227" s="44" t="s">
        <v>277</v>
      </c>
      <c r="B227" s="44" t="s">
        <v>393</v>
      </c>
      <c r="C227" s="44" t="s">
        <v>1808</v>
      </c>
      <c r="D227" s="44" t="s">
        <v>1810</v>
      </c>
      <c r="E227" s="45">
        <f t="shared" si="4"/>
        <v>356</v>
      </c>
      <c r="F227" s="45"/>
      <c r="G227" s="45"/>
      <c r="H227" s="45"/>
      <c r="I227" s="45"/>
      <c r="J227" s="45"/>
      <c r="K227" s="45"/>
      <c r="L227" s="45">
        <v>356</v>
      </c>
      <c r="M227" s="45"/>
      <c r="N227" s="45">
        <v>356</v>
      </c>
    </row>
    <row r="228" spans="1:14" x14ac:dyDescent="0.25">
      <c r="A228" s="44" t="s">
        <v>278</v>
      </c>
      <c r="B228" s="44" t="s">
        <v>642</v>
      </c>
      <c r="C228" s="44" t="s">
        <v>1829</v>
      </c>
      <c r="D228" s="44" t="s">
        <v>1830</v>
      </c>
      <c r="E228" s="45">
        <f t="shared" si="4"/>
        <v>3374752.9000000004</v>
      </c>
      <c r="F228" s="45">
        <v>925604.70000000007</v>
      </c>
      <c r="G228" s="45">
        <v>2301149</v>
      </c>
      <c r="H228" s="45">
        <v>147999.20000000001</v>
      </c>
      <c r="I228" s="45"/>
      <c r="J228" s="45"/>
      <c r="K228" s="45"/>
      <c r="L228" s="45"/>
      <c r="M228" s="45"/>
      <c r="N228" s="45">
        <v>3374752.9000000004</v>
      </c>
    </row>
    <row r="229" spans="1:14" x14ac:dyDescent="0.25">
      <c r="A229" s="44" t="s">
        <v>279</v>
      </c>
      <c r="B229" s="44" t="s">
        <v>341</v>
      </c>
      <c r="C229" s="44" t="s">
        <v>1806</v>
      </c>
      <c r="D229" s="44" t="s">
        <v>1806</v>
      </c>
      <c r="E229" s="45">
        <f t="shared" si="4"/>
        <v>162487</v>
      </c>
      <c r="F229" s="45"/>
      <c r="G229" s="45"/>
      <c r="H229" s="45"/>
      <c r="I229" s="45"/>
      <c r="J229" s="45"/>
      <c r="K229" s="45"/>
      <c r="L229" s="45"/>
      <c r="M229" s="45">
        <v>162487</v>
      </c>
      <c r="N229" s="45">
        <v>162487</v>
      </c>
    </row>
    <row r="230" spans="1:14" x14ac:dyDescent="0.25">
      <c r="A230" s="44" t="s">
        <v>280</v>
      </c>
      <c r="B230" s="44" t="s">
        <v>402</v>
      </c>
      <c r="C230" s="44" t="s">
        <v>1806</v>
      </c>
      <c r="D230" s="44" t="s">
        <v>1806</v>
      </c>
      <c r="E230" s="45">
        <f t="shared" si="4"/>
        <v>249282.08</v>
      </c>
      <c r="F230" s="45"/>
      <c r="G230" s="45"/>
      <c r="H230" s="45"/>
      <c r="I230" s="45"/>
      <c r="J230" s="45"/>
      <c r="K230" s="45">
        <v>249282.08</v>
      </c>
      <c r="L230" s="45"/>
      <c r="M230" s="45"/>
      <c r="N230" s="45">
        <v>249282.08</v>
      </c>
    </row>
    <row r="231" spans="1:14" x14ac:dyDescent="0.25">
      <c r="A231" s="44" t="s">
        <v>281</v>
      </c>
      <c r="B231" s="44" t="s">
        <v>402</v>
      </c>
      <c r="C231" s="44" t="s">
        <v>1806</v>
      </c>
      <c r="D231" s="44" t="s">
        <v>1806</v>
      </c>
      <c r="E231" s="45">
        <f t="shared" si="4"/>
        <v>199446.12</v>
      </c>
      <c r="F231" s="45"/>
      <c r="G231" s="45"/>
      <c r="H231" s="45"/>
      <c r="I231" s="45"/>
      <c r="J231" s="45"/>
      <c r="K231" s="45"/>
      <c r="L231" s="45"/>
      <c r="M231" s="45">
        <v>199446.12</v>
      </c>
      <c r="N231" s="45">
        <v>199446.12</v>
      </c>
    </row>
    <row r="232" spans="1:14" x14ac:dyDescent="0.25">
      <c r="A232" s="44" t="s">
        <v>282</v>
      </c>
      <c r="B232" s="44" t="s">
        <v>341</v>
      </c>
      <c r="C232" s="44" t="s">
        <v>1808</v>
      </c>
      <c r="D232" s="44" t="s">
        <v>1838</v>
      </c>
      <c r="E232" s="45">
        <f t="shared" si="4"/>
        <v>756002.67999999993</v>
      </c>
      <c r="F232" s="45">
        <v>444576.22000000003</v>
      </c>
      <c r="G232" s="45">
        <v>59069.34</v>
      </c>
      <c r="H232" s="45">
        <v>61023.199999999997</v>
      </c>
      <c r="I232" s="45"/>
      <c r="J232" s="45"/>
      <c r="K232" s="45">
        <v>52935.96</v>
      </c>
      <c r="L232" s="45">
        <v>138397.96</v>
      </c>
      <c r="M232" s="45"/>
      <c r="N232" s="45">
        <v>756002.67999999993</v>
      </c>
    </row>
    <row r="233" spans="1:14" x14ac:dyDescent="0.25">
      <c r="A233" s="44" t="s">
        <v>283</v>
      </c>
      <c r="B233" s="44" t="s">
        <v>553</v>
      </c>
      <c r="C233" s="44" t="s">
        <v>1817</v>
      </c>
      <c r="D233" s="44" t="s">
        <v>1848</v>
      </c>
      <c r="E233" s="45">
        <f t="shared" si="4"/>
        <v>1144500</v>
      </c>
      <c r="F233" s="45"/>
      <c r="G233" s="45"/>
      <c r="H233" s="45">
        <v>1144500</v>
      </c>
      <c r="I233" s="45"/>
      <c r="J233" s="45"/>
      <c r="K233" s="45"/>
      <c r="L233" s="45"/>
      <c r="M233" s="45"/>
      <c r="N233" s="45">
        <v>1144500</v>
      </c>
    </row>
    <row r="234" spans="1:14" x14ac:dyDescent="0.25">
      <c r="A234" s="44" t="s">
        <v>284</v>
      </c>
      <c r="B234" s="44" t="s">
        <v>1813</v>
      </c>
      <c r="C234" s="44" t="s">
        <v>1808</v>
      </c>
      <c r="D234" s="44" t="s">
        <v>1831</v>
      </c>
      <c r="E234" s="45">
        <f t="shared" si="4"/>
        <v>126460.6</v>
      </c>
      <c r="F234" s="45"/>
      <c r="G234" s="45">
        <v>126460.6</v>
      </c>
      <c r="H234" s="45"/>
      <c r="I234" s="45"/>
      <c r="J234" s="45"/>
      <c r="K234" s="45"/>
      <c r="L234" s="45"/>
      <c r="M234" s="45"/>
      <c r="N234" s="45">
        <v>126460.6</v>
      </c>
    </row>
    <row r="235" spans="1:14" x14ac:dyDescent="0.25">
      <c r="A235" s="44" t="s">
        <v>285</v>
      </c>
      <c r="B235" s="44" t="s">
        <v>449</v>
      </c>
      <c r="C235" s="44" t="s">
        <v>1846</v>
      </c>
      <c r="D235" s="44" t="s">
        <v>1846</v>
      </c>
      <c r="E235" s="45">
        <f t="shared" si="4"/>
        <v>0.4</v>
      </c>
      <c r="F235" s="45">
        <v>0.4</v>
      </c>
      <c r="G235" s="45"/>
      <c r="H235" s="45"/>
      <c r="I235" s="45"/>
      <c r="J235" s="45"/>
      <c r="K235" s="45"/>
      <c r="L235" s="45"/>
      <c r="M235" s="45"/>
      <c r="N235" s="45">
        <v>0.4</v>
      </c>
    </row>
    <row r="236" spans="1:14" x14ac:dyDescent="0.25">
      <c r="A236" s="44" t="s">
        <v>286</v>
      </c>
      <c r="B236" s="44" t="s">
        <v>449</v>
      </c>
      <c r="C236" s="44" t="s">
        <v>1846</v>
      </c>
      <c r="D236" s="44" t="s">
        <v>1846</v>
      </c>
      <c r="E236" s="45">
        <f t="shared" si="4"/>
        <v>212400</v>
      </c>
      <c r="F236" s="45">
        <v>212400</v>
      </c>
      <c r="G236" s="45"/>
      <c r="H236" s="45"/>
      <c r="I236" s="45"/>
      <c r="J236" s="45"/>
      <c r="K236" s="45"/>
      <c r="L236" s="45"/>
      <c r="M236" s="45"/>
      <c r="N236" s="45">
        <v>212400</v>
      </c>
    </row>
    <row r="237" spans="1:14" x14ac:dyDescent="0.25">
      <c r="A237" s="44" t="s">
        <v>287</v>
      </c>
      <c r="B237" s="44" t="s">
        <v>402</v>
      </c>
      <c r="C237" s="44" t="s">
        <v>1846</v>
      </c>
      <c r="D237" s="44" t="s">
        <v>1806</v>
      </c>
      <c r="E237" s="45">
        <f t="shared" si="4"/>
        <v>79500</v>
      </c>
      <c r="F237" s="45"/>
      <c r="G237" s="45"/>
      <c r="H237" s="45"/>
      <c r="I237" s="45"/>
      <c r="J237" s="45"/>
      <c r="K237" s="45"/>
      <c r="L237" s="45"/>
      <c r="M237" s="45">
        <v>79500</v>
      </c>
      <c r="N237" s="45">
        <v>79500</v>
      </c>
    </row>
    <row r="238" spans="1:14" x14ac:dyDescent="0.25">
      <c r="A238" s="44" t="s">
        <v>1751</v>
      </c>
      <c r="B238" s="44" t="s">
        <v>449</v>
      </c>
      <c r="C238" s="44" t="s">
        <v>1846</v>
      </c>
      <c r="D238" s="44" t="s">
        <v>1846</v>
      </c>
      <c r="E238" s="45">
        <f t="shared" si="4"/>
        <v>0</v>
      </c>
      <c r="F238" s="45">
        <v>0</v>
      </c>
      <c r="G238" s="45"/>
      <c r="H238" s="45"/>
      <c r="I238" s="45"/>
      <c r="J238" s="45"/>
      <c r="K238" s="45"/>
      <c r="L238" s="45"/>
      <c r="M238" s="45"/>
      <c r="N238" s="45">
        <v>0</v>
      </c>
    </row>
    <row r="239" spans="1:14" x14ac:dyDescent="0.25">
      <c r="A239" s="44" t="s">
        <v>288</v>
      </c>
      <c r="B239" s="44" t="s">
        <v>393</v>
      </c>
      <c r="C239" s="44" t="s">
        <v>1808</v>
      </c>
      <c r="D239" s="44" t="s">
        <v>1832</v>
      </c>
      <c r="E239" s="45">
        <f t="shared" si="4"/>
        <v>20298.82</v>
      </c>
      <c r="F239" s="45">
        <v>20298.82</v>
      </c>
      <c r="G239" s="45"/>
      <c r="H239" s="45"/>
      <c r="I239" s="45"/>
      <c r="J239" s="45"/>
      <c r="K239" s="45"/>
      <c r="L239" s="45"/>
      <c r="M239" s="45"/>
      <c r="N239" s="45">
        <v>20298.82</v>
      </c>
    </row>
    <row r="240" spans="1:14" x14ac:dyDescent="0.25">
      <c r="A240" s="44" t="s">
        <v>289</v>
      </c>
      <c r="B240" s="44" t="s">
        <v>435</v>
      </c>
      <c r="C240" s="44" t="s">
        <v>1829</v>
      </c>
      <c r="D240" s="44" t="s">
        <v>1830</v>
      </c>
      <c r="E240" s="45">
        <f t="shared" si="4"/>
        <v>7099301</v>
      </c>
      <c r="F240" s="45">
        <v>4593637</v>
      </c>
      <c r="G240" s="45">
        <v>2155755</v>
      </c>
      <c r="H240" s="45">
        <v>349909</v>
      </c>
      <c r="I240" s="45"/>
      <c r="J240" s="45"/>
      <c r="K240" s="45"/>
      <c r="L240" s="45"/>
      <c r="M240" s="45"/>
      <c r="N240" s="45">
        <v>7099301</v>
      </c>
    </row>
    <row r="241" spans="1:14" x14ac:dyDescent="0.25">
      <c r="A241" s="44" t="s">
        <v>291</v>
      </c>
      <c r="B241" s="44" t="s">
        <v>561</v>
      </c>
      <c r="C241" s="44" t="s">
        <v>1829</v>
      </c>
      <c r="D241" s="44" t="s">
        <v>1830</v>
      </c>
      <c r="E241" s="45">
        <f t="shared" si="4"/>
        <v>480298</v>
      </c>
      <c r="F241" s="45">
        <v>480298</v>
      </c>
      <c r="G241" s="45"/>
      <c r="H241" s="45"/>
      <c r="I241" s="45"/>
      <c r="J241" s="45"/>
      <c r="K241" s="45"/>
      <c r="L241" s="45"/>
      <c r="M241" s="45"/>
      <c r="N241" s="45">
        <v>480298</v>
      </c>
    </row>
    <row r="242" spans="1:14" x14ac:dyDescent="0.25">
      <c r="A242" s="44" t="s">
        <v>292</v>
      </c>
      <c r="B242" s="44" t="s">
        <v>379</v>
      </c>
      <c r="C242" s="44" t="s">
        <v>1808</v>
      </c>
      <c r="D242" s="44" t="s">
        <v>1844</v>
      </c>
      <c r="E242" s="45">
        <f t="shared" si="4"/>
        <v>1354201.6</v>
      </c>
      <c r="F242" s="45">
        <v>1354201.6</v>
      </c>
      <c r="G242" s="45"/>
      <c r="H242" s="45"/>
      <c r="I242" s="45"/>
      <c r="J242" s="45"/>
      <c r="K242" s="45"/>
      <c r="L242" s="45"/>
      <c r="M242" s="45"/>
      <c r="N242" s="45">
        <v>1354201.6</v>
      </c>
    </row>
    <row r="243" spans="1:14" x14ac:dyDescent="0.25">
      <c r="A243" s="44" t="s">
        <v>295</v>
      </c>
      <c r="B243" s="44" t="s">
        <v>1807</v>
      </c>
      <c r="C243" s="44" t="s">
        <v>1808</v>
      </c>
      <c r="D243" s="44" t="s">
        <v>1836</v>
      </c>
      <c r="E243" s="45">
        <f t="shared" si="4"/>
        <v>106731</v>
      </c>
      <c r="F243" s="45">
        <v>106731</v>
      </c>
      <c r="G243" s="45"/>
      <c r="H243" s="45"/>
      <c r="I243" s="45"/>
      <c r="J243" s="45"/>
      <c r="K243" s="45"/>
      <c r="L243" s="45"/>
      <c r="M243" s="45"/>
      <c r="N243" s="45">
        <v>106731</v>
      </c>
    </row>
    <row r="244" spans="1:14" x14ac:dyDescent="0.25">
      <c r="A244" s="44" t="s">
        <v>297</v>
      </c>
      <c r="B244" s="44" t="s">
        <v>373</v>
      </c>
      <c r="C244" s="44" t="s">
        <v>1808</v>
      </c>
      <c r="D244" s="44" t="s">
        <v>1836</v>
      </c>
      <c r="E244" s="45">
        <f t="shared" si="4"/>
        <v>21724</v>
      </c>
      <c r="F244" s="45">
        <v>21724</v>
      </c>
      <c r="G244" s="45"/>
      <c r="H244" s="45"/>
      <c r="I244" s="45"/>
      <c r="J244" s="45"/>
      <c r="K244" s="45"/>
      <c r="L244" s="45"/>
      <c r="M244" s="45"/>
      <c r="N244" s="45">
        <v>21724</v>
      </c>
    </row>
    <row r="245" spans="1:14" x14ac:dyDescent="0.25">
      <c r="A245" s="44" t="s">
        <v>298</v>
      </c>
      <c r="B245" s="44" t="s">
        <v>1816</v>
      </c>
      <c r="C245" s="44" t="s">
        <v>1808</v>
      </c>
      <c r="D245" s="44" t="s">
        <v>1836</v>
      </c>
      <c r="E245" s="45">
        <f t="shared" si="4"/>
        <v>64615.62</v>
      </c>
      <c r="F245" s="45"/>
      <c r="G245" s="45">
        <v>12644.88</v>
      </c>
      <c r="H245" s="45"/>
      <c r="I245" s="45"/>
      <c r="J245" s="45">
        <v>51970.740000000005</v>
      </c>
      <c r="K245" s="45"/>
      <c r="L245" s="45"/>
      <c r="M245" s="45"/>
      <c r="N245" s="45">
        <v>64615.62</v>
      </c>
    </row>
    <row r="246" spans="1:14" x14ac:dyDescent="0.25">
      <c r="A246" s="44" t="s">
        <v>299</v>
      </c>
      <c r="B246" s="44" t="s">
        <v>449</v>
      </c>
      <c r="C246" s="44" t="s">
        <v>1808</v>
      </c>
      <c r="D246" s="44" t="s">
        <v>1832</v>
      </c>
      <c r="E246" s="45">
        <f t="shared" si="4"/>
        <v>15914.04</v>
      </c>
      <c r="F246" s="45">
        <v>15914.04</v>
      </c>
      <c r="G246" s="45"/>
      <c r="H246" s="45"/>
      <c r="I246" s="45"/>
      <c r="J246" s="45"/>
      <c r="K246" s="45"/>
      <c r="L246" s="45"/>
      <c r="M246" s="45"/>
      <c r="N246" s="45">
        <v>15914.04</v>
      </c>
    </row>
    <row r="247" spans="1:14" x14ac:dyDescent="0.25">
      <c r="A247" s="44" t="s">
        <v>300</v>
      </c>
      <c r="B247" s="44" t="s">
        <v>402</v>
      </c>
      <c r="C247" s="44" t="s">
        <v>1808</v>
      </c>
      <c r="D247" s="44" t="s">
        <v>1831</v>
      </c>
      <c r="E247" s="45">
        <f t="shared" si="4"/>
        <v>57291.360000000001</v>
      </c>
      <c r="F247" s="45">
        <v>57291.360000000001</v>
      </c>
      <c r="G247" s="45"/>
      <c r="H247" s="45"/>
      <c r="I247" s="45"/>
      <c r="J247" s="45"/>
      <c r="K247" s="45"/>
      <c r="L247" s="45"/>
      <c r="M247" s="45"/>
      <c r="N247" s="45">
        <v>57291.360000000001</v>
      </c>
    </row>
    <row r="248" spans="1:14" x14ac:dyDescent="0.25">
      <c r="A248" s="44" t="s">
        <v>301</v>
      </c>
      <c r="B248" s="44" t="s">
        <v>426</v>
      </c>
      <c r="C248" s="44" t="s">
        <v>1829</v>
      </c>
      <c r="D248" s="44" t="s">
        <v>1830</v>
      </c>
      <c r="E248" s="45">
        <f t="shared" si="4"/>
        <v>507564.9</v>
      </c>
      <c r="F248" s="45">
        <v>507564.9</v>
      </c>
      <c r="G248" s="45"/>
      <c r="H248" s="45"/>
      <c r="I248" s="45"/>
      <c r="J248" s="45"/>
      <c r="K248" s="45"/>
      <c r="L248" s="45"/>
      <c r="M248" s="45"/>
      <c r="N248" s="45">
        <v>507564.9</v>
      </c>
    </row>
    <row r="249" spans="1:14" x14ac:dyDescent="0.25">
      <c r="A249" s="44" t="s">
        <v>303</v>
      </c>
      <c r="B249" s="44" t="s">
        <v>1826</v>
      </c>
      <c r="C249" s="44" t="s">
        <v>1808</v>
      </c>
      <c r="D249" s="44" t="s">
        <v>1819</v>
      </c>
      <c r="E249" s="45">
        <f t="shared" si="4"/>
        <v>200231</v>
      </c>
      <c r="F249" s="45">
        <v>200231</v>
      </c>
      <c r="G249" s="45"/>
      <c r="H249" s="45"/>
      <c r="I249" s="45"/>
      <c r="J249" s="45"/>
      <c r="K249" s="45"/>
      <c r="L249" s="45"/>
      <c r="M249" s="45"/>
      <c r="N249" s="45">
        <v>200231</v>
      </c>
    </row>
    <row r="250" spans="1:14" x14ac:dyDescent="0.25">
      <c r="A250" s="44" t="s">
        <v>302</v>
      </c>
      <c r="B250" s="44" t="s">
        <v>1807</v>
      </c>
      <c r="C250" s="44" t="s">
        <v>1808</v>
      </c>
      <c r="D250" s="44" t="s">
        <v>1819</v>
      </c>
      <c r="E250" s="45">
        <f t="shared" si="4"/>
        <v>413790.11</v>
      </c>
      <c r="F250" s="45">
        <v>413790.11</v>
      </c>
      <c r="G250" s="45"/>
      <c r="H250" s="45"/>
      <c r="I250" s="45"/>
      <c r="J250" s="45"/>
      <c r="K250" s="45"/>
      <c r="L250" s="45"/>
      <c r="M250" s="45"/>
      <c r="N250" s="45">
        <v>413790.11</v>
      </c>
    </row>
    <row r="251" spans="1:14" x14ac:dyDescent="0.25">
      <c r="A251" s="44" t="s">
        <v>304</v>
      </c>
      <c r="B251" s="44" t="s">
        <v>402</v>
      </c>
      <c r="C251" s="44" t="s">
        <v>1806</v>
      </c>
      <c r="D251" s="44" t="s">
        <v>1806</v>
      </c>
      <c r="E251" s="45">
        <f t="shared" si="4"/>
        <v>1293982.6299999999</v>
      </c>
      <c r="F251" s="45"/>
      <c r="G251" s="45"/>
      <c r="H251" s="45"/>
      <c r="I251" s="45"/>
      <c r="J251" s="45"/>
      <c r="K251" s="45"/>
      <c r="L251" s="45">
        <v>1293982.6299999999</v>
      </c>
      <c r="M251" s="45"/>
      <c r="N251" s="45">
        <v>1293982.6299999999</v>
      </c>
    </row>
    <row r="252" spans="1:14" x14ac:dyDescent="0.25">
      <c r="A252" s="44" t="s">
        <v>305</v>
      </c>
      <c r="B252" s="44" t="s">
        <v>393</v>
      </c>
      <c r="C252" s="44" t="s">
        <v>1806</v>
      </c>
      <c r="D252" s="44" t="s">
        <v>1830</v>
      </c>
      <c r="E252" s="45">
        <f t="shared" si="4"/>
        <v>986000</v>
      </c>
      <c r="F252" s="45">
        <v>986000</v>
      </c>
      <c r="G252" s="45"/>
      <c r="H252" s="45"/>
      <c r="I252" s="45"/>
      <c r="J252" s="45"/>
      <c r="K252" s="45"/>
      <c r="L252" s="45"/>
      <c r="M252" s="45"/>
      <c r="N252" s="45">
        <v>986000</v>
      </c>
    </row>
    <row r="253" spans="1:14" x14ac:dyDescent="0.25">
      <c r="A253" s="44" t="s">
        <v>307</v>
      </c>
      <c r="B253" s="44" t="s">
        <v>373</v>
      </c>
      <c r="C253" s="44" t="s">
        <v>1808</v>
      </c>
      <c r="D253" s="44" t="s">
        <v>1832</v>
      </c>
      <c r="E253" s="45">
        <f t="shared" si="4"/>
        <v>4112</v>
      </c>
      <c r="F253" s="45">
        <v>4112</v>
      </c>
      <c r="G253" s="45"/>
      <c r="H253" s="45"/>
      <c r="I253" s="45"/>
      <c r="J253" s="45"/>
      <c r="K253" s="45"/>
      <c r="L253" s="45"/>
      <c r="M253" s="45"/>
      <c r="N253" s="45">
        <v>4112</v>
      </c>
    </row>
    <row r="254" spans="1:14" x14ac:dyDescent="0.25">
      <c r="A254" s="44" t="s">
        <v>308</v>
      </c>
      <c r="B254" s="44" t="s">
        <v>553</v>
      </c>
      <c r="C254" s="44" t="s">
        <v>1817</v>
      </c>
      <c r="D254" s="44" t="s">
        <v>1851</v>
      </c>
      <c r="E254" s="45">
        <f t="shared" si="4"/>
        <v>2908690.52</v>
      </c>
      <c r="F254" s="45">
        <v>2908690.52</v>
      </c>
      <c r="G254" s="45"/>
      <c r="H254" s="45"/>
      <c r="I254" s="45"/>
      <c r="J254" s="45"/>
      <c r="K254" s="45"/>
      <c r="L254" s="45"/>
      <c r="M254" s="45"/>
      <c r="N254" s="45">
        <v>2908690.52</v>
      </c>
    </row>
    <row r="255" spans="1:14" x14ac:dyDescent="0.25">
      <c r="A255" s="44" t="s">
        <v>309</v>
      </c>
      <c r="B255" s="44" t="s">
        <v>341</v>
      </c>
      <c r="C255" s="44" t="s">
        <v>1829</v>
      </c>
      <c r="D255" s="44" t="s">
        <v>1830</v>
      </c>
      <c r="E255" s="45">
        <f t="shared" si="4"/>
        <v>861092.66</v>
      </c>
      <c r="F255" s="45">
        <v>861092.66</v>
      </c>
      <c r="G255" s="45"/>
      <c r="H255" s="45"/>
      <c r="I255" s="45"/>
      <c r="J255" s="45"/>
      <c r="K255" s="45"/>
      <c r="L255" s="45"/>
      <c r="M255" s="45"/>
      <c r="N255" s="45">
        <v>861092.66</v>
      </c>
    </row>
    <row r="256" spans="1:14" x14ac:dyDescent="0.25">
      <c r="A256" s="44" t="s">
        <v>1464</v>
      </c>
      <c r="B256" s="44" t="s">
        <v>402</v>
      </c>
      <c r="C256" s="44" t="s">
        <v>1808</v>
      </c>
      <c r="D256" s="44" t="s">
        <v>1857</v>
      </c>
      <c r="E256" s="45">
        <f t="shared" si="4"/>
        <v>0</v>
      </c>
      <c r="F256" s="45">
        <v>0</v>
      </c>
      <c r="G256" s="45"/>
      <c r="H256" s="45"/>
      <c r="I256" s="45"/>
      <c r="J256" s="45"/>
      <c r="K256" s="45"/>
      <c r="L256" s="45"/>
      <c r="M256" s="45"/>
      <c r="N256" s="45">
        <v>0</v>
      </c>
    </row>
    <row r="257" spans="1:14" x14ac:dyDescent="0.25">
      <c r="A257" s="44" t="s">
        <v>310</v>
      </c>
      <c r="B257" s="44" t="s">
        <v>1807</v>
      </c>
      <c r="C257" s="44" t="s">
        <v>1817</v>
      </c>
      <c r="D257" s="44" t="s">
        <v>1807</v>
      </c>
      <c r="E257" s="45">
        <f>SUM(F257:M257)</f>
        <v>199527</v>
      </c>
      <c r="F257" s="45"/>
      <c r="G257" s="45"/>
      <c r="H257" s="45"/>
      <c r="I257" s="45"/>
      <c r="J257" s="45"/>
      <c r="K257" s="45">
        <v>9738.7199999999993</v>
      </c>
      <c r="L257" s="45">
        <v>189788.28</v>
      </c>
      <c r="M257" s="45"/>
      <c r="N257" s="45">
        <v>199527</v>
      </c>
    </row>
    <row r="258" spans="1:14" x14ac:dyDescent="0.25">
      <c r="A258" s="46" t="s">
        <v>312</v>
      </c>
      <c r="B258" s="44"/>
      <c r="C258" s="46"/>
      <c r="D258" s="46"/>
      <c r="E258" s="48">
        <f>SUM(E5:E257)</f>
        <v>323930704.60999995</v>
      </c>
      <c r="F258" s="48">
        <f>SUM(F5:F257)</f>
        <v>103013705.73000005</v>
      </c>
      <c r="G258" s="48">
        <f t="shared" ref="G258:N258" si="5">SUM(G5:G257)</f>
        <v>94247248.579999983</v>
      </c>
      <c r="H258" s="48">
        <f t="shared" si="5"/>
        <v>18918674.100000001</v>
      </c>
      <c r="I258" s="48">
        <f t="shared" si="5"/>
        <v>16311613.699999999</v>
      </c>
      <c r="J258" s="48">
        <f t="shared" si="5"/>
        <v>3220010.93</v>
      </c>
      <c r="K258" s="48">
        <f t="shared" si="5"/>
        <v>12430620.75</v>
      </c>
      <c r="L258" s="48">
        <f t="shared" si="5"/>
        <v>52779019.780000009</v>
      </c>
      <c r="M258" s="48">
        <f t="shared" si="5"/>
        <v>23009811.039999999</v>
      </c>
      <c r="N258" s="48">
        <f t="shared" si="5"/>
        <v>323930704.60999995</v>
      </c>
    </row>
  </sheetData>
  <autoFilter ref="A4:N258"/>
  <pageMargins left="0.7" right="0.7" top="0.75" bottom="0.75" header="0.3" footer="0.3"/>
  <ignoredErrors>
    <ignoredError sqref="E5:E257 F3:L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43"/>
  <sheetViews>
    <sheetView workbookViewId="0"/>
  </sheetViews>
  <sheetFormatPr defaultRowHeight="15" x14ac:dyDescent="0.25"/>
  <cols>
    <col min="1" max="1" width="9.85546875" style="1" bestFit="1" customWidth="1"/>
    <col min="2" max="2" width="26.140625" style="1" bestFit="1" customWidth="1"/>
    <col min="3" max="3" width="61" style="1" bestFit="1" customWidth="1"/>
    <col min="4" max="5" width="9.140625" style="1"/>
    <col min="6" max="6" width="15.140625" style="1" bestFit="1" customWidth="1"/>
    <col min="7" max="7" width="15.28515625" style="1" bestFit="1" customWidth="1"/>
    <col min="8" max="8" width="9.7109375" style="1" bestFit="1" customWidth="1"/>
    <col min="9" max="9" width="14.5703125" style="1" bestFit="1" customWidth="1"/>
    <col min="10" max="10" width="15.5703125" style="1" bestFit="1" customWidth="1"/>
    <col min="11" max="11" width="15.140625" style="1" bestFit="1" customWidth="1"/>
    <col min="12" max="16384" width="9.140625" style="1"/>
  </cols>
  <sheetData>
    <row r="1" spans="1:11" x14ac:dyDescent="0.25">
      <c r="A1" s="2" t="s">
        <v>313</v>
      </c>
      <c r="B1" s="25" t="s">
        <v>5</v>
      </c>
      <c r="C1" s="25"/>
      <c r="D1" s="26" t="s">
        <v>7</v>
      </c>
      <c r="E1" s="26"/>
      <c r="F1" s="26"/>
      <c r="G1" s="26"/>
      <c r="H1" s="13"/>
      <c r="I1" s="41">
        <v>46081</v>
      </c>
      <c r="J1" s="13"/>
    </row>
    <row r="2" spans="1:11" x14ac:dyDescent="0.25">
      <c r="A2" s="2" t="s">
        <v>314</v>
      </c>
      <c r="B2" s="25" t="s">
        <v>315</v>
      </c>
      <c r="C2" s="25"/>
      <c r="D2" s="13"/>
      <c r="E2" s="13"/>
      <c r="F2" s="13"/>
      <c r="G2" s="13"/>
      <c r="H2" s="13"/>
      <c r="I2" s="13"/>
      <c r="J2" s="13"/>
    </row>
    <row r="3" spans="1:11" x14ac:dyDescent="0.25">
      <c r="A3" s="14" t="s">
        <v>8</v>
      </c>
      <c r="B3" s="14"/>
      <c r="C3" s="13"/>
      <c r="D3" s="13"/>
      <c r="E3" s="13"/>
      <c r="F3" s="13"/>
      <c r="G3" s="13"/>
      <c r="H3" s="13"/>
      <c r="I3" s="13"/>
      <c r="J3" s="13"/>
    </row>
    <row r="4" spans="1:11" x14ac:dyDescent="0.25">
      <c r="A4" s="35" t="s">
        <v>316</v>
      </c>
      <c r="B4" s="33" t="s">
        <v>317</v>
      </c>
      <c r="C4" s="33" t="s">
        <v>318</v>
      </c>
      <c r="D4" s="34" t="s">
        <v>319</v>
      </c>
      <c r="E4" s="34"/>
      <c r="F4" s="35" t="s">
        <v>321</v>
      </c>
      <c r="G4" s="35" t="s">
        <v>321</v>
      </c>
      <c r="H4" s="35" t="s">
        <v>320</v>
      </c>
      <c r="I4" s="35" t="s">
        <v>1824</v>
      </c>
      <c r="J4" s="35" t="s">
        <v>1769</v>
      </c>
      <c r="K4" s="43" t="s">
        <v>1823</v>
      </c>
    </row>
    <row r="5" spans="1:11" x14ac:dyDescent="0.25">
      <c r="A5" s="38">
        <v>44357</v>
      </c>
      <c r="B5" s="33" t="s">
        <v>322</v>
      </c>
      <c r="C5" s="36" t="s">
        <v>164</v>
      </c>
      <c r="D5" s="34" t="s">
        <v>323</v>
      </c>
      <c r="E5" s="34"/>
      <c r="F5" s="37">
        <v>85567</v>
      </c>
      <c r="G5" s="37">
        <v>85567</v>
      </c>
      <c r="H5" s="38">
        <v>44357</v>
      </c>
      <c r="I5" s="38" t="s">
        <v>1821</v>
      </c>
      <c r="J5" s="42">
        <v>1724</v>
      </c>
      <c r="K5" s="43">
        <v>85567</v>
      </c>
    </row>
    <row r="6" spans="1:11" x14ac:dyDescent="0.25">
      <c r="A6" s="38">
        <v>44361</v>
      </c>
      <c r="B6" s="33" t="s">
        <v>324</v>
      </c>
      <c r="C6" s="36" t="s">
        <v>164</v>
      </c>
      <c r="D6" s="34" t="s">
        <v>323</v>
      </c>
      <c r="E6" s="34"/>
      <c r="F6" s="37">
        <v>62940</v>
      </c>
      <c r="G6" s="37">
        <v>62940</v>
      </c>
      <c r="H6" s="38">
        <v>44361</v>
      </c>
      <c r="I6" s="38" t="s">
        <v>1821</v>
      </c>
      <c r="J6" s="42">
        <v>1720</v>
      </c>
      <c r="K6" s="43">
        <v>62940</v>
      </c>
    </row>
    <row r="7" spans="1:11" x14ac:dyDescent="0.25">
      <c r="A7" s="38">
        <v>44383</v>
      </c>
      <c r="B7" s="33" t="s">
        <v>325</v>
      </c>
      <c r="C7" s="36" t="s">
        <v>164</v>
      </c>
      <c r="D7" s="34" t="s">
        <v>323</v>
      </c>
      <c r="E7" s="34"/>
      <c r="F7" s="37">
        <v>78182</v>
      </c>
      <c r="G7" s="37">
        <v>78182</v>
      </c>
      <c r="H7" s="38">
        <v>44383</v>
      </c>
      <c r="I7" s="38" t="s">
        <v>1821</v>
      </c>
      <c r="J7" s="42">
        <v>1698</v>
      </c>
      <c r="K7" s="43">
        <v>78182</v>
      </c>
    </row>
    <row r="8" spans="1:11" x14ac:dyDescent="0.25">
      <c r="A8" s="38">
        <v>44400</v>
      </c>
      <c r="B8" s="33" t="s">
        <v>326</v>
      </c>
      <c r="C8" s="36" t="s">
        <v>164</v>
      </c>
      <c r="D8" s="34" t="s">
        <v>323</v>
      </c>
      <c r="E8" s="34"/>
      <c r="F8" s="37">
        <v>73765</v>
      </c>
      <c r="G8" s="37">
        <v>73765</v>
      </c>
      <c r="H8" s="38">
        <v>44400</v>
      </c>
      <c r="I8" s="38" t="s">
        <v>1821</v>
      </c>
      <c r="J8" s="42">
        <v>1681</v>
      </c>
      <c r="K8" s="43">
        <v>73765</v>
      </c>
    </row>
    <row r="9" spans="1:11" x14ac:dyDescent="0.25">
      <c r="A9" s="38">
        <v>44456</v>
      </c>
      <c r="B9" s="33" t="s">
        <v>327</v>
      </c>
      <c r="C9" s="36" t="s">
        <v>164</v>
      </c>
      <c r="D9" s="34" t="s">
        <v>323</v>
      </c>
      <c r="E9" s="34"/>
      <c r="F9" s="37">
        <v>74180</v>
      </c>
      <c r="G9" s="37">
        <v>74180</v>
      </c>
      <c r="H9" s="38">
        <v>44456</v>
      </c>
      <c r="I9" s="38" t="s">
        <v>1821</v>
      </c>
      <c r="J9" s="42">
        <v>1625</v>
      </c>
      <c r="K9" s="43">
        <v>74180</v>
      </c>
    </row>
    <row r="10" spans="1:11" x14ac:dyDescent="0.25">
      <c r="A10" s="38">
        <v>44473</v>
      </c>
      <c r="B10" s="33" t="s">
        <v>328</v>
      </c>
      <c r="C10" s="36" t="s">
        <v>164</v>
      </c>
      <c r="D10" s="34" t="s">
        <v>323</v>
      </c>
      <c r="E10" s="34"/>
      <c r="F10" s="37">
        <v>92865</v>
      </c>
      <c r="G10" s="37">
        <v>92865</v>
      </c>
      <c r="H10" s="38">
        <v>44473</v>
      </c>
      <c r="I10" s="38" t="s">
        <v>1821</v>
      </c>
      <c r="J10" s="42">
        <v>1608</v>
      </c>
      <c r="K10" s="43">
        <v>92865</v>
      </c>
    </row>
    <row r="11" spans="1:11" x14ac:dyDescent="0.25">
      <c r="A11" s="38">
        <v>44488</v>
      </c>
      <c r="B11" s="33" t="s">
        <v>329</v>
      </c>
      <c r="C11" s="36" t="s">
        <v>164</v>
      </c>
      <c r="D11" s="34" t="s">
        <v>323</v>
      </c>
      <c r="E11" s="34"/>
      <c r="F11" s="37">
        <v>71512</v>
      </c>
      <c r="G11" s="37">
        <v>71512</v>
      </c>
      <c r="H11" s="38">
        <v>44488</v>
      </c>
      <c r="I11" s="38" t="s">
        <v>1821</v>
      </c>
      <c r="J11" s="42">
        <v>1593</v>
      </c>
      <c r="K11" s="43">
        <v>71512</v>
      </c>
    </row>
    <row r="12" spans="1:11" x14ac:dyDescent="0.25">
      <c r="A12" s="38">
        <v>44493</v>
      </c>
      <c r="B12" s="33" t="s">
        <v>330</v>
      </c>
      <c r="C12" s="36" t="s">
        <v>164</v>
      </c>
      <c r="D12" s="34" t="s">
        <v>323</v>
      </c>
      <c r="E12" s="34"/>
      <c r="F12" s="37">
        <v>15314</v>
      </c>
      <c r="G12" s="37">
        <v>15314</v>
      </c>
      <c r="H12" s="38">
        <v>44493</v>
      </c>
      <c r="I12" s="38" t="s">
        <v>1821</v>
      </c>
      <c r="J12" s="42">
        <v>1588</v>
      </c>
      <c r="K12" s="43">
        <v>15314</v>
      </c>
    </row>
    <row r="13" spans="1:11" x14ac:dyDescent="0.25">
      <c r="A13" s="38">
        <v>44500</v>
      </c>
      <c r="B13" s="33" t="s">
        <v>331</v>
      </c>
      <c r="C13" s="36" t="s">
        <v>164</v>
      </c>
      <c r="D13" s="34" t="s">
        <v>323</v>
      </c>
      <c r="E13" s="34"/>
      <c r="F13" s="37">
        <v>81842</v>
      </c>
      <c r="G13" s="37">
        <v>81842</v>
      </c>
      <c r="H13" s="38">
        <v>44500</v>
      </c>
      <c r="I13" s="38" t="s">
        <v>1821</v>
      </c>
      <c r="J13" s="42">
        <v>1581</v>
      </c>
      <c r="K13" s="43">
        <v>81842</v>
      </c>
    </row>
    <row r="14" spans="1:11" x14ac:dyDescent="0.25">
      <c r="A14" s="38">
        <v>44535</v>
      </c>
      <c r="B14" s="33" t="s">
        <v>332</v>
      </c>
      <c r="C14" s="36" t="s">
        <v>164</v>
      </c>
      <c r="D14" s="34" t="s">
        <v>323</v>
      </c>
      <c r="E14" s="34"/>
      <c r="F14" s="37">
        <v>19959</v>
      </c>
      <c r="G14" s="37">
        <v>19959</v>
      </c>
      <c r="H14" s="38">
        <v>44535</v>
      </c>
      <c r="I14" s="38" t="s">
        <v>1821</v>
      </c>
      <c r="J14" s="42">
        <v>1546</v>
      </c>
      <c r="K14" s="43">
        <v>19959</v>
      </c>
    </row>
    <row r="15" spans="1:11" x14ac:dyDescent="0.25">
      <c r="A15" s="38">
        <v>44545</v>
      </c>
      <c r="B15" s="33" t="s">
        <v>333</v>
      </c>
      <c r="C15" s="36" t="s">
        <v>166</v>
      </c>
      <c r="D15" s="34" t="s">
        <v>323</v>
      </c>
      <c r="E15" s="34"/>
      <c r="F15" s="37">
        <v>72416</v>
      </c>
      <c r="G15" s="37">
        <v>72416</v>
      </c>
      <c r="H15" s="38">
        <v>44545</v>
      </c>
      <c r="I15" s="38" t="s">
        <v>1821</v>
      </c>
      <c r="J15" s="42">
        <v>1536</v>
      </c>
      <c r="K15" s="43">
        <v>72416</v>
      </c>
    </row>
    <row r="16" spans="1:11" x14ac:dyDescent="0.25">
      <c r="A16" s="38">
        <v>44546</v>
      </c>
      <c r="B16" s="33" t="s">
        <v>334</v>
      </c>
      <c r="C16" s="36" t="s">
        <v>166</v>
      </c>
      <c r="D16" s="34" t="s">
        <v>323</v>
      </c>
      <c r="E16" s="34"/>
      <c r="F16" s="37">
        <v>56484</v>
      </c>
      <c r="G16" s="37">
        <v>56484</v>
      </c>
      <c r="H16" s="38">
        <v>44546</v>
      </c>
      <c r="I16" s="38" t="s">
        <v>1821</v>
      </c>
      <c r="J16" s="42">
        <v>1535</v>
      </c>
      <c r="K16" s="43">
        <v>56484</v>
      </c>
    </row>
    <row r="17" spans="1:11" x14ac:dyDescent="0.25">
      <c r="A17" s="38">
        <v>44549</v>
      </c>
      <c r="B17" s="33" t="s">
        <v>335</v>
      </c>
      <c r="C17" s="36" t="s">
        <v>166</v>
      </c>
      <c r="D17" s="34" t="s">
        <v>323</v>
      </c>
      <c r="E17" s="34"/>
      <c r="F17" s="37">
        <v>62635</v>
      </c>
      <c r="G17" s="37">
        <v>62635</v>
      </c>
      <c r="H17" s="38">
        <v>44549</v>
      </c>
      <c r="I17" s="38" t="s">
        <v>1821</v>
      </c>
      <c r="J17" s="42">
        <v>1532</v>
      </c>
      <c r="K17" s="43">
        <v>62635</v>
      </c>
    </row>
    <row r="18" spans="1:11" x14ac:dyDescent="0.25">
      <c r="A18" s="38">
        <v>44550</v>
      </c>
      <c r="B18" s="33" t="s">
        <v>336</v>
      </c>
      <c r="C18" s="36" t="s">
        <v>166</v>
      </c>
      <c r="D18" s="34" t="s">
        <v>323</v>
      </c>
      <c r="E18" s="34"/>
      <c r="F18" s="37">
        <v>66350</v>
      </c>
      <c r="G18" s="37">
        <v>66350</v>
      </c>
      <c r="H18" s="38">
        <v>44550</v>
      </c>
      <c r="I18" s="38" t="s">
        <v>1821</v>
      </c>
      <c r="J18" s="42">
        <v>1531</v>
      </c>
      <c r="K18" s="43">
        <v>66350</v>
      </c>
    </row>
    <row r="19" spans="1:11" x14ac:dyDescent="0.25">
      <c r="A19" s="38">
        <v>44557</v>
      </c>
      <c r="B19" s="33" t="s">
        <v>337</v>
      </c>
      <c r="C19" s="36" t="s">
        <v>166</v>
      </c>
      <c r="D19" s="34" t="s">
        <v>323</v>
      </c>
      <c r="E19" s="34"/>
      <c r="F19" s="37">
        <v>82711</v>
      </c>
      <c r="G19" s="37">
        <v>82711</v>
      </c>
      <c r="H19" s="38">
        <v>44557</v>
      </c>
      <c r="I19" s="38" t="s">
        <v>1821</v>
      </c>
      <c r="J19" s="42">
        <v>1524</v>
      </c>
      <c r="K19" s="43">
        <v>82711</v>
      </c>
    </row>
    <row r="20" spans="1:11" x14ac:dyDescent="0.25">
      <c r="A20" s="38">
        <v>44558</v>
      </c>
      <c r="B20" s="33" t="s">
        <v>338</v>
      </c>
      <c r="C20" s="36" t="s">
        <v>166</v>
      </c>
      <c r="D20" s="34" t="s">
        <v>323</v>
      </c>
      <c r="E20" s="34"/>
      <c r="F20" s="37">
        <v>76728</v>
      </c>
      <c r="G20" s="37">
        <v>76728</v>
      </c>
      <c r="H20" s="38">
        <v>44558</v>
      </c>
      <c r="I20" s="38" t="s">
        <v>1821</v>
      </c>
      <c r="J20" s="42">
        <v>1523</v>
      </c>
      <c r="K20" s="43">
        <v>76728</v>
      </c>
    </row>
    <row r="21" spans="1:11" x14ac:dyDescent="0.25">
      <c r="A21" s="38">
        <v>44561</v>
      </c>
      <c r="B21" s="33" t="s">
        <v>339</v>
      </c>
      <c r="C21" s="36" t="s">
        <v>164</v>
      </c>
      <c r="D21" s="34" t="s">
        <v>323</v>
      </c>
      <c r="E21" s="34"/>
      <c r="F21" s="37">
        <v>74925</v>
      </c>
      <c r="G21" s="37">
        <v>74925</v>
      </c>
      <c r="H21" s="38">
        <v>44561</v>
      </c>
      <c r="I21" s="38" t="s">
        <v>1821</v>
      </c>
      <c r="J21" s="42">
        <v>1520</v>
      </c>
      <c r="K21" s="43">
        <v>74925</v>
      </c>
    </row>
    <row r="22" spans="1:11" x14ac:dyDescent="0.25">
      <c r="A22" s="38">
        <v>44579</v>
      </c>
      <c r="B22" s="33" t="s">
        <v>340</v>
      </c>
      <c r="C22" s="36" t="s">
        <v>84</v>
      </c>
      <c r="D22" s="34" t="s">
        <v>341</v>
      </c>
      <c r="E22" s="34"/>
      <c r="F22" s="37">
        <v>749280</v>
      </c>
      <c r="G22" s="37">
        <v>749280</v>
      </c>
      <c r="H22" s="38">
        <v>44579</v>
      </c>
      <c r="I22" s="38" t="s">
        <v>1821</v>
      </c>
      <c r="J22" s="42">
        <v>1502</v>
      </c>
      <c r="K22" s="43">
        <v>749280</v>
      </c>
    </row>
    <row r="23" spans="1:11" x14ac:dyDescent="0.25">
      <c r="A23" s="38">
        <v>44592</v>
      </c>
      <c r="B23" s="33" t="s">
        <v>342</v>
      </c>
      <c r="C23" s="36" t="s">
        <v>166</v>
      </c>
      <c r="D23" s="34" t="s">
        <v>323</v>
      </c>
      <c r="E23" s="34"/>
      <c r="F23" s="37">
        <v>67385</v>
      </c>
      <c r="G23" s="37">
        <v>67385</v>
      </c>
      <c r="H23" s="38">
        <v>44592</v>
      </c>
      <c r="I23" s="38" t="s">
        <v>1821</v>
      </c>
      <c r="J23" s="42">
        <v>1489</v>
      </c>
      <c r="K23" s="43">
        <v>67385</v>
      </c>
    </row>
    <row r="24" spans="1:11" x14ac:dyDescent="0.25">
      <c r="A24" s="38">
        <v>44592</v>
      </c>
      <c r="B24" s="33" t="s">
        <v>343</v>
      </c>
      <c r="C24" s="36" t="s">
        <v>166</v>
      </c>
      <c r="D24" s="34" t="s">
        <v>323</v>
      </c>
      <c r="E24" s="34"/>
      <c r="F24" s="37">
        <v>54201</v>
      </c>
      <c r="G24" s="37">
        <v>54201</v>
      </c>
      <c r="H24" s="38">
        <v>44592</v>
      </c>
      <c r="I24" s="38" t="s">
        <v>1821</v>
      </c>
      <c r="J24" s="42">
        <v>1489</v>
      </c>
      <c r="K24" s="43">
        <v>54201</v>
      </c>
    </row>
    <row r="25" spans="1:11" x14ac:dyDescent="0.25">
      <c r="A25" s="38">
        <v>44610</v>
      </c>
      <c r="B25" s="33" t="s">
        <v>344</v>
      </c>
      <c r="C25" s="36" t="s">
        <v>84</v>
      </c>
      <c r="D25" s="34" t="s">
        <v>341</v>
      </c>
      <c r="E25" s="34"/>
      <c r="F25" s="37">
        <v>830720</v>
      </c>
      <c r="G25" s="37">
        <v>830720</v>
      </c>
      <c r="H25" s="38">
        <v>44610</v>
      </c>
      <c r="I25" s="38" t="s">
        <v>1821</v>
      </c>
      <c r="J25" s="42">
        <v>1471</v>
      </c>
      <c r="K25" s="43">
        <v>830720</v>
      </c>
    </row>
    <row r="26" spans="1:11" x14ac:dyDescent="0.25">
      <c r="A26" s="38">
        <v>44620</v>
      </c>
      <c r="B26" s="33" t="s">
        <v>345</v>
      </c>
      <c r="C26" s="36" t="s">
        <v>165</v>
      </c>
      <c r="D26" s="34" t="s">
        <v>346</v>
      </c>
      <c r="E26" s="34"/>
      <c r="F26" s="37">
        <v>75863</v>
      </c>
      <c r="G26" s="37">
        <v>75863</v>
      </c>
      <c r="H26" s="38">
        <v>44620</v>
      </c>
      <c r="I26" s="38" t="s">
        <v>1821</v>
      </c>
      <c r="J26" s="42">
        <v>1461</v>
      </c>
      <c r="K26" s="43">
        <v>75863</v>
      </c>
    </row>
    <row r="27" spans="1:11" x14ac:dyDescent="0.25">
      <c r="A27" s="38">
        <v>44651</v>
      </c>
      <c r="B27" s="33" t="s">
        <v>347</v>
      </c>
      <c r="C27" s="36" t="s">
        <v>165</v>
      </c>
      <c r="D27" s="34" t="s">
        <v>346</v>
      </c>
      <c r="E27" s="34"/>
      <c r="F27" s="37">
        <v>149509</v>
      </c>
      <c r="G27" s="37">
        <v>149509</v>
      </c>
      <c r="H27" s="38">
        <v>44651</v>
      </c>
      <c r="I27" s="38" t="s">
        <v>1821</v>
      </c>
      <c r="J27" s="42">
        <v>1430</v>
      </c>
      <c r="K27" s="43">
        <v>149509</v>
      </c>
    </row>
    <row r="28" spans="1:11" x14ac:dyDescent="0.25">
      <c r="A28" s="38">
        <v>44651</v>
      </c>
      <c r="B28" s="33" t="s">
        <v>348</v>
      </c>
      <c r="C28" s="36" t="s">
        <v>165</v>
      </c>
      <c r="D28" s="34" t="s">
        <v>346</v>
      </c>
      <c r="E28" s="34"/>
      <c r="F28" s="37">
        <v>63306</v>
      </c>
      <c r="G28" s="37">
        <v>63306</v>
      </c>
      <c r="H28" s="38">
        <v>44651</v>
      </c>
      <c r="I28" s="38" t="s">
        <v>1821</v>
      </c>
      <c r="J28" s="42">
        <v>1430</v>
      </c>
      <c r="K28" s="43">
        <v>63306</v>
      </c>
    </row>
    <row r="29" spans="1:11" x14ac:dyDescent="0.25">
      <c r="A29" s="38">
        <v>44651</v>
      </c>
      <c r="B29" s="33" t="s">
        <v>349</v>
      </c>
      <c r="C29" s="36" t="s">
        <v>165</v>
      </c>
      <c r="D29" s="34" t="s">
        <v>346</v>
      </c>
      <c r="E29" s="34"/>
      <c r="F29" s="37">
        <v>63839</v>
      </c>
      <c r="G29" s="37">
        <v>63839</v>
      </c>
      <c r="H29" s="38">
        <v>44651</v>
      </c>
      <c r="I29" s="38" t="s">
        <v>1821</v>
      </c>
      <c r="J29" s="42">
        <v>1430</v>
      </c>
      <c r="K29" s="43">
        <v>63839</v>
      </c>
    </row>
    <row r="30" spans="1:11" x14ac:dyDescent="0.25">
      <c r="A30" s="38">
        <v>44651</v>
      </c>
      <c r="B30" s="33" t="s">
        <v>350</v>
      </c>
      <c r="C30" s="36" t="s">
        <v>165</v>
      </c>
      <c r="D30" s="34" t="s">
        <v>346</v>
      </c>
      <c r="E30" s="34"/>
      <c r="F30" s="37">
        <v>40315</v>
      </c>
      <c r="G30" s="37">
        <v>40315</v>
      </c>
      <c r="H30" s="38">
        <v>44651</v>
      </c>
      <c r="I30" s="38" t="s">
        <v>1821</v>
      </c>
      <c r="J30" s="42">
        <v>1430</v>
      </c>
      <c r="K30" s="43">
        <v>40315</v>
      </c>
    </row>
    <row r="31" spans="1:11" x14ac:dyDescent="0.25">
      <c r="A31" s="38">
        <v>44651</v>
      </c>
      <c r="B31" s="33" t="s">
        <v>351</v>
      </c>
      <c r="C31" s="36" t="s">
        <v>165</v>
      </c>
      <c r="D31" s="34" t="s">
        <v>352</v>
      </c>
      <c r="E31" s="34"/>
      <c r="F31" s="37">
        <v>215688</v>
      </c>
      <c r="G31" s="37">
        <v>215688</v>
      </c>
      <c r="H31" s="38">
        <v>44651</v>
      </c>
      <c r="I31" s="38" t="s">
        <v>1821</v>
      </c>
      <c r="J31" s="42">
        <v>1430</v>
      </c>
      <c r="K31" s="43">
        <v>215688</v>
      </c>
    </row>
    <row r="32" spans="1:11" x14ac:dyDescent="0.25">
      <c r="A32" s="38">
        <v>44651</v>
      </c>
      <c r="B32" s="33" t="s">
        <v>353</v>
      </c>
      <c r="C32" s="36" t="s">
        <v>166</v>
      </c>
      <c r="D32" s="34" t="s">
        <v>323</v>
      </c>
      <c r="E32" s="34"/>
      <c r="F32" s="37">
        <v>53470</v>
      </c>
      <c r="G32" s="37">
        <v>53470</v>
      </c>
      <c r="H32" s="38">
        <v>44651</v>
      </c>
      <c r="I32" s="38" t="s">
        <v>1821</v>
      </c>
      <c r="J32" s="42">
        <v>1430</v>
      </c>
      <c r="K32" s="43">
        <v>53470</v>
      </c>
    </row>
    <row r="33" spans="1:11" x14ac:dyDescent="0.25">
      <c r="A33" s="38">
        <v>44651</v>
      </c>
      <c r="B33" s="33" t="s">
        <v>354</v>
      </c>
      <c r="C33" s="36" t="s">
        <v>166</v>
      </c>
      <c r="D33" s="34" t="s">
        <v>323</v>
      </c>
      <c r="E33" s="34"/>
      <c r="F33" s="37">
        <v>61600.35</v>
      </c>
      <c r="G33" s="37">
        <v>61600.35</v>
      </c>
      <c r="H33" s="38">
        <v>44651</v>
      </c>
      <c r="I33" s="38" t="s">
        <v>1821</v>
      </c>
      <c r="J33" s="42">
        <v>1430</v>
      </c>
      <c r="K33" s="43">
        <v>61600.35</v>
      </c>
    </row>
    <row r="34" spans="1:11" x14ac:dyDescent="0.25">
      <c r="A34" s="38">
        <v>44651</v>
      </c>
      <c r="B34" s="33" t="s">
        <v>355</v>
      </c>
      <c r="C34" s="36" t="s">
        <v>166</v>
      </c>
      <c r="D34" s="34" t="s">
        <v>323</v>
      </c>
      <c r="E34" s="34"/>
      <c r="F34" s="37">
        <v>54779.55</v>
      </c>
      <c r="G34" s="37">
        <v>54779.55</v>
      </c>
      <c r="H34" s="38">
        <v>44651</v>
      </c>
      <c r="I34" s="38" t="s">
        <v>1821</v>
      </c>
      <c r="J34" s="42">
        <v>1430</v>
      </c>
      <c r="K34" s="43">
        <v>54779.55</v>
      </c>
    </row>
    <row r="35" spans="1:11" x14ac:dyDescent="0.25">
      <c r="A35" s="38">
        <v>44681</v>
      </c>
      <c r="B35" s="33" t="s">
        <v>356</v>
      </c>
      <c r="C35" s="36" t="s">
        <v>165</v>
      </c>
      <c r="D35" s="34" t="s">
        <v>346</v>
      </c>
      <c r="E35" s="34"/>
      <c r="F35" s="37">
        <v>63037</v>
      </c>
      <c r="G35" s="37">
        <v>63037</v>
      </c>
      <c r="H35" s="38">
        <v>44681</v>
      </c>
      <c r="I35" s="38" t="s">
        <v>1821</v>
      </c>
      <c r="J35" s="42">
        <v>1400</v>
      </c>
      <c r="K35" s="43">
        <v>63037</v>
      </c>
    </row>
    <row r="36" spans="1:11" x14ac:dyDescent="0.25">
      <c r="A36" s="38">
        <v>44681</v>
      </c>
      <c r="B36" s="33" t="s">
        <v>357</v>
      </c>
      <c r="C36" s="36" t="s">
        <v>165</v>
      </c>
      <c r="D36" s="34" t="s">
        <v>346</v>
      </c>
      <c r="E36" s="34"/>
      <c r="F36" s="37">
        <v>13315</v>
      </c>
      <c r="G36" s="37">
        <v>13315</v>
      </c>
      <c r="H36" s="38">
        <v>44681</v>
      </c>
      <c r="I36" s="38" t="s">
        <v>1821</v>
      </c>
      <c r="J36" s="42">
        <v>1400</v>
      </c>
      <c r="K36" s="43">
        <v>13315</v>
      </c>
    </row>
    <row r="37" spans="1:11" x14ac:dyDescent="0.25">
      <c r="A37" s="38">
        <v>44681</v>
      </c>
      <c r="B37" s="33" t="s">
        <v>358</v>
      </c>
      <c r="C37" s="36" t="s">
        <v>165</v>
      </c>
      <c r="D37" s="34" t="s">
        <v>346</v>
      </c>
      <c r="E37" s="34"/>
      <c r="F37" s="37">
        <v>56770</v>
      </c>
      <c r="G37" s="37">
        <v>56770</v>
      </c>
      <c r="H37" s="38">
        <v>44681</v>
      </c>
      <c r="I37" s="38" t="s">
        <v>1821</v>
      </c>
      <c r="J37" s="42">
        <v>1400</v>
      </c>
      <c r="K37" s="43">
        <v>56770</v>
      </c>
    </row>
    <row r="38" spans="1:11" x14ac:dyDescent="0.25">
      <c r="A38" s="38">
        <v>44681</v>
      </c>
      <c r="B38" s="33" t="s">
        <v>359</v>
      </c>
      <c r="C38" s="36" t="s">
        <v>165</v>
      </c>
      <c r="D38" s="34" t="s">
        <v>346</v>
      </c>
      <c r="E38" s="34"/>
      <c r="F38" s="37">
        <v>13453</v>
      </c>
      <c r="G38" s="37">
        <v>13453</v>
      </c>
      <c r="H38" s="38">
        <v>44681</v>
      </c>
      <c r="I38" s="38" t="s">
        <v>1821</v>
      </c>
      <c r="J38" s="42">
        <v>1400</v>
      </c>
      <c r="K38" s="43">
        <v>13453</v>
      </c>
    </row>
    <row r="39" spans="1:11" x14ac:dyDescent="0.25">
      <c r="A39" s="38">
        <v>44681</v>
      </c>
      <c r="B39" s="33" t="s">
        <v>360</v>
      </c>
      <c r="C39" s="36" t="s">
        <v>165</v>
      </c>
      <c r="D39" s="34" t="s">
        <v>346</v>
      </c>
      <c r="E39" s="34"/>
      <c r="F39" s="37">
        <v>66432</v>
      </c>
      <c r="G39" s="37">
        <v>66432</v>
      </c>
      <c r="H39" s="38">
        <v>44681</v>
      </c>
      <c r="I39" s="38" t="s">
        <v>1821</v>
      </c>
      <c r="J39" s="42">
        <v>1400</v>
      </c>
      <c r="K39" s="43">
        <v>66432</v>
      </c>
    </row>
    <row r="40" spans="1:11" x14ac:dyDescent="0.25">
      <c r="A40" s="38">
        <v>44689</v>
      </c>
      <c r="B40" s="33" t="s">
        <v>361</v>
      </c>
      <c r="C40" s="36" t="s">
        <v>165</v>
      </c>
      <c r="D40" s="34" t="s">
        <v>352</v>
      </c>
      <c r="E40" s="34"/>
      <c r="F40" s="37">
        <v>221011.12</v>
      </c>
      <c r="G40" s="37">
        <v>221011.12</v>
      </c>
      <c r="H40" s="38">
        <v>44689</v>
      </c>
      <c r="I40" s="38" t="s">
        <v>1821</v>
      </c>
      <c r="J40" s="42">
        <v>1392</v>
      </c>
      <c r="K40" s="43">
        <v>221011.12</v>
      </c>
    </row>
    <row r="41" spans="1:11" x14ac:dyDescent="0.25">
      <c r="A41" s="38">
        <v>44694</v>
      </c>
      <c r="B41" s="33" t="s">
        <v>362</v>
      </c>
      <c r="C41" s="36" t="s">
        <v>165</v>
      </c>
      <c r="D41" s="34" t="s">
        <v>352</v>
      </c>
      <c r="E41" s="34"/>
      <c r="F41" s="37">
        <v>52105.52</v>
      </c>
      <c r="G41" s="37">
        <v>52105.52</v>
      </c>
      <c r="H41" s="38">
        <v>44694</v>
      </c>
      <c r="I41" s="38" t="s">
        <v>1821</v>
      </c>
      <c r="J41" s="42">
        <v>1387</v>
      </c>
      <c r="K41" s="43">
        <v>52105.52</v>
      </c>
    </row>
    <row r="42" spans="1:11" x14ac:dyDescent="0.25">
      <c r="A42" s="38">
        <v>44694</v>
      </c>
      <c r="B42" s="33" t="s">
        <v>363</v>
      </c>
      <c r="C42" s="36" t="s">
        <v>165</v>
      </c>
      <c r="D42" s="34" t="s">
        <v>352</v>
      </c>
      <c r="E42" s="34"/>
      <c r="F42" s="37">
        <v>51381.54</v>
      </c>
      <c r="G42" s="37">
        <v>51381.54</v>
      </c>
      <c r="H42" s="38">
        <v>44694</v>
      </c>
      <c r="I42" s="38" t="s">
        <v>1821</v>
      </c>
      <c r="J42" s="42">
        <v>1387</v>
      </c>
      <c r="K42" s="43">
        <v>51381.54</v>
      </c>
    </row>
    <row r="43" spans="1:11" x14ac:dyDescent="0.25">
      <c r="A43" s="38">
        <v>44694</v>
      </c>
      <c r="B43" s="33" t="s">
        <v>364</v>
      </c>
      <c r="C43" s="36" t="s">
        <v>165</v>
      </c>
      <c r="D43" s="34" t="s">
        <v>352</v>
      </c>
      <c r="E43" s="34"/>
      <c r="F43" s="37">
        <v>44989.88</v>
      </c>
      <c r="G43" s="37">
        <v>44989.88</v>
      </c>
      <c r="H43" s="38">
        <v>44694</v>
      </c>
      <c r="I43" s="38" t="s">
        <v>1821</v>
      </c>
      <c r="J43" s="42">
        <v>1387</v>
      </c>
      <c r="K43" s="43">
        <v>44989.88</v>
      </c>
    </row>
    <row r="44" spans="1:11" x14ac:dyDescent="0.25">
      <c r="A44" s="38">
        <v>44698</v>
      </c>
      <c r="B44" s="33" t="s">
        <v>365</v>
      </c>
      <c r="C44" s="36" t="s">
        <v>165</v>
      </c>
      <c r="D44" s="34" t="s">
        <v>346</v>
      </c>
      <c r="E44" s="34"/>
      <c r="F44" s="37">
        <v>154193.34</v>
      </c>
      <c r="G44" s="37">
        <v>154193.34</v>
      </c>
      <c r="H44" s="38">
        <v>44698</v>
      </c>
      <c r="I44" s="38" t="s">
        <v>1821</v>
      </c>
      <c r="J44" s="42">
        <v>1383</v>
      </c>
      <c r="K44" s="43">
        <v>154193.34</v>
      </c>
    </row>
    <row r="45" spans="1:11" x14ac:dyDescent="0.25">
      <c r="A45" s="38">
        <v>44703</v>
      </c>
      <c r="B45" s="33" t="s">
        <v>366</v>
      </c>
      <c r="C45" s="36" t="s">
        <v>165</v>
      </c>
      <c r="D45" s="34" t="s">
        <v>352</v>
      </c>
      <c r="E45" s="34"/>
      <c r="F45" s="37">
        <v>55022.1</v>
      </c>
      <c r="G45" s="37">
        <v>55022.1</v>
      </c>
      <c r="H45" s="38">
        <v>44703</v>
      </c>
      <c r="I45" s="38" t="s">
        <v>1821</v>
      </c>
      <c r="J45" s="42">
        <v>1378</v>
      </c>
      <c r="K45" s="43">
        <v>55022.1</v>
      </c>
    </row>
    <row r="46" spans="1:11" x14ac:dyDescent="0.25">
      <c r="A46" s="38">
        <v>44706</v>
      </c>
      <c r="B46" s="33" t="s">
        <v>367</v>
      </c>
      <c r="C46" s="36" t="s">
        <v>165</v>
      </c>
      <c r="D46" s="34" t="s">
        <v>346</v>
      </c>
      <c r="E46" s="34"/>
      <c r="F46" s="37">
        <v>68985</v>
      </c>
      <c r="G46" s="37">
        <v>68985</v>
      </c>
      <c r="H46" s="38">
        <v>44706</v>
      </c>
      <c r="I46" s="38" t="s">
        <v>1821</v>
      </c>
      <c r="J46" s="42">
        <v>1375</v>
      </c>
      <c r="K46" s="43">
        <v>68985</v>
      </c>
    </row>
    <row r="47" spans="1:11" x14ac:dyDescent="0.25">
      <c r="A47" s="38">
        <v>44739</v>
      </c>
      <c r="B47" s="33" t="s">
        <v>368</v>
      </c>
      <c r="C47" s="36" t="s">
        <v>165</v>
      </c>
      <c r="D47" s="34" t="s">
        <v>352</v>
      </c>
      <c r="E47" s="34"/>
      <c r="F47" s="37">
        <v>21465.68</v>
      </c>
      <c r="G47" s="37">
        <v>21465.68</v>
      </c>
      <c r="H47" s="38">
        <v>44739</v>
      </c>
      <c r="I47" s="38" t="s">
        <v>1821</v>
      </c>
      <c r="J47" s="42">
        <v>1342</v>
      </c>
      <c r="K47" s="43">
        <v>21465.68</v>
      </c>
    </row>
    <row r="48" spans="1:11" x14ac:dyDescent="0.25">
      <c r="A48" s="38">
        <v>44741</v>
      </c>
      <c r="B48" s="33" t="s">
        <v>369</v>
      </c>
      <c r="C48" s="36" t="s">
        <v>165</v>
      </c>
      <c r="D48" s="34" t="s">
        <v>352</v>
      </c>
      <c r="E48" s="34"/>
      <c r="F48" s="37">
        <v>16849.14</v>
      </c>
      <c r="G48" s="37">
        <v>16849.14</v>
      </c>
      <c r="H48" s="38">
        <v>44741</v>
      </c>
      <c r="I48" s="38" t="s">
        <v>1821</v>
      </c>
      <c r="J48" s="42">
        <v>1340</v>
      </c>
      <c r="K48" s="43">
        <v>16849.14</v>
      </c>
    </row>
    <row r="49" spans="1:11" x14ac:dyDescent="0.25">
      <c r="A49" s="38">
        <v>44834</v>
      </c>
      <c r="B49" s="33" t="s">
        <v>370</v>
      </c>
      <c r="C49" s="36" t="s">
        <v>165</v>
      </c>
      <c r="D49" s="34" t="s">
        <v>352</v>
      </c>
      <c r="E49" s="34"/>
      <c r="F49" s="37">
        <v>1417765.39</v>
      </c>
      <c r="G49" s="37">
        <v>1417765.39</v>
      </c>
      <c r="H49" s="38">
        <v>44834</v>
      </c>
      <c r="I49" s="38" t="s">
        <v>1821</v>
      </c>
      <c r="J49" s="42">
        <v>1247</v>
      </c>
      <c r="K49" s="43">
        <v>1417765.39</v>
      </c>
    </row>
    <row r="50" spans="1:11" x14ac:dyDescent="0.25">
      <c r="A50" s="38">
        <v>44865</v>
      </c>
      <c r="B50" s="33" t="s">
        <v>371</v>
      </c>
      <c r="C50" s="36" t="s">
        <v>165</v>
      </c>
      <c r="D50" s="34" t="s">
        <v>352</v>
      </c>
      <c r="E50" s="34"/>
      <c r="F50" s="37">
        <v>980052</v>
      </c>
      <c r="G50" s="37">
        <v>980052</v>
      </c>
      <c r="H50" s="38">
        <v>44865</v>
      </c>
      <c r="I50" s="38" t="s">
        <v>1821</v>
      </c>
      <c r="J50" s="42">
        <v>1216</v>
      </c>
      <c r="K50" s="43">
        <v>980052</v>
      </c>
    </row>
    <row r="51" spans="1:11" x14ac:dyDescent="0.25">
      <c r="A51" s="38">
        <v>44922</v>
      </c>
      <c r="B51" s="33" t="s">
        <v>372</v>
      </c>
      <c r="C51" s="36" t="s">
        <v>108</v>
      </c>
      <c r="D51" s="34" t="s">
        <v>373</v>
      </c>
      <c r="E51" s="34"/>
      <c r="F51" s="39">
        <v>494217</v>
      </c>
      <c r="G51" s="39">
        <v>494217</v>
      </c>
      <c r="H51" s="38">
        <v>44922</v>
      </c>
      <c r="I51" s="38" t="s">
        <v>1821</v>
      </c>
      <c r="J51" s="42">
        <v>1159</v>
      </c>
      <c r="K51" s="43">
        <v>-494217</v>
      </c>
    </row>
    <row r="52" spans="1:11" x14ac:dyDescent="0.25">
      <c r="A52" s="38">
        <v>44925</v>
      </c>
      <c r="B52" s="33" t="s">
        <v>374</v>
      </c>
      <c r="C52" s="36" t="s">
        <v>165</v>
      </c>
      <c r="D52" s="34" t="s">
        <v>352</v>
      </c>
      <c r="E52" s="34"/>
      <c r="F52" s="37">
        <v>462914.76</v>
      </c>
      <c r="G52" s="37">
        <v>462914.76</v>
      </c>
      <c r="H52" s="38">
        <v>44925</v>
      </c>
      <c r="I52" s="38" t="s">
        <v>1821</v>
      </c>
      <c r="J52" s="42">
        <v>1156</v>
      </c>
      <c r="K52" s="43">
        <v>462914.76</v>
      </c>
    </row>
    <row r="53" spans="1:11" x14ac:dyDescent="0.25">
      <c r="A53" s="38">
        <v>44926</v>
      </c>
      <c r="B53" s="33" t="s">
        <v>375</v>
      </c>
      <c r="C53" s="36" t="s">
        <v>131</v>
      </c>
      <c r="D53" s="34" t="s">
        <v>376</v>
      </c>
      <c r="E53" s="34"/>
      <c r="F53" s="37">
        <v>573480</v>
      </c>
      <c r="G53" s="37">
        <v>573480</v>
      </c>
      <c r="H53" s="38">
        <v>44926</v>
      </c>
      <c r="I53" s="38" t="s">
        <v>1821</v>
      </c>
      <c r="J53" s="42">
        <v>1155</v>
      </c>
      <c r="K53" s="43">
        <v>573480</v>
      </c>
    </row>
    <row r="54" spans="1:11" x14ac:dyDescent="0.25">
      <c r="A54" s="38">
        <v>44926</v>
      </c>
      <c r="B54" s="33" t="s">
        <v>377</v>
      </c>
      <c r="C54" s="36" t="s">
        <v>165</v>
      </c>
      <c r="D54" s="34" t="s">
        <v>352</v>
      </c>
      <c r="E54" s="34"/>
      <c r="F54" s="37">
        <v>596067</v>
      </c>
      <c r="G54" s="37">
        <v>596067</v>
      </c>
      <c r="H54" s="38">
        <v>44926</v>
      </c>
      <c r="I54" s="38" t="s">
        <v>1821</v>
      </c>
      <c r="J54" s="42">
        <v>1155</v>
      </c>
      <c r="K54" s="43">
        <v>596067</v>
      </c>
    </row>
    <row r="55" spans="1:11" x14ac:dyDescent="0.25">
      <c r="A55" s="38">
        <v>44926</v>
      </c>
      <c r="B55" s="33" t="s">
        <v>378</v>
      </c>
      <c r="C55" s="36" t="s">
        <v>287</v>
      </c>
      <c r="D55" s="34" t="s">
        <v>379</v>
      </c>
      <c r="E55" s="34"/>
      <c r="F55" s="37">
        <v>79500</v>
      </c>
      <c r="G55" s="37">
        <v>79500</v>
      </c>
      <c r="H55" s="38">
        <v>44926</v>
      </c>
      <c r="I55" s="38" t="s">
        <v>1821</v>
      </c>
      <c r="J55" s="42">
        <v>1155</v>
      </c>
      <c r="K55" s="43">
        <v>79500</v>
      </c>
    </row>
    <row r="56" spans="1:11" x14ac:dyDescent="0.25">
      <c r="A56" s="38">
        <v>44930</v>
      </c>
      <c r="B56" s="33" t="s">
        <v>380</v>
      </c>
      <c r="C56" s="36" t="s">
        <v>281</v>
      </c>
      <c r="D56" s="34" t="s">
        <v>341</v>
      </c>
      <c r="E56" s="34"/>
      <c r="F56" s="37">
        <v>39643</v>
      </c>
      <c r="G56" s="37">
        <v>39643</v>
      </c>
      <c r="H56" s="38">
        <v>44930</v>
      </c>
      <c r="I56" s="38" t="s">
        <v>1821</v>
      </c>
      <c r="J56" s="42">
        <v>1151</v>
      </c>
      <c r="K56" s="43">
        <v>39643</v>
      </c>
    </row>
    <row r="57" spans="1:11" x14ac:dyDescent="0.25">
      <c r="A57" s="38">
        <v>44957</v>
      </c>
      <c r="B57" s="33" t="s">
        <v>381</v>
      </c>
      <c r="C57" s="36" t="s">
        <v>86</v>
      </c>
      <c r="D57" s="34" t="s">
        <v>382</v>
      </c>
      <c r="E57" s="34"/>
      <c r="F57" s="37">
        <v>284053.5</v>
      </c>
      <c r="G57" s="37">
        <v>284053.5</v>
      </c>
      <c r="H57" s="38">
        <v>44957</v>
      </c>
      <c r="I57" s="38" t="s">
        <v>1821</v>
      </c>
      <c r="J57" s="42">
        <v>1124</v>
      </c>
      <c r="K57" s="43">
        <v>284053.5</v>
      </c>
    </row>
    <row r="58" spans="1:11" x14ac:dyDescent="0.25">
      <c r="A58" s="38">
        <v>44957</v>
      </c>
      <c r="B58" s="33" t="s">
        <v>383</v>
      </c>
      <c r="C58" s="36" t="s">
        <v>165</v>
      </c>
      <c r="D58" s="34" t="s">
        <v>352</v>
      </c>
      <c r="E58" s="34"/>
      <c r="F58" s="37">
        <v>612588.31999999995</v>
      </c>
      <c r="G58" s="37">
        <v>612588.31999999995</v>
      </c>
      <c r="H58" s="38">
        <v>44957</v>
      </c>
      <c r="I58" s="38" t="s">
        <v>1821</v>
      </c>
      <c r="J58" s="42">
        <v>1124</v>
      </c>
      <c r="K58" s="43">
        <v>612588.31999999995</v>
      </c>
    </row>
    <row r="59" spans="1:11" x14ac:dyDescent="0.25">
      <c r="A59" s="38">
        <v>44981</v>
      </c>
      <c r="B59" s="33" t="s">
        <v>384</v>
      </c>
      <c r="C59" s="36" t="s">
        <v>108</v>
      </c>
      <c r="D59" s="34" t="s">
        <v>373</v>
      </c>
      <c r="E59" s="34"/>
      <c r="F59" s="39">
        <v>1530000</v>
      </c>
      <c r="G59" s="39">
        <v>1530000</v>
      </c>
      <c r="H59" s="38">
        <v>44981</v>
      </c>
      <c r="I59" s="38" t="s">
        <v>1821</v>
      </c>
      <c r="J59" s="42">
        <v>1100</v>
      </c>
      <c r="K59" s="43">
        <v>-1530000</v>
      </c>
    </row>
    <row r="60" spans="1:11" x14ac:dyDescent="0.25">
      <c r="A60" s="38">
        <v>44985</v>
      </c>
      <c r="B60" s="33" t="s">
        <v>385</v>
      </c>
      <c r="C60" s="36" t="s">
        <v>165</v>
      </c>
      <c r="D60" s="34" t="s">
        <v>352</v>
      </c>
      <c r="E60" s="34"/>
      <c r="F60" s="37">
        <v>733184</v>
      </c>
      <c r="G60" s="37">
        <v>733184</v>
      </c>
      <c r="H60" s="38">
        <v>44985</v>
      </c>
      <c r="I60" s="38" t="s">
        <v>1821</v>
      </c>
      <c r="J60" s="42">
        <v>1096</v>
      </c>
      <c r="K60" s="43">
        <v>733184</v>
      </c>
    </row>
    <row r="61" spans="1:11" x14ac:dyDescent="0.25">
      <c r="A61" s="38">
        <v>45016</v>
      </c>
      <c r="B61" s="33" t="s">
        <v>386</v>
      </c>
      <c r="C61" s="36" t="s">
        <v>165</v>
      </c>
      <c r="D61" s="34" t="s">
        <v>352</v>
      </c>
      <c r="E61" s="34"/>
      <c r="F61" s="37">
        <v>1005523</v>
      </c>
      <c r="G61" s="37">
        <v>1005523</v>
      </c>
      <c r="H61" s="38">
        <v>45016</v>
      </c>
      <c r="I61" s="38" t="s">
        <v>1821</v>
      </c>
      <c r="J61" s="42">
        <v>1065</v>
      </c>
      <c r="K61" s="43">
        <v>1005523</v>
      </c>
    </row>
    <row r="62" spans="1:11" x14ac:dyDescent="0.25">
      <c r="A62" s="38">
        <v>45034</v>
      </c>
      <c r="B62" s="33" t="s">
        <v>387</v>
      </c>
      <c r="C62" s="36" t="s">
        <v>108</v>
      </c>
      <c r="D62" s="34" t="s">
        <v>373</v>
      </c>
      <c r="E62" s="34"/>
      <c r="F62" s="39">
        <v>2468140</v>
      </c>
      <c r="G62" s="39">
        <v>2468140</v>
      </c>
      <c r="H62" s="38">
        <v>45034</v>
      </c>
      <c r="I62" s="38" t="s">
        <v>1821</v>
      </c>
      <c r="J62" s="42">
        <v>1047</v>
      </c>
      <c r="K62" s="43">
        <v>-2468140</v>
      </c>
    </row>
    <row r="63" spans="1:11" x14ac:dyDescent="0.25">
      <c r="A63" s="38">
        <v>45046</v>
      </c>
      <c r="B63" s="33" t="s">
        <v>388</v>
      </c>
      <c r="C63" s="36" t="s">
        <v>165</v>
      </c>
      <c r="D63" s="34" t="s">
        <v>352</v>
      </c>
      <c r="E63" s="34"/>
      <c r="F63" s="37">
        <v>923351.47</v>
      </c>
      <c r="G63" s="37">
        <v>923351.47</v>
      </c>
      <c r="H63" s="38">
        <v>45046</v>
      </c>
      <c r="I63" s="38" t="s">
        <v>1821</v>
      </c>
      <c r="J63" s="42">
        <v>1035</v>
      </c>
      <c r="K63" s="43">
        <v>923351.47</v>
      </c>
    </row>
    <row r="64" spans="1:11" x14ac:dyDescent="0.25">
      <c r="A64" s="38">
        <v>45077</v>
      </c>
      <c r="B64" s="33" t="s">
        <v>389</v>
      </c>
      <c r="C64" s="36" t="s">
        <v>165</v>
      </c>
      <c r="D64" s="34" t="s">
        <v>352</v>
      </c>
      <c r="E64" s="34"/>
      <c r="F64" s="37">
        <v>77672.600000000006</v>
      </c>
      <c r="G64" s="37">
        <v>77672.600000000006</v>
      </c>
      <c r="H64" s="38">
        <v>45077</v>
      </c>
      <c r="I64" s="38" t="s">
        <v>1821</v>
      </c>
      <c r="J64" s="42">
        <v>1004</v>
      </c>
      <c r="K64" s="43">
        <v>77672.600000000006</v>
      </c>
    </row>
    <row r="65" spans="1:11" x14ac:dyDescent="0.25">
      <c r="A65" s="38">
        <v>45104</v>
      </c>
      <c r="B65" s="33" t="s">
        <v>390</v>
      </c>
      <c r="C65" s="36" t="s">
        <v>90</v>
      </c>
      <c r="D65" s="34" t="s">
        <v>323</v>
      </c>
      <c r="E65" s="34"/>
      <c r="F65" s="37">
        <v>1800000</v>
      </c>
      <c r="G65" s="37">
        <v>1800000</v>
      </c>
      <c r="H65" s="38">
        <v>45104</v>
      </c>
      <c r="I65" s="38" t="s">
        <v>1821</v>
      </c>
      <c r="J65" s="42">
        <v>977</v>
      </c>
      <c r="K65" s="43">
        <v>1800000</v>
      </c>
    </row>
    <row r="66" spans="1:11" x14ac:dyDescent="0.25">
      <c r="A66" s="38">
        <v>45107</v>
      </c>
      <c r="B66" s="33" t="s">
        <v>391</v>
      </c>
      <c r="C66" s="36" t="s">
        <v>165</v>
      </c>
      <c r="D66" s="34" t="s">
        <v>352</v>
      </c>
      <c r="E66" s="34"/>
      <c r="F66" s="37">
        <v>262783</v>
      </c>
      <c r="G66" s="37">
        <v>262783</v>
      </c>
      <c r="H66" s="38">
        <v>45107</v>
      </c>
      <c r="I66" s="38" t="s">
        <v>1821</v>
      </c>
      <c r="J66" s="42">
        <v>974</v>
      </c>
      <c r="K66" s="43">
        <v>262783</v>
      </c>
    </row>
    <row r="67" spans="1:11" x14ac:dyDescent="0.25">
      <c r="A67" s="38">
        <v>45107</v>
      </c>
      <c r="B67" s="33" t="s">
        <v>392</v>
      </c>
      <c r="C67" s="36" t="s">
        <v>169</v>
      </c>
      <c r="D67" s="34" t="s">
        <v>393</v>
      </c>
      <c r="E67" s="34"/>
      <c r="F67" s="37">
        <v>129469.14</v>
      </c>
      <c r="G67" s="37">
        <v>129469.14</v>
      </c>
      <c r="H67" s="38">
        <v>45107</v>
      </c>
      <c r="I67" s="38" t="s">
        <v>1821</v>
      </c>
      <c r="J67" s="42">
        <v>974</v>
      </c>
      <c r="K67" s="43">
        <v>129469.14</v>
      </c>
    </row>
    <row r="68" spans="1:11" x14ac:dyDescent="0.25">
      <c r="A68" s="38">
        <v>45138</v>
      </c>
      <c r="B68" s="33" t="s">
        <v>394</v>
      </c>
      <c r="C68" s="36" t="s">
        <v>165</v>
      </c>
      <c r="D68" s="34" t="s">
        <v>352</v>
      </c>
      <c r="E68" s="34"/>
      <c r="F68" s="37">
        <v>427811</v>
      </c>
      <c r="G68" s="37">
        <v>427811</v>
      </c>
      <c r="H68" s="38">
        <v>45138</v>
      </c>
      <c r="I68" s="38" t="s">
        <v>1821</v>
      </c>
      <c r="J68" s="42">
        <v>943</v>
      </c>
      <c r="K68" s="43">
        <v>427811</v>
      </c>
    </row>
    <row r="69" spans="1:11" x14ac:dyDescent="0.25">
      <c r="A69" s="38">
        <v>45168</v>
      </c>
      <c r="B69" s="33" t="s">
        <v>395</v>
      </c>
      <c r="C69" s="36" t="s">
        <v>94</v>
      </c>
      <c r="D69" s="34" t="s">
        <v>323</v>
      </c>
      <c r="E69" s="34"/>
      <c r="F69" s="39">
        <v>37494</v>
      </c>
      <c r="G69" s="39">
        <v>2331.9699999999998</v>
      </c>
      <c r="H69" s="38">
        <v>45168</v>
      </c>
      <c r="I69" s="38" t="s">
        <v>1821</v>
      </c>
      <c r="J69" s="42">
        <v>913</v>
      </c>
      <c r="K69" s="43">
        <v>-2331.9699999999998</v>
      </c>
    </row>
    <row r="70" spans="1:11" x14ac:dyDescent="0.25">
      <c r="A70" s="38">
        <v>45169</v>
      </c>
      <c r="B70" s="33" t="s">
        <v>396</v>
      </c>
      <c r="C70" s="36" t="s">
        <v>165</v>
      </c>
      <c r="D70" s="34" t="s">
        <v>352</v>
      </c>
      <c r="E70" s="34"/>
      <c r="F70" s="37">
        <v>323254</v>
      </c>
      <c r="G70" s="37">
        <v>323254</v>
      </c>
      <c r="H70" s="38">
        <v>45169</v>
      </c>
      <c r="I70" s="38" t="s">
        <v>1821</v>
      </c>
      <c r="J70" s="42">
        <v>912</v>
      </c>
      <c r="K70" s="43">
        <v>323254</v>
      </c>
    </row>
    <row r="71" spans="1:11" x14ac:dyDescent="0.25">
      <c r="A71" s="38">
        <v>45199</v>
      </c>
      <c r="B71" s="33" t="s">
        <v>397</v>
      </c>
      <c r="C71" s="36" t="s">
        <v>165</v>
      </c>
      <c r="D71" s="34" t="s">
        <v>352</v>
      </c>
      <c r="E71" s="34"/>
      <c r="F71" s="37">
        <v>224431</v>
      </c>
      <c r="G71" s="37">
        <v>224431</v>
      </c>
      <c r="H71" s="38">
        <v>45199</v>
      </c>
      <c r="I71" s="38" t="s">
        <v>1821</v>
      </c>
      <c r="J71" s="42">
        <v>882</v>
      </c>
      <c r="K71" s="43">
        <v>224431</v>
      </c>
    </row>
    <row r="72" spans="1:11" x14ac:dyDescent="0.25">
      <c r="A72" s="38">
        <v>45230</v>
      </c>
      <c r="B72" s="33" t="s">
        <v>398</v>
      </c>
      <c r="C72" s="36" t="s">
        <v>165</v>
      </c>
      <c r="D72" s="34" t="s">
        <v>352</v>
      </c>
      <c r="E72" s="34"/>
      <c r="F72" s="37">
        <v>402829</v>
      </c>
      <c r="G72" s="37">
        <v>402829</v>
      </c>
      <c r="H72" s="38">
        <v>45230</v>
      </c>
      <c r="I72" s="38" t="s">
        <v>1821</v>
      </c>
      <c r="J72" s="42">
        <v>851</v>
      </c>
      <c r="K72" s="43">
        <v>402829</v>
      </c>
    </row>
    <row r="73" spans="1:11" x14ac:dyDescent="0.25">
      <c r="A73" s="38">
        <v>45260</v>
      </c>
      <c r="B73" s="33" t="s">
        <v>399</v>
      </c>
      <c r="C73" s="36" t="s">
        <v>165</v>
      </c>
      <c r="D73" s="34" t="s">
        <v>352</v>
      </c>
      <c r="E73" s="34"/>
      <c r="F73" s="37">
        <v>25684</v>
      </c>
      <c r="G73" s="37">
        <v>25684</v>
      </c>
      <c r="H73" s="38">
        <v>45260</v>
      </c>
      <c r="I73" s="38" t="s">
        <v>1821</v>
      </c>
      <c r="J73" s="42">
        <v>821</v>
      </c>
      <c r="K73" s="43">
        <v>25684</v>
      </c>
    </row>
    <row r="74" spans="1:11" x14ac:dyDescent="0.25">
      <c r="A74" s="38">
        <v>45291</v>
      </c>
      <c r="B74" s="33" t="s">
        <v>400</v>
      </c>
      <c r="C74" s="36" t="s">
        <v>165</v>
      </c>
      <c r="D74" s="34" t="s">
        <v>352</v>
      </c>
      <c r="E74" s="34"/>
      <c r="F74" s="37">
        <v>173274</v>
      </c>
      <c r="G74" s="37">
        <v>173274</v>
      </c>
      <c r="H74" s="38">
        <v>45291</v>
      </c>
      <c r="I74" s="38" t="s">
        <v>1821</v>
      </c>
      <c r="J74" s="42">
        <v>790</v>
      </c>
      <c r="K74" s="43">
        <v>173274</v>
      </c>
    </row>
    <row r="75" spans="1:11" x14ac:dyDescent="0.25">
      <c r="A75" s="38">
        <v>45292</v>
      </c>
      <c r="B75" s="33" t="s">
        <v>401</v>
      </c>
      <c r="C75" s="36" t="s">
        <v>128</v>
      </c>
      <c r="D75" s="34" t="s">
        <v>402</v>
      </c>
      <c r="E75" s="34"/>
      <c r="F75" s="37">
        <v>736320</v>
      </c>
      <c r="G75" s="37">
        <v>736320</v>
      </c>
      <c r="H75" s="38">
        <v>45292</v>
      </c>
      <c r="I75" s="38" t="s">
        <v>1821</v>
      </c>
      <c r="J75" s="42">
        <v>789</v>
      </c>
      <c r="K75" s="43">
        <v>736320</v>
      </c>
    </row>
    <row r="76" spans="1:11" x14ac:dyDescent="0.25">
      <c r="A76" s="38">
        <v>45316</v>
      </c>
      <c r="B76" s="33" t="s">
        <v>403</v>
      </c>
      <c r="C76" s="36" t="s">
        <v>108</v>
      </c>
      <c r="D76" s="34" t="s">
        <v>373</v>
      </c>
      <c r="E76" s="34"/>
      <c r="F76" s="39">
        <v>200000</v>
      </c>
      <c r="G76" s="39">
        <v>200000</v>
      </c>
      <c r="H76" s="38">
        <v>45316</v>
      </c>
      <c r="I76" s="38" t="s">
        <v>1821</v>
      </c>
      <c r="J76" s="42">
        <v>765</v>
      </c>
      <c r="K76" s="43">
        <v>-200000</v>
      </c>
    </row>
    <row r="77" spans="1:11" x14ac:dyDescent="0.25">
      <c r="A77" s="38">
        <v>45322</v>
      </c>
      <c r="B77" s="33" t="s">
        <v>404</v>
      </c>
      <c r="C77" s="36" t="s">
        <v>165</v>
      </c>
      <c r="D77" s="34" t="s">
        <v>352</v>
      </c>
      <c r="E77" s="34"/>
      <c r="F77" s="37">
        <v>293047.34000000003</v>
      </c>
      <c r="G77" s="37">
        <v>293047.34000000003</v>
      </c>
      <c r="H77" s="38">
        <v>45322</v>
      </c>
      <c r="I77" s="38" t="s">
        <v>1821</v>
      </c>
      <c r="J77" s="42">
        <v>759</v>
      </c>
      <c r="K77" s="43">
        <v>293047.34000000003</v>
      </c>
    </row>
    <row r="78" spans="1:11" x14ac:dyDescent="0.25">
      <c r="A78" s="38">
        <v>45351</v>
      </c>
      <c r="B78" s="33" t="s">
        <v>405</v>
      </c>
      <c r="C78" s="36" t="s">
        <v>165</v>
      </c>
      <c r="D78" s="34" t="s">
        <v>352</v>
      </c>
      <c r="E78" s="34"/>
      <c r="F78" s="37">
        <v>119823</v>
      </c>
      <c r="G78" s="37">
        <v>119823</v>
      </c>
      <c r="H78" s="38">
        <v>45351</v>
      </c>
      <c r="I78" s="38" t="s">
        <v>1821</v>
      </c>
      <c r="J78" s="42">
        <v>730</v>
      </c>
      <c r="K78" s="43">
        <v>119823</v>
      </c>
    </row>
    <row r="79" spans="1:11" x14ac:dyDescent="0.25">
      <c r="A79" s="38">
        <v>45381</v>
      </c>
      <c r="B79" s="33" t="s">
        <v>406</v>
      </c>
      <c r="C79" s="36" t="s">
        <v>211</v>
      </c>
      <c r="D79" s="34" t="s">
        <v>376</v>
      </c>
      <c r="E79" s="34"/>
      <c r="F79" s="37">
        <v>1802463.72</v>
      </c>
      <c r="G79" s="37">
        <v>0.72</v>
      </c>
      <c r="H79" s="38">
        <v>45381</v>
      </c>
      <c r="I79" s="38" t="s">
        <v>1821</v>
      </c>
      <c r="J79" s="42">
        <v>700</v>
      </c>
      <c r="K79" s="43">
        <v>0.72</v>
      </c>
    </row>
    <row r="80" spans="1:11" x14ac:dyDescent="0.25">
      <c r="A80" s="38">
        <v>45382</v>
      </c>
      <c r="B80" s="33" t="s">
        <v>407</v>
      </c>
      <c r="C80" s="36" t="s">
        <v>165</v>
      </c>
      <c r="D80" s="34" t="s">
        <v>352</v>
      </c>
      <c r="E80" s="34"/>
      <c r="F80" s="37">
        <v>356279.65</v>
      </c>
      <c r="G80" s="37">
        <v>356279.65</v>
      </c>
      <c r="H80" s="38">
        <v>45382</v>
      </c>
      <c r="I80" s="38" t="s">
        <v>1821</v>
      </c>
      <c r="J80" s="42">
        <v>699</v>
      </c>
      <c r="K80" s="43">
        <v>356279.65</v>
      </c>
    </row>
    <row r="81" spans="1:11" x14ac:dyDescent="0.25">
      <c r="A81" s="38">
        <v>45382</v>
      </c>
      <c r="B81" s="33" t="s">
        <v>408</v>
      </c>
      <c r="C81" s="36" t="s">
        <v>279</v>
      </c>
      <c r="D81" s="34" t="s">
        <v>341</v>
      </c>
      <c r="E81" s="34"/>
      <c r="F81" s="37">
        <v>162487</v>
      </c>
      <c r="G81" s="37">
        <v>162487</v>
      </c>
      <c r="H81" s="38">
        <v>45382</v>
      </c>
      <c r="I81" s="38" t="s">
        <v>1821</v>
      </c>
      <c r="J81" s="42">
        <v>699</v>
      </c>
      <c r="K81" s="43">
        <v>162487</v>
      </c>
    </row>
    <row r="82" spans="1:11" x14ac:dyDescent="0.25">
      <c r="A82" s="38">
        <v>45412</v>
      </c>
      <c r="B82" s="33" t="s">
        <v>409</v>
      </c>
      <c r="C82" s="36" t="s">
        <v>165</v>
      </c>
      <c r="D82" s="34" t="s">
        <v>352</v>
      </c>
      <c r="E82" s="34"/>
      <c r="F82" s="37">
        <v>172903.44</v>
      </c>
      <c r="G82" s="37">
        <v>172903.44</v>
      </c>
      <c r="H82" s="38">
        <v>45412</v>
      </c>
      <c r="I82" s="38" t="s">
        <v>1821</v>
      </c>
      <c r="J82" s="42">
        <v>669</v>
      </c>
      <c r="K82" s="43">
        <v>172903.44</v>
      </c>
    </row>
    <row r="83" spans="1:11" x14ac:dyDescent="0.25">
      <c r="A83" s="38">
        <v>45434</v>
      </c>
      <c r="B83" s="33" t="s">
        <v>410</v>
      </c>
      <c r="C83" s="36" t="s">
        <v>185</v>
      </c>
      <c r="D83" s="34" t="s">
        <v>402</v>
      </c>
      <c r="E83" s="34"/>
      <c r="F83" s="37">
        <v>2369490</v>
      </c>
      <c r="G83" s="37">
        <v>913160</v>
      </c>
      <c r="H83" s="38">
        <v>45434</v>
      </c>
      <c r="I83" s="38" t="s">
        <v>1821</v>
      </c>
      <c r="J83" s="42">
        <v>647</v>
      </c>
      <c r="K83" s="43">
        <v>913160</v>
      </c>
    </row>
    <row r="84" spans="1:11" x14ac:dyDescent="0.25">
      <c r="A84" s="38">
        <v>45443</v>
      </c>
      <c r="B84" s="33" t="s">
        <v>411</v>
      </c>
      <c r="C84" s="36" t="s">
        <v>238</v>
      </c>
      <c r="D84" s="34" t="s">
        <v>412</v>
      </c>
      <c r="E84" s="34"/>
      <c r="F84" s="37">
        <v>76000</v>
      </c>
      <c r="G84" s="37">
        <v>76000</v>
      </c>
      <c r="H84" s="38">
        <v>45443</v>
      </c>
      <c r="I84" s="38" t="s">
        <v>1821</v>
      </c>
      <c r="J84" s="42">
        <v>638</v>
      </c>
      <c r="K84" s="43">
        <v>76000</v>
      </c>
    </row>
    <row r="85" spans="1:11" x14ac:dyDescent="0.25">
      <c r="A85" s="38">
        <v>45444</v>
      </c>
      <c r="B85" s="33" t="s">
        <v>413</v>
      </c>
      <c r="C85" s="36" t="s">
        <v>105</v>
      </c>
      <c r="D85" s="34" t="s">
        <v>373</v>
      </c>
      <c r="E85" s="34"/>
      <c r="F85" s="37">
        <v>10723.76</v>
      </c>
      <c r="G85" s="37">
        <v>0.44</v>
      </c>
      <c r="H85" s="38">
        <v>45444</v>
      </c>
      <c r="I85" s="38" t="s">
        <v>1821</v>
      </c>
      <c r="J85" s="42">
        <v>637</v>
      </c>
      <c r="K85" s="43">
        <v>0.44</v>
      </c>
    </row>
    <row r="86" spans="1:11" x14ac:dyDescent="0.25">
      <c r="A86" s="38">
        <v>45444</v>
      </c>
      <c r="B86" s="33" t="s">
        <v>414</v>
      </c>
      <c r="C86" s="36" t="s">
        <v>165</v>
      </c>
      <c r="D86" s="34" t="s">
        <v>352</v>
      </c>
      <c r="E86" s="34"/>
      <c r="F86" s="37">
        <v>286461.15999999997</v>
      </c>
      <c r="G86" s="37">
        <v>286461.15999999997</v>
      </c>
      <c r="H86" s="38">
        <v>45444</v>
      </c>
      <c r="I86" s="38" t="s">
        <v>1821</v>
      </c>
      <c r="J86" s="42">
        <v>637</v>
      </c>
      <c r="K86" s="43">
        <v>286461.15999999997</v>
      </c>
    </row>
    <row r="87" spans="1:11" x14ac:dyDescent="0.25">
      <c r="A87" s="38">
        <v>45454</v>
      </c>
      <c r="B87" s="33" t="s">
        <v>415</v>
      </c>
      <c r="C87" s="36" t="s">
        <v>50</v>
      </c>
      <c r="D87" s="34" t="s">
        <v>402</v>
      </c>
      <c r="E87" s="34"/>
      <c r="F87" s="37">
        <v>766855.8</v>
      </c>
      <c r="G87" s="37">
        <v>766855.8</v>
      </c>
      <c r="H87" s="38">
        <v>45454</v>
      </c>
      <c r="I87" s="38" t="s">
        <v>1821</v>
      </c>
      <c r="J87" s="42">
        <v>627</v>
      </c>
      <c r="K87" s="43">
        <v>766855.8</v>
      </c>
    </row>
    <row r="88" spans="1:11" x14ac:dyDescent="0.25">
      <c r="A88" s="38">
        <v>45474</v>
      </c>
      <c r="B88" s="33" t="s">
        <v>416</v>
      </c>
      <c r="C88" s="36" t="s">
        <v>165</v>
      </c>
      <c r="D88" s="34" t="s">
        <v>352</v>
      </c>
      <c r="E88" s="34"/>
      <c r="F88" s="37">
        <v>448716.52</v>
      </c>
      <c r="G88" s="37">
        <v>448716.52</v>
      </c>
      <c r="H88" s="38">
        <v>45474</v>
      </c>
      <c r="I88" s="38" t="s">
        <v>1821</v>
      </c>
      <c r="J88" s="42">
        <v>607</v>
      </c>
      <c r="K88" s="43">
        <v>448716.52</v>
      </c>
    </row>
    <row r="89" spans="1:11" x14ac:dyDescent="0.25">
      <c r="A89" s="38">
        <v>45504</v>
      </c>
      <c r="B89" s="33" t="s">
        <v>417</v>
      </c>
      <c r="C89" s="36" t="s">
        <v>165</v>
      </c>
      <c r="D89" s="34" t="s">
        <v>352</v>
      </c>
      <c r="E89" s="34"/>
      <c r="F89" s="37">
        <v>745154.61</v>
      </c>
      <c r="G89" s="37">
        <v>745154.61</v>
      </c>
      <c r="H89" s="38">
        <v>45504</v>
      </c>
      <c r="I89" s="38" t="s">
        <v>1821</v>
      </c>
      <c r="J89" s="42">
        <v>577</v>
      </c>
      <c r="K89" s="43">
        <v>745154.61</v>
      </c>
    </row>
    <row r="90" spans="1:11" x14ac:dyDescent="0.25">
      <c r="A90" s="38">
        <v>45512</v>
      </c>
      <c r="B90" s="33" t="s">
        <v>419</v>
      </c>
      <c r="C90" s="36" t="s">
        <v>263</v>
      </c>
      <c r="D90" s="34" t="s">
        <v>402</v>
      </c>
      <c r="E90" s="34"/>
      <c r="F90" s="39">
        <v>350000</v>
      </c>
      <c r="G90" s="39">
        <v>350000</v>
      </c>
      <c r="H90" s="38">
        <v>45512</v>
      </c>
      <c r="I90" s="38" t="s">
        <v>1821</v>
      </c>
      <c r="J90" s="42">
        <v>569</v>
      </c>
      <c r="K90" s="43">
        <v>-350000</v>
      </c>
    </row>
    <row r="91" spans="1:11" x14ac:dyDescent="0.25">
      <c r="A91" s="38">
        <v>45536</v>
      </c>
      <c r="B91" s="33" t="s">
        <v>420</v>
      </c>
      <c r="C91" s="36" t="s">
        <v>184</v>
      </c>
      <c r="D91" s="34" t="s">
        <v>402</v>
      </c>
      <c r="E91" s="34"/>
      <c r="F91" s="37">
        <v>135200</v>
      </c>
      <c r="G91" s="37">
        <v>135200</v>
      </c>
      <c r="H91" s="38">
        <v>45536</v>
      </c>
      <c r="I91" s="38" t="s">
        <v>1821</v>
      </c>
      <c r="J91" s="42">
        <v>545</v>
      </c>
      <c r="K91" s="43">
        <v>135200</v>
      </c>
    </row>
    <row r="92" spans="1:11" x14ac:dyDescent="0.25">
      <c r="A92" s="38">
        <v>45594</v>
      </c>
      <c r="B92" s="33" t="s">
        <v>421</v>
      </c>
      <c r="C92" s="36" t="s">
        <v>137</v>
      </c>
      <c r="D92" s="34" t="s">
        <v>393</v>
      </c>
      <c r="E92" s="34"/>
      <c r="F92" s="37">
        <v>786935</v>
      </c>
      <c r="G92" s="37">
        <v>786935</v>
      </c>
      <c r="H92" s="38">
        <v>45594</v>
      </c>
      <c r="I92" s="38" t="s">
        <v>1821</v>
      </c>
      <c r="J92" s="42">
        <v>487</v>
      </c>
      <c r="K92" s="43">
        <v>786935</v>
      </c>
    </row>
    <row r="93" spans="1:11" x14ac:dyDescent="0.25">
      <c r="A93" s="38">
        <v>45626</v>
      </c>
      <c r="B93" s="33" t="s">
        <v>422</v>
      </c>
      <c r="C93" s="36" t="s">
        <v>281</v>
      </c>
      <c r="D93" s="34" t="s">
        <v>402</v>
      </c>
      <c r="E93" s="34"/>
      <c r="F93" s="37">
        <v>159803.12</v>
      </c>
      <c r="G93" s="37">
        <v>159803.12</v>
      </c>
      <c r="H93" s="38">
        <v>45626</v>
      </c>
      <c r="I93" s="38" t="s">
        <v>1821</v>
      </c>
      <c r="J93" s="42">
        <v>455</v>
      </c>
      <c r="K93" s="43">
        <v>159803.12</v>
      </c>
    </row>
    <row r="94" spans="1:11" x14ac:dyDescent="0.25">
      <c r="A94" s="38">
        <v>45645</v>
      </c>
      <c r="B94" s="33" t="s">
        <v>423</v>
      </c>
      <c r="C94" s="36" t="s">
        <v>244</v>
      </c>
      <c r="D94" s="34" t="s">
        <v>412</v>
      </c>
      <c r="E94" s="34"/>
      <c r="F94" s="37">
        <v>734200</v>
      </c>
      <c r="G94" s="37">
        <v>74970</v>
      </c>
      <c r="H94" s="38">
        <v>45645</v>
      </c>
      <c r="I94" s="38" t="s">
        <v>1821</v>
      </c>
      <c r="J94" s="42">
        <v>436</v>
      </c>
      <c r="K94" s="43">
        <v>74970</v>
      </c>
    </row>
    <row r="95" spans="1:11" x14ac:dyDescent="0.25">
      <c r="A95" s="38">
        <v>45646</v>
      </c>
      <c r="B95" s="33" t="s">
        <v>424</v>
      </c>
      <c r="C95" s="36" t="s">
        <v>425</v>
      </c>
      <c r="D95" s="34" t="s">
        <v>426</v>
      </c>
      <c r="E95" s="34"/>
      <c r="F95" s="37">
        <v>75479.039999999994</v>
      </c>
      <c r="G95" s="37">
        <v>0.01</v>
      </c>
      <c r="H95" s="38">
        <v>45646</v>
      </c>
      <c r="I95" s="38" t="s">
        <v>1821</v>
      </c>
      <c r="J95" s="42">
        <v>435</v>
      </c>
      <c r="K95" s="43">
        <v>0.01</v>
      </c>
    </row>
    <row r="96" spans="1:11" x14ac:dyDescent="0.25">
      <c r="A96" s="38">
        <v>45647</v>
      </c>
      <c r="B96" s="33" t="s">
        <v>427</v>
      </c>
      <c r="C96" s="36" t="s">
        <v>212</v>
      </c>
      <c r="D96" s="34" t="s">
        <v>373</v>
      </c>
      <c r="E96" s="34"/>
      <c r="F96" s="39">
        <v>64216.62</v>
      </c>
      <c r="G96" s="37">
        <v>45</v>
      </c>
      <c r="H96" s="38">
        <v>45647</v>
      </c>
      <c r="I96" s="38" t="s">
        <v>1821</v>
      </c>
      <c r="J96" s="42">
        <v>434</v>
      </c>
      <c r="K96" s="43">
        <v>45</v>
      </c>
    </row>
    <row r="97" spans="1:11" x14ac:dyDescent="0.25">
      <c r="A97" s="38">
        <v>45684</v>
      </c>
      <c r="B97" s="33" t="s">
        <v>428</v>
      </c>
      <c r="C97" s="36" t="s">
        <v>212</v>
      </c>
      <c r="D97" s="34" t="s">
        <v>8</v>
      </c>
      <c r="E97" s="34"/>
      <c r="F97" s="37">
        <v>48112.75</v>
      </c>
      <c r="G97" s="37">
        <v>48112.75</v>
      </c>
      <c r="H97" s="38">
        <v>45684</v>
      </c>
      <c r="I97" s="38" t="s">
        <v>1821</v>
      </c>
      <c r="J97" s="42">
        <v>397</v>
      </c>
      <c r="K97" s="43">
        <v>48112.75</v>
      </c>
    </row>
    <row r="98" spans="1:11" x14ac:dyDescent="0.25">
      <c r="A98" s="38">
        <v>45684</v>
      </c>
      <c r="B98" s="33" t="s">
        <v>429</v>
      </c>
      <c r="C98" s="36" t="s">
        <v>248</v>
      </c>
      <c r="D98" s="34" t="s">
        <v>8</v>
      </c>
      <c r="E98" s="34"/>
      <c r="F98" s="37">
        <v>424588</v>
      </c>
      <c r="G98" s="37">
        <v>179584.78</v>
      </c>
      <c r="H98" s="38">
        <v>45684</v>
      </c>
      <c r="I98" s="38" t="s">
        <v>1821</v>
      </c>
      <c r="J98" s="42">
        <v>397</v>
      </c>
      <c r="K98" s="43">
        <v>179584.78</v>
      </c>
    </row>
    <row r="99" spans="1:11" x14ac:dyDescent="0.25">
      <c r="A99" s="38">
        <v>45689</v>
      </c>
      <c r="B99" s="33" t="s">
        <v>430</v>
      </c>
      <c r="C99" s="36" t="s">
        <v>248</v>
      </c>
      <c r="D99" s="34" t="s">
        <v>8</v>
      </c>
      <c r="E99" s="34"/>
      <c r="F99" s="37">
        <v>115214</v>
      </c>
      <c r="G99" s="37">
        <v>115214</v>
      </c>
      <c r="H99" s="38">
        <v>45689</v>
      </c>
      <c r="I99" s="38" t="s">
        <v>1821</v>
      </c>
      <c r="J99" s="42">
        <v>392</v>
      </c>
      <c r="K99" s="43">
        <v>115214</v>
      </c>
    </row>
    <row r="100" spans="1:11" x14ac:dyDescent="0.25">
      <c r="A100" s="38">
        <v>45692</v>
      </c>
      <c r="B100" s="33" t="s">
        <v>431</v>
      </c>
      <c r="C100" s="36" t="s">
        <v>33</v>
      </c>
      <c r="D100" s="34" t="s">
        <v>373</v>
      </c>
      <c r="E100" s="34"/>
      <c r="F100" s="39">
        <v>800000</v>
      </c>
      <c r="G100" s="39">
        <v>13127.04</v>
      </c>
      <c r="H100" s="38">
        <v>45692</v>
      </c>
      <c r="I100" s="38" t="s">
        <v>1821</v>
      </c>
      <c r="J100" s="42">
        <v>389</v>
      </c>
      <c r="K100" s="43">
        <v>-13127.04</v>
      </c>
    </row>
    <row r="101" spans="1:11" x14ac:dyDescent="0.25">
      <c r="A101" s="38">
        <v>45710</v>
      </c>
      <c r="B101" s="33" t="s">
        <v>432</v>
      </c>
      <c r="C101" s="36" t="s">
        <v>247</v>
      </c>
      <c r="D101" s="34" t="s">
        <v>433</v>
      </c>
      <c r="E101" s="34"/>
      <c r="F101" s="37">
        <v>333396</v>
      </c>
      <c r="G101" s="37">
        <v>350065.3</v>
      </c>
      <c r="H101" s="38">
        <v>45710</v>
      </c>
      <c r="I101" s="38" t="s">
        <v>1821</v>
      </c>
      <c r="J101" s="42">
        <v>371</v>
      </c>
      <c r="K101" s="43">
        <v>350065.3</v>
      </c>
    </row>
    <row r="102" spans="1:11" x14ac:dyDescent="0.25">
      <c r="A102" s="38">
        <v>45722</v>
      </c>
      <c r="B102" s="33" t="s">
        <v>434</v>
      </c>
      <c r="C102" s="36" t="s">
        <v>255</v>
      </c>
      <c r="D102" s="34" t="s">
        <v>435</v>
      </c>
      <c r="E102" s="34"/>
      <c r="F102" s="39">
        <v>875733.94</v>
      </c>
      <c r="G102" s="37">
        <v>1529560.02</v>
      </c>
      <c r="H102" s="38">
        <v>45722</v>
      </c>
      <c r="I102" s="38" t="s">
        <v>1820</v>
      </c>
      <c r="J102" s="42">
        <v>359</v>
      </c>
      <c r="K102" s="43">
        <v>1529560.02</v>
      </c>
    </row>
    <row r="103" spans="1:11" x14ac:dyDescent="0.25">
      <c r="A103" s="38">
        <v>45727</v>
      </c>
      <c r="B103" s="33" t="s">
        <v>436</v>
      </c>
      <c r="C103" s="36" t="s">
        <v>59</v>
      </c>
      <c r="D103" s="34" t="s">
        <v>426</v>
      </c>
      <c r="E103" s="34"/>
      <c r="F103" s="37">
        <v>10584</v>
      </c>
      <c r="G103" s="37">
        <v>10584</v>
      </c>
      <c r="H103" s="38">
        <v>45727</v>
      </c>
      <c r="I103" s="38" t="s">
        <v>1820</v>
      </c>
      <c r="J103" s="42">
        <v>354</v>
      </c>
      <c r="K103" s="43">
        <v>10584</v>
      </c>
    </row>
    <row r="104" spans="1:11" x14ac:dyDescent="0.25">
      <c r="A104" s="38">
        <v>45746</v>
      </c>
      <c r="B104" s="33" t="s">
        <v>437</v>
      </c>
      <c r="C104" s="36" t="s">
        <v>81</v>
      </c>
      <c r="D104" s="34" t="s">
        <v>8</v>
      </c>
      <c r="E104" s="34"/>
      <c r="F104" s="37">
        <v>4244400</v>
      </c>
      <c r="G104" s="37">
        <v>3557769.26</v>
      </c>
      <c r="H104" s="38">
        <v>45746</v>
      </c>
      <c r="I104" s="38" t="s">
        <v>1820</v>
      </c>
      <c r="J104" s="42">
        <v>335</v>
      </c>
      <c r="K104" s="43">
        <v>3557769.26</v>
      </c>
    </row>
    <row r="105" spans="1:11" x14ac:dyDescent="0.25">
      <c r="A105" s="38">
        <v>45747</v>
      </c>
      <c r="B105" s="33" t="s">
        <v>438</v>
      </c>
      <c r="C105" s="36" t="s">
        <v>81</v>
      </c>
      <c r="D105" s="34" t="s">
        <v>393</v>
      </c>
      <c r="E105" s="34"/>
      <c r="F105" s="37">
        <v>6338200</v>
      </c>
      <c r="G105" s="37">
        <v>3838200</v>
      </c>
      <c r="H105" s="38">
        <v>45747</v>
      </c>
      <c r="I105" s="38" t="s">
        <v>1820</v>
      </c>
      <c r="J105" s="42">
        <v>334</v>
      </c>
      <c r="K105" s="43">
        <v>3838200</v>
      </c>
    </row>
    <row r="106" spans="1:11" x14ac:dyDescent="0.25">
      <c r="A106" s="38">
        <v>45747</v>
      </c>
      <c r="B106" s="33" t="s">
        <v>439</v>
      </c>
      <c r="C106" s="36" t="s">
        <v>210</v>
      </c>
      <c r="D106" s="34" t="s">
        <v>341</v>
      </c>
      <c r="E106" s="34"/>
      <c r="F106" s="37">
        <v>993798.89</v>
      </c>
      <c r="G106" s="37">
        <v>293798.89</v>
      </c>
      <c r="H106" s="38">
        <v>45747</v>
      </c>
      <c r="I106" s="38" t="s">
        <v>1820</v>
      </c>
      <c r="J106" s="42">
        <v>334</v>
      </c>
      <c r="K106" s="43">
        <v>293798.89</v>
      </c>
    </row>
    <row r="107" spans="1:11" x14ac:dyDescent="0.25">
      <c r="A107" s="38">
        <v>45747</v>
      </c>
      <c r="B107" s="33" t="s">
        <v>440</v>
      </c>
      <c r="C107" s="36" t="s">
        <v>304</v>
      </c>
      <c r="D107" s="34" t="s">
        <v>8</v>
      </c>
      <c r="E107" s="34"/>
      <c r="F107" s="37">
        <v>1318560.75</v>
      </c>
      <c r="G107" s="37">
        <v>819292.57</v>
      </c>
      <c r="H107" s="38">
        <v>45747</v>
      </c>
      <c r="I107" s="38" t="s">
        <v>1820</v>
      </c>
      <c r="J107" s="42">
        <v>334</v>
      </c>
      <c r="K107" s="43">
        <v>819292.57</v>
      </c>
    </row>
    <row r="108" spans="1:11" x14ac:dyDescent="0.25">
      <c r="A108" s="38">
        <v>45748</v>
      </c>
      <c r="B108" s="33" t="s">
        <v>441</v>
      </c>
      <c r="C108" s="36" t="s">
        <v>442</v>
      </c>
      <c r="D108" s="34" t="s">
        <v>433</v>
      </c>
      <c r="E108" s="34"/>
      <c r="F108" s="37">
        <v>263300.37</v>
      </c>
      <c r="G108" s="37">
        <v>0.22</v>
      </c>
      <c r="H108" s="38">
        <v>45748</v>
      </c>
      <c r="I108" s="38" t="s">
        <v>1820</v>
      </c>
      <c r="J108" s="42">
        <v>333</v>
      </c>
      <c r="K108" s="43">
        <v>0.22</v>
      </c>
    </row>
    <row r="109" spans="1:11" x14ac:dyDescent="0.25">
      <c r="A109" s="38">
        <v>45751</v>
      </c>
      <c r="B109" s="33" t="s">
        <v>443</v>
      </c>
      <c r="C109" s="36" t="s">
        <v>81</v>
      </c>
      <c r="D109" s="34" t="s">
        <v>393</v>
      </c>
      <c r="E109" s="34"/>
      <c r="F109" s="37">
        <v>2240100</v>
      </c>
      <c r="G109" s="37">
        <v>2240100</v>
      </c>
      <c r="H109" s="38">
        <v>45751</v>
      </c>
      <c r="I109" s="38" t="s">
        <v>1820</v>
      </c>
      <c r="J109" s="42">
        <v>330</v>
      </c>
      <c r="K109" s="43">
        <v>2240100</v>
      </c>
    </row>
    <row r="110" spans="1:11" x14ac:dyDescent="0.25">
      <c r="A110" s="38">
        <v>45758</v>
      </c>
      <c r="B110" s="33" t="s">
        <v>444</v>
      </c>
      <c r="C110" s="36" t="s">
        <v>207</v>
      </c>
      <c r="D110" s="34" t="s">
        <v>379</v>
      </c>
      <c r="E110" s="34"/>
      <c r="F110" s="37">
        <v>27562.5</v>
      </c>
      <c r="G110" s="37">
        <v>27562.5</v>
      </c>
      <c r="H110" s="38">
        <v>45788</v>
      </c>
      <c r="I110" s="38" t="s">
        <v>1820</v>
      </c>
      <c r="J110" s="42">
        <v>293</v>
      </c>
      <c r="K110" s="43">
        <v>27562.5</v>
      </c>
    </row>
    <row r="111" spans="1:11" x14ac:dyDescent="0.25">
      <c r="A111" s="38">
        <v>45758</v>
      </c>
      <c r="B111" s="33" t="s">
        <v>445</v>
      </c>
      <c r="C111" s="36" t="s">
        <v>207</v>
      </c>
      <c r="D111" s="34" t="s">
        <v>379</v>
      </c>
      <c r="E111" s="34"/>
      <c r="F111" s="37">
        <v>44100</v>
      </c>
      <c r="G111" s="37">
        <v>23625</v>
      </c>
      <c r="H111" s="38">
        <v>45788</v>
      </c>
      <c r="I111" s="38" t="s">
        <v>1820</v>
      </c>
      <c r="J111" s="42">
        <v>293</v>
      </c>
      <c r="K111" s="43">
        <v>23625</v>
      </c>
    </row>
    <row r="112" spans="1:11" x14ac:dyDescent="0.25">
      <c r="A112" s="38">
        <v>45777</v>
      </c>
      <c r="B112" s="33" t="s">
        <v>446</v>
      </c>
      <c r="C112" s="36" t="s">
        <v>200</v>
      </c>
      <c r="D112" s="34" t="s">
        <v>352</v>
      </c>
      <c r="E112" s="34"/>
      <c r="F112" s="37">
        <v>23600</v>
      </c>
      <c r="G112" s="37">
        <v>23600</v>
      </c>
      <c r="H112" s="38">
        <v>45777</v>
      </c>
      <c r="I112" s="38" t="s">
        <v>1820</v>
      </c>
      <c r="J112" s="42">
        <v>304</v>
      </c>
      <c r="K112" s="43">
        <v>23600</v>
      </c>
    </row>
    <row r="113" spans="1:11" x14ac:dyDescent="0.25">
      <c r="A113" s="38">
        <v>45777</v>
      </c>
      <c r="B113" s="33" t="s">
        <v>448</v>
      </c>
      <c r="C113" s="36" t="s">
        <v>202</v>
      </c>
      <c r="D113" s="34" t="s">
        <v>449</v>
      </c>
      <c r="E113" s="34"/>
      <c r="F113" s="37">
        <v>943113.04</v>
      </c>
      <c r="G113" s="37">
        <v>943113.04</v>
      </c>
      <c r="H113" s="38">
        <v>45777</v>
      </c>
      <c r="I113" s="38" t="s">
        <v>1820</v>
      </c>
      <c r="J113" s="42">
        <v>304</v>
      </c>
      <c r="K113" s="43">
        <v>943113.04</v>
      </c>
    </row>
    <row r="114" spans="1:11" x14ac:dyDescent="0.25">
      <c r="A114" s="38">
        <v>45777</v>
      </c>
      <c r="B114" s="33" t="s">
        <v>450</v>
      </c>
      <c r="C114" s="36" t="s">
        <v>203</v>
      </c>
      <c r="D114" s="34" t="s">
        <v>433</v>
      </c>
      <c r="E114" s="34"/>
      <c r="F114" s="37">
        <v>752725.28</v>
      </c>
      <c r="G114" s="37">
        <v>721725.28</v>
      </c>
      <c r="H114" s="38">
        <v>45777</v>
      </c>
      <c r="I114" s="38" t="s">
        <v>1820</v>
      </c>
      <c r="J114" s="42">
        <v>304</v>
      </c>
      <c r="K114" s="43">
        <v>721725.28</v>
      </c>
    </row>
    <row r="115" spans="1:11" x14ac:dyDescent="0.25">
      <c r="A115" s="38">
        <v>45777</v>
      </c>
      <c r="B115" s="33" t="s">
        <v>451</v>
      </c>
      <c r="C115" s="36" t="s">
        <v>203</v>
      </c>
      <c r="D115" s="34" t="s">
        <v>435</v>
      </c>
      <c r="E115" s="34"/>
      <c r="F115" s="37">
        <v>94238</v>
      </c>
      <c r="G115" s="37">
        <v>77269.759999999995</v>
      </c>
      <c r="H115" s="38">
        <v>45807</v>
      </c>
      <c r="I115" s="38" t="s">
        <v>1820</v>
      </c>
      <c r="J115" s="42">
        <v>274</v>
      </c>
      <c r="K115" s="43">
        <v>77269.759999999995</v>
      </c>
    </row>
    <row r="116" spans="1:11" x14ac:dyDescent="0.25">
      <c r="A116" s="38">
        <v>45777</v>
      </c>
      <c r="B116" s="33" t="s">
        <v>452</v>
      </c>
      <c r="C116" s="36" t="s">
        <v>203</v>
      </c>
      <c r="D116" s="34" t="s">
        <v>435</v>
      </c>
      <c r="E116" s="34"/>
      <c r="F116" s="37">
        <v>253273</v>
      </c>
      <c r="G116" s="37">
        <v>253273</v>
      </c>
      <c r="H116" s="38">
        <v>45807</v>
      </c>
      <c r="I116" s="38" t="s">
        <v>1820</v>
      </c>
      <c r="J116" s="42">
        <v>274</v>
      </c>
      <c r="K116" s="43">
        <v>253273</v>
      </c>
    </row>
    <row r="117" spans="1:11" x14ac:dyDescent="0.25">
      <c r="A117" s="38">
        <v>45777</v>
      </c>
      <c r="B117" s="33" t="s">
        <v>453</v>
      </c>
      <c r="C117" s="36" t="s">
        <v>207</v>
      </c>
      <c r="D117" s="34" t="s">
        <v>379</v>
      </c>
      <c r="E117" s="34"/>
      <c r="F117" s="37">
        <v>441000</v>
      </c>
      <c r="G117" s="37">
        <v>315000</v>
      </c>
      <c r="H117" s="38">
        <v>45807</v>
      </c>
      <c r="I117" s="38" t="s">
        <v>1820</v>
      </c>
      <c r="J117" s="42">
        <v>274</v>
      </c>
      <c r="K117" s="43">
        <v>315000</v>
      </c>
    </row>
    <row r="118" spans="1:11" x14ac:dyDescent="0.25">
      <c r="A118" s="38">
        <v>45777</v>
      </c>
      <c r="B118" s="33" t="s">
        <v>454</v>
      </c>
      <c r="C118" s="36" t="s">
        <v>216</v>
      </c>
      <c r="D118" s="34" t="s">
        <v>433</v>
      </c>
      <c r="E118" s="34"/>
      <c r="F118" s="37">
        <v>1537000</v>
      </c>
      <c r="G118" s="37">
        <v>1408180.04</v>
      </c>
      <c r="H118" s="38">
        <v>45777</v>
      </c>
      <c r="I118" s="38" t="s">
        <v>1820</v>
      </c>
      <c r="J118" s="42">
        <v>304</v>
      </c>
      <c r="K118" s="43">
        <v>1408180.04</v>
      </c>
    </row>
    <row r="119" spans="1:11" x14ac:dyDescent="0.25">
      <c r="A119" s="38">
        <v>45778</v>
      </c>
      <c r="B119" s="33" t="s">
        <v>455</v>
      </c>
      <c r="C119" s="36" t="s">
        <v>112</v>
      </c>
      <c r="D119" s="34" t="s">
        <v>433</v>
      </c>
      <c r="E119" s="34"/>
      <c r="F119" s="37">
        <v>174000</v>
      </c>
      <c r="G119" s="37">
        <v>12000</v>
      </c>
      <c r="H119" s="38">
        <v>45778</v>
      </c>
      <c r="I119" s="38" t="s">
        <v>1820</v>
      </c>
      <c r="J119" s="42">
        <v>303</v>
      </c>
      <c r="K119" s="43">
        <v>12000</v>
      </c>
    </row>
    <row r="120" spans="1:11" x14ac:dyDescent="0.25">
      <c r="A120" s="38">
        <v>45791</v>
      </c>
      <c r="B120" s="33" t="s">
        <v>456</v>
      </c>
      <c r="C120" s="36" t="s">
        <v>159</v>
      </c>
      <c r="D120" s="34" t="s">
        <v>449</v>
      </c>
      <c r="E120" s="34"/>
      <c r="F120" s="39">
        <v>302150</v>
      </c>
      <c r="G120" s="37">
        <v>1</v>
      </c>
      <c r="H120" s="38">
        <v>45791</v>
      </c>
      <c r="I120" s="38" t="s">
        <v>1820</v>
      </c>
      <c r="J120" s="42">
        <v>290</v>
      </c>
      <c r="K120" s="43">
        <v>1</v>
      </c>
    </row>
    <row r="121" spans="1:11" x14ac:dyDescent="0.25">
      <c r="A121" s="38">
        <v>45792</v>
      </c>
      <c r="B121" s="33" t="s">
        <v>457</v>
      </c>
      <c r="C121" s="36" t="s">
        <v>46</v>
      </c>
      <c r="D121" s="34" t="s">
        <v>412</v>
      </c>
      <c r="E121" s="34"/>
      <c r="F121" s="37">
        <v>13806</v>
      </c>
      <c r="G121" s="37">
        <v>0.6</v>
      </c>
      <c r="H121" s="38">
        <v>45792</v>
      </c>
      <c r="I121" s="38" t="s">
        <v>1820</v>
      </c>
      <c r="J121" s="42">
        <v>289</v>
      </c>
      <c r="K121" s="43">
        <v>0.6</v>
      </c>
    </row>
    <row r="122" spans="1:11" x14ac:dyDescent="0.25">
      <c r="A122" s="38">
        <v>45796</v>
      </c>
      <c r="B122" s="33" t="s">
        <v>458</v>
      </c>
      <c r="C122" s="36" t="s">
        <v>127</v>
      </c>
      <c r="D122" s="34" t="s">
        <v>393</v>
      </c>
      <c r="E122" s="34"/>
      <c r="F122" s="37">
        <v>1420788.6</v>
      </c>
      <c r="G122" s="37">
        <v>816929.7</v>
      </c>
      <c r="H122" s="38">
        <v>45826</v>
      </c>
      <c r="I122" s="38" t="s">
        <v>1820</v>
      </c>
      <c r="J122" s="42">
        <v>255</v>
      </c>
      <c r="K122" s="43">
        <v>816929.7</v>
      </c>
    </row>
    <row r="123" spans="1:11" x14ac:dyDescent="0.25">
      <c r="A123" s="38">
        <v>45798</v>
      </c>
      <c r="B123" s="33" t="s">
        <v>459</v>
      </c>
      <c r="C123" s="36" t="s">
        <v>127</v>
      </c>
      <c r="D123" s="34" t="s">
        <v>393</v>
      </c>
      <c r="E123" s="34"/>
      <c r="F123" s="37">
        <v>1503348</v>
      </c>
      <c r="G123" s="37">
        <v>1503348</v>
      </c>
      <c r="H123" s="38">
        <v>45828</v>
      </c>
      <c r="I123" s="38" t="s">
        <v>1820</v>
      </c>
      <c r="J123" s="42">
        <v>253</v>
      </c>
      <c r="K123" s="43">
        <v>1503348</v>
      </c>
    </row>
    <row r="124" spans="1:11" x14ac:dyDescent="0.25">
      <c r="A124" s="38">
        <v>45802</v>
      </c>
      <c r="B124" s="33" t="s">
        <v>461</v>
      </c>
      <c r="C124" s="36" t="s">
        <v>260</v>
      </c>
      <c r="D124" s="34" t="s">
        <v>433</v>
      </c>
      <c r="E124" s="34"/>
      <c r="F124" s="37">
        <v>38651</v>
      </c>
      <c r="G124" s="37">
        <v>38651</v>
      </c>
      <c r="H124" s="38">
        <v>45862</v>
      </c>
      <c r="I124" s="38" t="s">
        <v>1820</v>
      </c>
      <c r="J124" s="42">
        <v>219</v>
      </c>
      <c r="K124" s="43">
        <v>38651</v>
      </c>
    </row>
    <row r="125" spans="1:11" x14ac:dyDescent="0.25">
      <c r="A125" s="38">
        <v>45803</v>
      </c>
      <c r="B125" s="33" t="s">
        <v>462</v>
      </c>
      <c r="C125" s="36" t="s">
        <v>260</v>
      </c>
      <c r="D125" s="34" t="s">
        <v>433</v>
      </c>
      <c r="E125" s="34"/>
      <c r="F125" s="37">
        <v>38867</v>
      </c>
      <c r="G125" s="37">
        <v>38867</v>
      </c>
      <c r="H125" s="38">
        <v>45863</v>
      </c>
      <c r="I125" s="38" t="s">
        <v>1820</v>
      </c>
      <c r="J125" s="42">
        <v>218</v>
      </c>
      <c r="K125" s="43">
        <v>38867</v>
      </c>
    </row>
    <row r="126" spans="1:11" x14ac:dyDescent="0.25">
      <c r="A126" s="38">
        <v>45808</v>
      </c>
      <c r="B126" s="33" t="s">
        <v>463</v>
      </c>
      <c r="C126" s="36" t="s">
        <v>202</v>
      </c>
      <c r="D126" s="34" t="s">
        <v>449</v>
      </c>
      <c r="E126" s="34"/>
      <c r="F126" s="37">
        <v>834281.26</v>
      </c>
      <c r="G126" s="37">
        <v>834281.26</v>
      </c>
      <c r="H126" s="38">
        <v>45808</v>
      </c>
      <c r="I126" s="38" t="s">
        <v>1820</v>
      </c>
      <c r="J126" s="42">
        <v>273</v>
      </c>
      <c r="K126" s="43">
        <v>834281.26</v>
      </c>
    </row>
    <row r="127" spans="1:11" x14ac:dyDescent="0.25">
      <c r="A127" s="38">
        <v>45808</v>
      </c>
      <c r="B127" s="33" t="s">
        <v>464</v>
      </c>
      <c r="C127" s="36" t="s">
        <v>203</v>
      </c>
      <c r="D127" s="34" t="s">
        <v>433</v>
      </c>
      <c r="E127" s="34"/>
      <c r="F127" s="37">
        <v>846412.56</v>
      </c>
      <c r="G127" s="37">
        <v>846412.56</v>
      </c>
      <c r="H127" s="38">
        <v>45808</v>
      </c>
      <c r="I127" s="38" t="s">
        <v>1820</v>
      </c>
      <c r="J127" s="42">
        <v>273</v>
      </c>
      <c r="K127" s="43">
        <v>846412.56</v>
      </c>
    </row>
    <row r="128" spans="1:11" x14ac:dyDescent="0.25">
      <c r="A128" s="38">
        <v>45808</v>
      </c>
      <c r="B128" s="33" t="s">
        <v>465</v>
      </c>
      <c r="C128" s="36" t="s">
        <v>203</v>
      </c>
      <c r="D128" s="34" t="s">
        <v>435</v>
      </c>
      <c r="E128" s="34"/>
      <c r="F128" s="37">
        <v>276010</v>
      </c>
      <c r="G128" s="37">
        <v>276010</v>
      </c>
      <c r="H128" s="38">
        <v>45838</v>
      </c>
      <c r="I128" s="38" t="s">
        <v>1820</v>
      </c>
      <c r="J128" s="42">
        <v>243</v>
      </c>
      <c r="K128" s="43">
        <v>276010</v>
      </c>
    </row>
    <row r="129" spans="1:11" x14ac:dyDescent="0.25">
      <c r="A129" s="38">
        <v>45809</v>
      </c>
      <c r="B129" s="33" t="s">
        <v>466</v>
      </c>
      <c r="C129" s="36" t="s">
        <v>32</v>
      </c>
      <c r="D129" s="34" t="s">
        <v>426</v>
      </c>
      <c r="E129" s="34"/>
      <c r="F129" s="37">
        <v>336176</v>
      </c>
      <c r="G129" s="37">
        <v>336176</v>
      </c>
      <c r="H129" s="38">
        <v>45839</v>
      </c>
      <c r="I129" s="38" t="s">
        <v>1820</v>
      </c>
      <c r="J129" s="42">
        <v>242</v>
      </c>
      <c r="K129" s="43">
        <v>336176</v>
      </c>
    </row>
    <row r="130" spans="1:11" x14ac:dyDescent="0.25">
      <c r="A130" s="38">
        <v>45809</v>
      </c>
      <c r="B130" s="33" t="s">
        <v>468</v>
      </c>
      <c r="C130" s="36" t="s">
        <v>216</v>
      </c>
      <c r="D130" s="34" t="s">
        <v>433</v>
      </c>
      <c r="E130" s="34"/>
      <c r="F130" s="37">
        <v>1537000</v>
      </c>
      <c r="G130" s="37">
        <v>1537000</v>
      </c>
      <c r="H130" s="38">
        <v>45809</v>
      </c>
      <c r="I130" s="38" t="s">
        <v>1820</v>
      </c>
      <c r="J130" s="42">
        <v>272</v>
      </c>
      <c r="K130" s="43">
        <v>1537000</v>
      </c>
    </row>
    <row r="131" spans="1:11" x14ac:dyDescent="0.25">
      <c r="A131" s="38">
        <v>45809</v>
      </c>
      <c r="B131" s="33" t="s">
        <v>469</v>
      </c>
      <c r="C131" s="36" t="s">
        <v>216</v>
      </c>
      <c r="D131" s="34" t="s">
        <v>433</v>
      </c>
      <c r="E131" s="34"/>
      <c r="F131" s="37">
        <v>87000</v>
      </c>
      <c r="G131" s="37">
        <v>87000</v>
      </c>
      <c r="H131" s="38">
        <v>45809</v>
      </c>
      <c r="I131" s="38" t="s">
        <v>1820</v>
      </c>
      <c r="J131" s="42">
        <v>272</v>
      </c>
      <c r="K131" s="43">
        <v>87000</v>
      </c>
    </row>
    <row r="132" spans="1:11" x14ac:dyDescent="0.25">
      <c r="A132" s="38">
        <v>45810</v>
      </c>
      <c r="B132" s="33" t="s">
        <v>470</v>
      </c>
      <c r="C132" s="36" t="s">
        <v>32</v>
      </c>
      <c r="D132" s="34" t="s">
        <v>426</v>
      </c>
      <c r="E132" s="34"/>
      <c r="F132" s="37">
        <v>43600.72</v>
      </c>
      <c r="G132" s="37">
        <v>43600.72</v>
      </c>
      <c r="H132" s="38">
        <v>45870</v>
      </c>
      <c r="I132" s="38" t="s">
        <v>1820</v>
      </c>
      <c r="J132" s="42">
        <v>211</v>
      </c>
      <c r="K132" s="43">
        <v>43600.72</v>
      </c>
    </row>
    <row r="133" spans="1:11" x14ac:dyDescent="0.25">
      <c r="A133" s="38">
        <v>45811</v>
      </c>
      <c r="B133" s="33" t="s">
        <v>471</v>
      </c>
      <c r="C133" s="36" t="s">
        <v>65</v>
      </c>
      <c r="D133" s="34" t="s">
        <v>393</v>
      </c>
      <c r="E133" s="34"/>
      <c r="F133" s="37">
        <v>5610552.2000000002</v>
      </c>
      <c r="G133" s="37">
        <v>2710552.2</v>
      </c>
      <c r="H133" s="38">
        <v>45841</v>
      </c>
      <c r="I133" s="38" t="s">
        <v>1820</v>
      </c>
      <c r="J133" s="42">
        <v>240</v>
      </c>
      <c r="K133" s="43">
        <v>2710552.2</v>
      </c>
    </row>
    <row r="134" spans="1:11" x14ac:dyDescent="0.25">
      <c r="A134" s="38">
        <v>45812</v>
      </c>
      <c r="B134" s="33" t="s">
        <v>472</v>
      </c>
      <c r="C134" s="36" t="s">
        <v>263</v>
      </c>
      <c r="D134" s="34" t="s">
        <v>402</v>
      </c>
      <c r="E134" s="34"/>
      <c r="F134" s="39">
        <v>300000</v>
      </c>
      <c r="G134" s="39">
        <v>300000</v>
      </c>
      <c r="H134" s="38">
        <v>45812</v>
      </c>
      <c r="I134" s="38" t="s">
        <v>1820</v>
      </c>
      <c r="J134" s="42">
        <v>269</v>
      </c>
      <c r="K134" s="43">
        <v>-300000</v>
      </c>
    </row>
    <row r="135" spans="1:11" x14ac:dyDescent="0.25">
      <c r="A135" s="38">
        <v>45813</v>
      </c>
      <c r="B135" s="33" t="s">
        <v>473</v>
      </c>
      <c r="C135" s="36" t="s">
        <v>265</v>
      </c>
      <c r="D135" s="34" t="s">
        <v>426</v>
      </c>
      <c r="E135" s="34"/>
      <c r="F135" s="37">
        <v>110487.82</v>
      </c>
      <c r="G135" s="37">
        <v>110487.82</v>
      </c>
      <c r="H135" s="38">
        <v>45828</v>
      </c>
      <c r="I135" s="38" t="s">
        <v>1820</v>
      </c>
      <c r="J135" s="42">
        <v>253</v>
      </c>
      <c r="K135" s="43">
        <v>110487.82</v>
      </c>
    </row>
    <row r="136" spans="1:11" x14ac:dyDescent="0.25">
      <c r="A136" s="38">
        <v>45814</v>
      </c>
      <c r="B136" s="33" t="s">
        <v>474</v>
      </c>
      <c r="C136" s="36" t="s">
        <v>265</v>
      </c>
      <c r="D136" s="34" t="s">
        <v>341</v>
      </c>
      <c r="E136" s="34"/>
      <c r="F136" s="37">
        <v>100716</v>
      </c>
      <c r="G136" s="37">
        <v>100716</v>
      </c>
      <c r="H136" s="38">
        <v>45829</v>
      </c>
      <c r="I136" s="38" t="s">
        <v>1820</v>
      </c>
      <c r="J136" s="42">
        <v>252</v>
      </c>
      <c r="K136" s="43">
        <v>100716</v>
      </c>
    </row>
    <row r="137" spans="1:11" x14ac:dyDescent="0.25">
      <c r="A137" s="38">
        <v>45816</v>
      </c>
      <c r="B137" s="33" t="s">
        <v>475</v>
      </c>
      <c r="C137" s="36" t="s">
        <v>32</v>
      </c>
      <c r="D137" s="34" t="s">
        <v>426</v>
      </c>
      <c r="E137" s="34"/>
      <c r="F137" s="37">
        <v>147321.29999999999</v>
      </c>
      <c r="G137" s="37">
        <v>147321.29999999999</v>
      </c>
      <c r="H137" s="38">
        <v>45876</v>
      </c>
      <c r="I137" s="38" t="s">
        <v>1820</v>
      </c>
      <c r="J137" s="42">
        <v>205</v>
      </c>
      <c r="K137" s="43">
        <v>147321.29999999999</v>
      </c>
    </row>
    <row r="138" spans="1:11" x14ac:dyDescent="0.25">
      <c r="A138" s="38">
        <v>45818</v>
      </c>
      <c r="B138" s="33" t="s">
        <v>476</v>
      </c>
      <c r="C138" s="36" t="s">
        <v>265</v>
      </c>
      <c r="D138" s="34" t="s">
        <v>426</v>
      </c>
      <c r="E138" s="34"/>
      <c r="F138" s="37">
        <v>106677.9</v>
      </c>
      <c r="G138" s="37">
        <v>106677.9</v>
      </c>
      <c r="H138" s="38">
        <v>45833</v>
      </c>
      <c r="I138" s="38" t="s">
        <v>1820</v>
      </c>
      <c r="J138" s="42">
        <v>248</v>
      </c>
      <c r="K138" s="43">
        <v>106677.9</v>
      </c>
    </row>
    <row r="139" spans="1:11" x14ac:dyDescent="0.25">
      <c r="A139" s="38">
        <v>45820</v>
      </c>
      <c r="B139" s="33" t="s">
        <v>477</v>
      </c>
      <c r="C139" s="36" t="s">
        <v>207</v>
      </c>
      <c r="D139" s="34" t="s">
        <v>379</v>
      </c>
      <c r="E139" s="34"/>
      <c r="F139" s="37">
        <v>192294.38</v>
      </c>
      <c r="G139" s="37">
        <v>245273.45</v>
      </c>
      <c r="H139" s="38">
        <v>45850</v>
      </c>
      <c r="I139" s="38" t="s">
        <v>1820</v>
      </c>
      <c r="J139" s="42">
        <v>231</v>
      </c>
      <c r="K139" s="43">
        <v>245273.45</v>
      </c>
    </row>
    <row r="140" spans="1:11" x14ac:dyDescent="0.25">
      <c r="A140" s="38">
        <v>45825</v>
      </c>
      <c r="B140" s="33" t="s">
        <v>478</v>
      </c>
      <c r="C140" s="36" t="s">
        <v>265</v>
      </c>
      <c r="D140" s="34" t="s">
        <v>426</v>
      </c>
      <c r="E140" s="34"/>
      <c r="F140" s="37">
        <v>108055.5</v>
      </c>
      <c r="G140" s="37">
        <v>108055.5</v>
      </c>
      <c r="H140" s="38">
        <v>45840</v>
      </c>
      <c r="I140" s="38" t="s">
        <v>1820</v>
      </c>
      <c r="J140" s="42">
        <v>241</v>
      </c>
      <c r="K140" s="43">
        <v>108055.5</v>
      </c>
    </row>
    <row r="141" spans="1:11" x14ac:dyDescent="0.25">
      <c r="A141" s="38">
        <v>45826</v>
      </c>
      <c r="B141" s="33" t="s">
        <v>479</v>
      </c>
      <c r="C141" s="36" t="s">
        <v>32</v>
      </c>
      <c r="D141" s="34" t="s">
        <v>402</v>
      </c>
      <c r="E141" s="34"/>
      <c r="F141" s="37">
        <v>537661</v>
      </c>
      <c r="G141" s="37">
        <v>537661</v>
      </c>
      <c r="H141" s="38">
        <v>45886</v>
      </c>
      <c r="I141" s="38" t="s">
        <v>1820</v>
      </c>
      <c r="J141" s="42">
        <v>195</v>
      </c>
      <c r="K141" s="43">
        <v>537661</v>
      </c>
    </row>
    <row r="142" spans="1:11" x14ac:dyDescent="0.25">
      <c r="A142" s="38">
        <v>45826</v>
      </c>
      <c r="B142" s="33" t="s">
        <v>480</v>
      </c>
      <c r="C142" s="36" t="s">
        <v>277</v>
      </c>
      <c r="D142" s="34" t="s">
        <v>8</v>
      </c>
      <c r="E142" s="34"/>
      <c r="F142" s="37">
        <v>353</v>
      </c>
      <c r="G142" s="37">
        <v>356</v>
      </c>
      <c r="H142" s="38">
        <v>45826</v>
      </c>
      <c r="I142" s="38" t="s">
        <v>1820</v>
      </c>
      <c r="J142" s="42">
        <v>255</v>
      </c>
      <c r="K142" s="43">
        <v>356</v>
      </c>
    </row>
    <row r="143" spans="1:11" x14ac:dyDescent="0.25">
      <c r="A143" s="38">
        <v>45836</v>
      </c>
      <c r="B143" s="33" t="s">
        <v>481</v>
      </c>
      <c r="C143" s="36" t="s">
        <v>310</v>
      </c>
      <c r="D143" s="34" t="s">
        <v>433</v>
      </c>
      <c r="E143" s="34"/>
      <c r="F143" s="37">
        <v>57589</v>
      </c>
      <c r="G143" s="37">
        <v>57589</v>
      </c>
      <c r="H143" s="38">
        <v>45896</v>
      </c>
      <c r="I143" s="38" t="s">
        <v>1820</v>
      </c>
      <c r="J143" s="42">
        <v>185</v>
      </c>
      <c r="K143" s="43">
        <v>57589</v>
      </c>
    </row>
    <row r="144" spans="1:11" x14ac:dyDescent="0.25">
      <c r="A144" s="38">
        <v>45836</v>
      </c>
      <c r="B144" s="33" t="s">
        <v>482</v>
      </c>
      <c r="C144" s="36" t="s">
        <v>310</v>
      </c>
      <c r="D144" s="34" t="s">
        <v>433</v>
      </c>
      <c r="E144" s="34"/>
      <c r="F144" s="37">
        <v>53327</v>
      </c>
      <c r="G144" s="37">
        <v>81179.28</v>
      </c>
      <c r="H144" s="38">
        <v>45896</v>
      </c>
      <c r="I144" s="38" t="s">
        <v>1820</v>
      </c>
      <c r="J144" s="42">
        <v>185</v>
      </c>
      <c r="K144" s="43">
        <v>81179.28</v>
      </c>
    </row>
    <row r="145" spans="1:11" x14ac:dyDescent="0.25">
      <c r="A145" s="38">
        <v>45836</v>
      </c>
      <c r="B145" s="33" t="s">
        <v>483</v>
      </c>
      <c r="C145" s="36" t="s">
        <v>310</v>
      </c>
      <c r="D145" s="34" t="s">
        <v>433</v>
      </c>
      <c r="E145" s="34"/>
      <c r="F145" s="37">
        <v>51020</v>
      </c>
      <c r="G145" s="37">
        <v>51020</v>
      </c>
      <c r="H145" s="38">
        <v>45896</v>
      </c>
      <c r="I145" s="38" t="s">
        <v>1820</v>
      </c>
      <c r="J145" s="42">
        <v>185</v>
      </c>
      <c r="K145" s="43">
        <v>51020</v>
      </c>
    </row>
    <row r="146" spans="1:11" x14ac:dyDescent="0.25">
      <c r="A146" s="38">
        <v>45838</v>
      </c>
      <c r="B146" s="33" t="s">
        <v>484</v>
      </c>
      <c r="C146" s="36" t="s">
        <v>32</v>
      </c>
      <c r="D146" s="34" t="s">
        <v>8</v>
      </c>
      <c r="E146" s="34"/>
      <c r="F146" s="37">
        <v>246403.27</v>
      </c>
      <c r="G146" s="37">
        <v>246403.27</v>
      </c>
      <c r="H146" s="38">
        <v>45898</v>
      </c>
      <c r="I146" s="38" t="s">
        <v>1820</v>
      </c>
      <c r="J146" s="42">
        <v>183</v>
      </c>
      <c r="K146" s="43">
        <v>246403.27</v>
      </c>
    </row>
    <row r="147" spans="1:11" x14ac:dyDescent="0.25">
      <c r="A147" s="38">
        <v>45838</v>
      </c>
      <c r="B147" s="33" t="s">
        <v>486</v>
      </c>
      <c r="C147" s="36" t="s">
        <v>81</v>
      </c>
      <c r="D147" s="34" t="s">
        <v>393</v>
      </c>
      <c r="E147" s="34"/>
      <c r="F147" s="37">
        <v>2711700</v>
      </c>
      <c r="G147" s="37">
        <v>2711700</v>
      </c>
      <c r="H147" s="38">
        <v>45838</v>
      </c>
      <c r="I147" s="38" t="s">
        <v>1820</v>
      </c>
      <c r="J147" s="42">
        <v>243</v>
      </c>
      <c r="K147" s="43">
        <v>2711700</v>
      </c>
    </row>
    <row r="148" spans="1:11" x14ac:dyDescent="0.25">
      <c r="A148" s="38">
        <v>45838</v>
      </c>
      <c r="B148" s="33" t="s">
        <v>487</v>
      </c>
      <c r="C148" s="36" t="s">
        <v>139</v>
      </c>
      <c r="D148" s="34" t="s">
        <v>402</v>
      </c>
      <c r="E148" s="34"/>
      <c r="F148" s="37">
        <v>18017440.379999999</v>
      </c>
      <c r="G148" s="37">
        <v>1421065.84</v>
      </c>
      <c r="H148" s="38">
        <v>45838</v>
      </c>
      <c r="I148" s="38" t="s">
        <v>1820</v>
      </c>
      <c r="J148" s="42">
        <v>243</v>
      </c>
      <c r="K148" s="43">
        <v>1421065.84</v>
      </c>
    </row>
    <row r="149" spans="1:11" x14ac:dyDescent="0.25">
      <c r="A149" s="38">
        <v>45838</v>
      </c>
      <c r="B149" s="33" t="s">
        <v>488</v>
      </c>
      <c r="C149" s="36" t="s">
        <v>200</v>
      </c>
      <c r="D149" s="34" t="s">
        <v>352</v>
      </c>
      <c r="E149" s="34"/>
      <c r="F149" s="37">
        <v>47200</v>
      </c>
      <c r="G149" s="37">
        <v>47200</v>
      </c>
      <c r="H149" s="38">
        <v>45838</v>
      </c>
      <c r="I149" s="38" t="s">
        <v>1820</v>
      </c>
      <c r="J149" s="42">
        <v>243</v>
      </c>
      <c r="K149" s="43">
        <v>47200</v>
      </c>
    </row>
    <row r="150" spans="1:11" x14ac:dyDescent="0.25">
      <c r="A150" s="38">
        <v>45838</v>
      </c>
      <c r="B150" s="33" t="s">
        <v>489</v>
      </c>
      <c r="C150" s="36" t="s">
        <v>203</v>
      </c>
      <c r="D150" s="34" t="s">
        <v>433</v>
      </c>
      <c r="E150" s="34"/>
      <c r="F150" s="37">
        <v>846412.56</v>
      </c>
      <c r="G150" s="37">
        <v>846412.56</v>
      </c>
      <c r="H150" s="38">
        <v>45838</v>
      </c>
      <c r="I150" s="38" t="s">
        <v>1820</v>
      </c>
      <c r="J150" s="42">
        <v>243</v>
      </c>
      <c r="K150" s="43">
        <v>846412.56</v>
      </c>
    </row>
    <row r="151" spans="1:11" x14ac:dyDescent="0.25">
      <c r="A151" s="38">
        <v>45838</v>
      </c>
      <c r="B151" s="33" t="s">
        <v>490</v>
      </c>
      <c r="C151" s="36" t="s">
        <v>203</v>
      </c>
      <c r="D151" s="34" t="s">
        <v>435</v>
      </c>
      <c r="E151" s="34"/>
      <c r="F151" s="37">
        <v>237890.64</v>
      </c>
      <c r="G151" s="37">
        <v>237890.64</v>
      </c>
      <c r="H151" s="38">
        <v>45838</v>
      </c>
      <c r="I151" s="38" t="s">
        <v>1820</v>
      </c>
      <c r="J151" s="42">
        <v>243</v>
      </c>
      <c r="K151" s="43">
        <v>237890.64</v>
      </c>
    </row>
    <row r="152" spans="1:11" x14ac:dyDescent="0.25">
      <c r="A152" s="38">
        <v>45838</v>
      </c>
      <c r="B152" s="33" t="s">
        <v>491</v>
      </c>
      <c r="C152" s="36" t="s">
        <v>203</v>
      </c>
      <c r="D152" s="34" t="s">
        <v>433</v>
      </c>
      <c r="E152" s="34"/>
      <c r="F152" s="37">
        <v>3092863.66</v>
      </c>
      <c r="G152" s="37">
        <v>3092863.66</v>
      </c>
      <c r="H152" s="38">
        <v>45868</v>
      </c>
      <c r="I152" s="38" t="s">
        <v>1820</v>
      </c>
      <c r="J152" s="42">
        <v>213</v>
      </c>
      <c r="K152" s="43">
        <v>3092863.66</v>
      </c>
    </row>
    <row r="153" spans="1:11" x14ac:dyDescent="0.25">
      <c r="A153" s="38">
        <v>45838</v>
      </c>
      <c r="B153" s="33" t="s">
        <v>492</v>
      </c>
      <c r="C153" s="36" t="s">
        <v>203</v>
      </c>
      <c r="D153" s="34" t="s">
        <v>433</v>
      </c>
      <c r="E153" s="34"/>
      <c r="F153" s="37">
        <v>61330.5</v>
      </c>
      <c r="G153" s="37">
        <v>61330.5</v>
      </c>
      <c r="H153" s="38">
        <v>45868</v>
      </c>
      <c r="I153" s="38" t="s">
        <v>1820</v>
      </c>
      <c r="J153" s="42">
        <v>213</v>
      </c>
      <c r="K153" s="43">
        <v>61330.5</v>
      </c>
    </row>
    <row r="154" spans="1:11" x14ac:dyDescent="0.25">
      <c r="A154" s="38">
        <v>45838</v>
      </c>
      <c r="B154" s="33" t="s">
        <v>493</v>
      </c>
      <c r="C154" s="36" t="s">
        <v>203</v>
      </c>
      <c r="D154" s="34" t="s">
        <v>433</v>
      </c>
      <c r="E154" s="34"/>
      <c r="F154" s="37">
        <v>1279904.3400000001</v>
      </c>
      <c r="G154" s="37">
        <v>1279904.3400000001</v>
      </c>
      <c r="H154" s="38">
        <v>45868</v>
      </c>
      <c r="I154" s="38" t="s">
        <v>1820</v>
      </c>
      <c r="J154" s="42">
        <v>213</v>
      </c>
      <c r="K154" s="43">
        <v>1279904.3400000001</v>
      </c>
    </row>
    <row r="155" spans="1:11" x14ac:dyDescent="0.25">
      <c r="A155" s="38">
        <v>45838</v>
      </c>
      <c r="B155" s="33" t="s">
        <v>494</v>
      </c>
      <c r="C155" s="36" t="s">
        <v>203</v>
      </c>
      <c r="D155" s="34" t="s">
        <v>433</v>
      </c>
      <c r="E155" s="34"/>
      <c r="F155" s="37">
        <v>89356.68</v>
      </c>
      <c r="G155" s="37">
        <v>89356.68</v>
      </c>
      <c r="H155" s="38">
        <v>45898</v>
      </c>
      <c r="I155" s="38" t="s">
        <v>1820</v>
      </c>
      <c r="J155" s="42">
        <v>183</v>
      </c>
      <c r="K155" s="43">
        <v>89356.68</v>
      </c>
    </row>
    <row r="156" spans="1:11" x14ac:dyDescent="0.25">
      <c r="A156" s="38">
        <v>45838</v>
      </c>
      <c r="B156" s="33" t="s">
        <v>495</v>
      </c>
      <c r="C156" s="36" t="s">
        <v>216</v>
      </c>
      <c r="D156" s="34" t="s">
        <v>433</v>
      </c>
      <c r="E156" s="34"/>
      <c r="F156" s="37">
        <v>1537000</v>
      </c>
      <c r="G156" s="37">
        <v>1537000</v>
      </c>
      <c r="H156" s="38">
        <v>45838</v>
      </c>
      <c r="I156" s="38" t="s">
        <v>1820</v>
      </c>
      <c r="J156" s="42">
        <v>243</v>
      </c>
      <c r="K156" s="43">
        <v>1537000</v>
      </c>
    </row>
    <row r="157" spans="1:11" x14ac:dyDescent="0.25">
      <c r="A157" s="38">
        <v>45838</v>
      </c>
      <c r="B157" s="33" t="s">
        <v>496</v>
      </c>
      <c r="C157" s="36" t="s">
        <v>216</v>
      </c>
      <c r="D157" s="34" t="s">
        <v>433</v>
      </c>
      <c r="E157" s="34"/>
      <c r="F157" s="37">
        <v>87000</v>
      </c>
      <c r="G157" s="37">
        <v>87000</v>
      </c>
      <c r="H157" s="38">
        <v>45838</v>
      </c>
      <c r="I157" s="38" t="s">
        <v>1820</v>
      </c>
      <c r="J157" s="42">
        <v>243</v>
      </c>
      <c r="K157" s="43">
        <v>87000</v>
      </c>
    </row>
    <row r="158" spans="1:11" x14ac:dyDescent="0.25">
      <c r="A158" s="38">
        <v>45838</v>
      </c>
      <c r="B158" s="33" t="s">
        <v>497</v>
      </c>
      <c r="C158" s="36" t="s">
        <v>260</v>
      </c>
      <c r="D158" s="34" t="s">
        <v>433</v>
      </c>
      <c r="E158" s="34"/>
      <c r="F158" s="37">
        <v>39324</v>
      </c>
      <c r="G158" s="37">
        <v>39324</v>
      </c>
      <c r="H158" s="38">
        <v>45898</v>
      </c>
      <c r="I158" s="38" t="s">
        <v>1820</v>
      </c>
      <c r="J158" s="42">
        <v>183</v>
      </c>
      <c r="K158" s="43">
        <v>39324</v>
      </c>
    </row>
    <row r="159" spans="1:11" x14ac:dyDescent="0.25">
      <c r="A159" s="38">
        <v>45838</v>
      </c>
      <c r="B159" s="33" t="s">
        <v>498</v>
      </c>
      <c r="C159" s="36" t="s">
        <v>260</v>
      </c>
      <c r="D159" s="34" t="s">
        <v>433</v>
      </c>
      <c r="E159" s="34"/>
      <c r="F159" s="37">
        <v>46480</v>
      </c>
      <c r="G159" s="37">
        <v>46480</v>
      </c>
      <c r="H159" s="38">
        <v>45898</v>
      </c>
      <c r="I159" s="38" t="s">
        <v>1820</v>
      </c>
      <c r="J159" s="42">
        <v>183</v>
      </c>
      <c r="K159" s="43">
        <v>46480</v>
      </c>
    </row>
    <row r="160" spans="1:11" x14ac:dyDescent="0.25">
      <c r="A160" s="38">
        <v>45838</v>
      </c>
      <c r="B160" s="33" t="s">
        <v>499</v>
      </c>
      <c r="C160" s="36" t="s">
        <v>260</v>
      </c>
      <c r="D160" s="34" t="s">
        <v>433</v>
      </c>
      <c r="E160" s="34"/>
      <c r="F160" s="37">
        <v>1893</v>
      </c>
      <c r="G160" s="37">
        <v>1893</v>
      </c>
      <c r="H160" s="38">
        <v>45898</v>
      </c>
      <c r="I160" s="38" t="s">
        <v>1820</v>
      </c>
      <c r="J160" s="42">
        <v>183</v>
      </c>
      <c r="K160" s="43">
        <v>1893</v>
      </c>
    </row>
    <row r="161" spans="1:11" x14ac:dyDescent="0.25">
      <c r="A161" s="38">
        <v>45839</v>
      </c>
      <c r="B161" s="33" t="s">
        <v>500</v>
      </c>
      <c r="C161" s="36" t="s">
        <v>200</v>
      </c>
      <c r="D161" s="34" t="s">
        <v>352</v>
      </c>
      <c r="E161" s="34"/>
      <c r="F161" s="37">
        <v>47200</v>
      </c>
      <c r="G161" s="37">
        <v>47200</v>
      </c>
      <c r="H161" s="38">
        <v>45839</v>
      </c>
      <c r="I161" s="38" t="s">
        <v>1820</v>
      </c>
      <c r="J161" s="42">
        <v>242</v>
      </c>
      <c r="K161" s="43">
        <v>47200</v>
      </c>
    </row>
    <row r="162" spans="1:11" x14ac:dyDescent="0.25">
      <c r="A162" s="38">
        <v>45839</v>
      </c>
      <c r="B162" s="33" t="s">
        <v>501</v>
      </c>
      <c r="C162" s="36" t="s">
        <v>202</v>
      </c>
      <c r="D162" s="34" t="s">
        <v>449</v>
      </c>
      <c r="E162" s="34"/>
      <c r="F162" s="37">
        <v>740750</v>
      </c>
      <c r="G162" s="37">
        <v>740750</v>
      </c>
      <c r="H162" s="38">
        <v>45839</v>
      </c>
      <c r="I162" s="38" t="s">
        <v>1820</v>
      </c>
      <c r="J162" s="42">
        <v>242</v>
      </c>
      <c r="K162" s="43">
        <v>740750</v>
      </c>
    </row>
    <row r="163" spans="1:11" x14ac:dyDescent="0.25">
      <c r="A163" s="38">
        <v>45839</v>
      </c>
      <c r="B163" s="33" t="s">
        <v>502</v>
      </c>
      <c r="C163" s="36" t="s">
        <v>237</v>
      </c>
      <c r="D163" s="34" t="s">
        <v>8</v>
      </c>
      <c r="E163" s="34"/>
      <c r="F163" s="39">
        <v>649762.84</v>
      </c>
      <c r="G163" s="39">
        <v>649762.84</v>
      </c>
      <c r="H163" s="38">
        <v>45839</v>
      </c>
      <c r="I163" s="38" t="s">
        <v>1820</v>
      </c>
      <c r="J163" s="42">
        <v>242</v>
      </c>
      <c r="K163" s="43">
        <v>-649762.84</v>
      </c>
    </row>
    <row r="164" spans="1:11" x14ac:dyDescent="0.25">
      <c r="A164" s="38">
        <v>45843</v>
      </c>
      <c r="B164" s="33" t="s">
        <v>503</v>
      </c>
      <c r="C164" s="36" t="s">
        <v>40</v>
      </c>
      <c r="D164" s="34" t="s">
        <v>402</v>
      </c>
      <c r="E164" s="34"/>
      <c r="F164" s="37">
        <v>346047</v>
      </c>
      <c r="G164" s="37">
        <v>346047</v>
      </c>
      <c r="H164" s="38">
        <v>45873</v>
      </c>
      <c r="I164" s="38" t="s">
        <v>1820</v>
      </c>
      <c r="J164" s="42">
        <v>208</v>
      </c>
      <c r="K164" s="43">
        <v>346047</v>
      </c>
    </row>
    <row r="165" spans="1:11" x14ac:dyDescent="0.25">
      <c r="A165" s="38">
        <v>45846</v>
      </c>
      <c r="B165" s="33" t="s">
        <v>504</v>
      </c>
      <c r="C165" s="36" t="s">
        <v>112</v>
      </c>
      <c r="D165" s="34" t="s">
        <v>433</v>
      </c>
      <c r="E165" s="34"/>
      <c r="F165" s="37">
        <v>238960</v>
      </c>
      <c r="G165" s="37">
        <v>37080</v>
      </c>
      <c r="H165" s="38">
        <v>45846</v>
      </c>
      <c r="I165" s="38" t="s">
        <v>1820</v>
      </c>
      <c r="J165" s="42">
        <v>235</v>
      </c>
      <c r="K165" s="43">
        <v>37080</v>
      </c>
    </row>
    <row r="166" spans="1:11" x14ac:dyDescent="0.25">
      <c r="A166" s="38">
        <v>45849</v>
      </c>
      <c r="B166" s="33" t="s">
        <v>505</v>
      </c>
      <c r="C166" s="36" t="s">
        <v>40</v>
      </c>
      <c r="D166" s="34" t="s">
        <v>402</v>
      </c>
      <c r="E166" s="34"/>
      <c r="F166" s="37">
        <v>334235</v>
      </c>
      <c r="G166" s="37">
        <v>334235</v>
      </c>
      <c r="H166" s="38">
        <v>45849</v>
      </c>
      <c r="I166" s="38" t="s">
        <v>1820</v>
      </c>
      <c r="J166" s="42">
        <v>232</v>
      </c>
      <c r="K166" s="43">
        <v>334235</v>
      </c>
    </row>
    <row r="167" spans="1:11" x14ac:dyDescent="0.25">
      <c r="A167" s="38">
        <v>45851</v>
      </c>
      <c r="B167" s="33" t="s">
        <v>506</v>
      </c>
      <c r="C167" s="36" t="s">
        <v>32</v>
      </c>
      <c r="D167" s="34" t="s">
        <v>426</v>
      </c>
      <c r="E167" s="34"/>
      <c r="F167" s="37">
        <v>503402</v>
      </c>
      <c r="G167" s="37">
        <v>503402</v>
      </c>
      <c r="H167" s="38">
        <v>45851</v>
      </c>
      <c r="I167" s="38" t="s">
        <v>1820</v>
      </c>
      <c r="J167" s="42">
        <v>230</v>
      </c>
      <c r="K167" s="43">
        <v>503402</v>
      </c>
    </row>
    <row r="168" spans="1:11" x14ac:dyDescent="0.25">
      <c r="A168" s="38">
        <v>45853</v>
      </c>
      <c r="B168" s="33" t="s">
        <v>507</v>
      </c>
      <c r="C168" s="36" t="s">
        <v>83</v>
      </c>
      <c r="D168" s="34" t="s">
        <v>433</v>
      </c>
      <c r="E168" s="34"/>
      <c r="F168" s="37">
        <v>300840.86</v>
      </c>
      <c r="G168" s="37">
        <v>300840.86</v>
      </c>
      <c r="H168" s="38">
        <v>45913</v>
      </c>
      <c r="I168" s="38" t="s">
        <v>1801</v>
      </c>
      <c r="J168" s="42">
        <v>168</v>
      </c>
      <c r="K168" s="43">
        <v>300840.86</v>
      </c>
    </row>
    <row r="169" spans="1:11" x14ac:dyDescent="0.25">
      <c r="A169" s="38">
        <v>45853</v>
      </c>
      <c r="B169" s="33" t="s">
        <v>509</v>
      </c>
      <c r="C169" s="36" t="s">
        <v>83</v>
      </c>
      <c r="D169" s="34" t="s">
        <v>433</v>
      </c>
      <c r="E169" s="34"/>
      <c r="F169" s="37">
        <v>268322.03999999998</v>
      </c>
      <c r="G169" s="37">
        <v>268322.03999999998</v>
      </c>
      <c r="H169" s="38">
        <v>45913</v>
      </c>
      <c r="I169" s="38" t="s">
        <v>1801</v>
      </c>
      <c r="J169" s="42">
        <v>168</v>
      </c>
      <c r="K169" s="43">
        <v>268322.03999999998</v>
      </c>
    </row>
    <row r="170" spans="1:11" x14ac:dyDescent="0.25">
      <c r="A170" s="38">
        <v>45853</v>
      </c>
      <c r="B170" s="33" t="s">
        <v>510</v>
      </c>
      <c r="C170" s="36" t="s">
        <v>83</v>
      </c>
      <c r="D170" s="34" t="s">
        <v>433</v>
      </c>
      <c r="E170" s="34"/>
      <c r="F170" s="37">
        <v>68451.08</v>
      </c>
      <c r="G170" s="37">
        <v>68451.08</v>
      </c>
      <c r="H170" s="38">
        <v>45913</v>
      </c>
      <c r="I170" s="38" t="s">
        <v>1801</v>
      </c>
      <c r="J170" s="42">
        <v>168</v>
      </c>
      <c r="K170" s="43">
        <v>68451.08</v>
      </c>
    </row>
    <row r="171" spans="1:11" x14ac:dyDescent="0.25">
      <c r="A171" s="38">
        <v>45856</v>
      </c>
      <c r="B171" s="33" t="s">
        <v>511</v>
      </c>
      <c r="C171" s="36" t="s">
        <v>40</v>
      </c>
      <c r="D171" s="34" t="s">
        <v>402</v>
      </c>
      <c r="E171" s="34"/>
      <c r="F171" s="37">
        <v>292050</v>
      </c>
      <c r="G171" s="37">
        <v>292050</v>
      </c>
      <c r="H171" s="38">
        <v>45925</v>
      </c>
      <c r="I171" s="38" t="s">
        <v>1801</v>
      </c>
      <c r="J171" s="42">
        <v>156</v>
      </c>
      <c r="K171" s="43">
        <v>292050</v>
      </c>
    </row>
    <row r="172" spans="1:11" x14ac:dyDescent="0.25">
      <c r="A172" s="38">
        <v>45858</v>
      </c>
      <c r="B172" s="33" t="s">
        <v>513</v>
      </c>
      <c r="C172" s="36" t="s">
        <v>32</v>
      </c>
      <c r="D172" s="34" t="s">
        <v>426</v>
      </c>
      <c r="E172" s="34"/>
      <c r="F172" s="37">
        <v>99570</v>
      </c>
      <c r="G172" s="37">
        <v>99570</v>
      </c>
      <c r="H172" s="38">
        <v>45858</v>
      </c>
      <c r="I172" s="38" t="s">
        <v>1820</v>
      </c>
      <c r="J172" s="42">
        <v>223</v>
      </c>
      <c r="K172" s="43">
        <v>99570</v>
      </c>
    </row>
    <row r="173" spans="1:11" x14ac:dyDescent="0.25">
      <c r="A173" s="38">
        <v>45859</v>
      </c>
      <c r="B173" s="33" t="s">
        <v>514</v>
      </c>
      <c r="C173" s="36" t="s">
        <v>40</v>
      </c>
      <c r="D173" s="34" t="s">
        <v>402</v>
      </c>
      <c r="E173" s="34"/>
      <c r="F173" s="37">
        <v>265571</v>
      </c>
      <c r="G173" s="37">
        <v>265571</v>
      </c>
      <c r="H173" s="38">
        <v>45859</v>
      </c>
      <c r="I173" s="38" t="s">
        <v>1820</v>
      </c>
      <c r="J173" s="42">
        <v>222</v>
      </c>
      <c r="K173" s="43">
        <v>265571</v>
      </c>
    </row>
    <row r="174" spans="1:11" x14ac:dyDescent="0.25">
      <c r="A174" s="38">
        <v>45861</v>
      </c>
      <c r="B174" s="33" t="s">
        <v>340</v>
      </c>
      <c r="C174" s="36" t="s">
        <v>40</v>
      </c>
      <c r="D174" s="34" t="s">
        <v>402</v>
      </c>
      <c r="E174" s="34"/>
      <c r="F174" s="37">
        <v>334884</v>
      </c>
      <c r="G174" s="37">
        <v>334884</v>
      </c>
      <c r="H174" s="38">
        <v>45861</v>
      </c>
      <c r="I174" s="38" t="s">
        <v>1820</v>
      </c>
      <c r="J174" s="42">
        <v>220</v>
      </c>
      <c r="K174" s="43">
        <v>334884</v>
      </c>
    </row>
    <row r="175" spans="1:11" x14ac:dyDescent="0.25">
      <c r="A175" s="38">
        <v>45862</v>
      </c>
      <c r="B175" s="33" t="s">
        <v>515</v>
      </c>
      <c r="C175" s="36" t="s">
        <v>200</v>
      </c>
      <c r="D175" s="34" t="s">
        <v>352</v>
      </c>
      <c r="E175" s="34"/>
      <c r="F175" s="37">
        <v>17850</v>
      </c>
      <c r="G175" s="37">
        <v>17850</v>
      </c>
      <c r="H175" s="38">
        <v>45862</v>
      </c>
      <c r="I175" s="38" t="s">
        <v>1820</v>
      </c>
      <c r="J175" s="42">
        <v>219</v>
      </c>
      <c r="K175" s="43">
        <v>17850</v>
      </c>
    </row>
    <row r="176" spans="1:11" x14ac:dyDescent="0.25">
      <c r="A176" s="38">
        <v>45863</v>
      </c>
      <c r="B176" s="33" t="s">
        <v>516</v>
      </c>
      <c r="C176" s="36" t="s">
        <v>32</v>
      </c>
      <c r="D176" s="34" t="s">
        <v>426</v>
      </c>
      <c r="E176" s="34"/>
      <c r="F176" s="37">
        <v>150479</v>
      </c>
      <c r="G176" s="37">
        <v>150479</v>
      </c>
      <c r="H176" s="38">
        <v>45863</v>
      </c>
      <c r="I176" s="38" t="s">
        <v>1820</v>
      </c>
      <c r="J176" s="42">
        <v>218</v>
      </c>
      <c r="K176" s="43">
        <v>150479</v>
      </c>
    </row>
    <row r="177" spans="1:11" x14ac:dyDescent="0.25">
      <c r="A177" s="38">
        <v>45863</v>
      </c>
      <c r="B177" s="33" t="s">
        <v>517</v>
      </c>
      <c r="C177" s="36" t="s">
        <v>40</v>
      </c>
      <c r="D177" s="34" t="s">
        <v>402</v>
      </c>
      <c r="E177" s="34"/>
      <c r="F177" s="37">
        <v>244803</v>
      </c>
      <c r="G177" s="37">
        <v>244803</v>
      </c>
      <c r="H177" s="38">
        <v>45863</v>
      </c>
      <c r="I177" s="38" t="s">
        <v>1820</v>
      </c>
      <c r="J177" s="42">
        <v>218</v>
      </c>
      <c r="K177" s="43">
        <v>244803</v>
      </c>
    </row>
    <row r="178" spans="1:11" x14ac:dyDescent="0.25">
      <c r="A178" s="38">
        <v>45864</v>
      </c>
      <c r="B178" s="33" t="s">
        <v>518</v>
      </c>
      <c r="C178" s="36" t="s">
        <v>40</v>
      </c>
      <c r="D178" s="34" t="s">
        <v>402</v>
      </c>
      <c r="E178" s="34"/>
      <c r="F178" s="37">
        <v>334235</v>
      </c>
      <c r="G178" s="37">
        <v>334235</v>
      </c>
      <c r="H178" s="38">
        <v>45864</v>
      </c>
      <c r="I178" s="38" t="s">
        <v>1820</v>
      </c>
      <c r="J178" s="42">
        <v>217</v>
      </c>
      <c r="K178" s="43">
        <v>334235</v>
      </c>
    </row>
    <row r="179" spans="1:11" x14ac:dyDescent="0.25">
      <c r="A179" s="38">
        <v>45868</v>
      </c>
      <c r="B179" s="33" t="s">
        <v>519</v>
      </c>
      <c r="C179" s="36" t="s">
        <v>40</v>
      </c>
      <c r="D179" s="34" t="s">
        <v>402</v>
      </c>
      <c r="E179" s="34"/>
      <c r="F179" s="37">
        <v>335403</v>
      </c>
      <c r="G179" s="37">
        <v>335403</v>
      </c>
      <c r="H179" s="38">
        <v>45944</v>
      </c>
      <c r="I179" s="38" t="s">
        <v>1800</v>
      </c>
      <c r="J179" s="42">
        <v>137</v>
      </c>
      <c r="K179" s="43">
        <v>335403</v>
      </c>
    </row>
    <row r="180" spans="1:11" x14ac:dyDescent="0.25">
      <c r="A180" s="38">
        <v>45869</v>
      </c>
      <c r="B180" s="33" t="s">
        <v>520</v>
      </c>
      <c r="C180" s="36" t="s">
        <v>99</v>
      </c>
      <c r="D180" s="34" t="s">
        <v>449</v>
      </c>
      <c r="E180" s="34"/>
      <c r="F180" s="37">
        <v>1214662.68</v>
      </c>
      <c r="G180" s="37">
        <v>1214662.68</v>
      </c>
      <c r="H180" s="38">
        <v>45869</v>
      </c>
      <c r="I180" s="38" t="s">
        <v>1820</v>
      </c>
      <c r="J180" s="42">
        <v>212</v>
      </c>
      <c r="K180" s="43">
        <v>1214662.68</v>
      </c>
    </row>
    <row r="181" spans="1:11" x14ac:dyDescent="0.25">
      <c r="A181" s="38">
        <v>45869</v>
      </c>
      <c r="B181" s="33" t="s">
        <v>521</v>
      </c>
      <c r="C181" s="36" t="s">
        <v>113</v>
      </c>
      <c r="D181" s="34" t="s">
        <v>393</v>
      </c>
      <c r="E181" s="34"/>
      <c r="F181" s="37">
        <v>679250</v>
      </c>
      <c r="G181" s="37">
        <v>679250</v>
      </c>
      <c r="H181" s="38">
        <v>45869</v>
      </c>
      <c r="I181" s="38" t="s">
        <v>1820</v>
      </c>
      <c r="J181" s="42">
        <v>212</v>
      </c>
      <c r="K181" s="43">
        <v>679250</v>
      </c>
    </row>
    <row r="182" spans="1:11" x14ac:dyDescent="0.25">
      <c r="A182" s="38">
        <v>45869</v>
      </c>
      <c r="B182" s="33" t="s">
        <v>522</v>
      </c>
      <c r="C182" s="36" t="s">
        <v>186</v>
      </c>
      <c r="D182" s="34" t="s">
        <v>433</v>
      </c>
      <c r="E182" s="34"/>
      <c r="F182" s="37">
        <v>163900</v>
      </c>
      <c r="G182" s="37">
        <v>566588</v>
      </c>
      <c r="H182" s="38">
        <v>45959</v>
      </c>
      <c r="I182" s="38" t="s">
        <v>1800</v>
      </c>
      <c r="J182" s="42">
        <v>122</v>
      </c>
      <c r="K182" s="43">
        <v>566588</v>
      </c>
    </row>
    <row r="183" spans="1:11" x14ac:dyDescent="0.25">
      <c r="A183" s="38">
        <v>45869</v>
      </c>
      <c r="B183" s="33" t="s">
        <v>524</v>
      </c>
      <c r="C183" s="36" t="s">
        <v>200</v>
      </c>
      <c r="D183" s="34" t="s">
        <v>352</v>
      </c>
      <c r="E183" s="34"/>
      <c r="F183" s="37">
        <v>47200</v>
      </c>
      <c r="G183" s="37">
        <v>47200</v>
      </c>
      <c r="H183" s="38">
        <v>45869</v>
      </c>
      <c r="I183" s="38" t="s">
        <v>1820</v>
      </c>
      <c r="J183" s="42">
        <v>212</v>
      </c>
      <c r="K183" s="43">
        <v>47200</v>
      </c>
    </row>
    <row r="184" spans="1:11" x14ac:dyDescent="0.25">
      <c r="A184" s="38">
        <v>45869</v>
      </c>
      <c r="B184" s="33" t="s">
        <v>525</v>
      </c>
      <c r="C184" s="36" t="s">
        <v>202</v>
      </c>
      <c r="D184" s="34" t="s">
        <v>449</v>
      </c>
      <c r="E184" s="34"/>
      <c r="F184" s="37">
        <v>821726.7</v>
      </c>
      <c r="G184" s="37">
        <v>821726.7</v>
      </c>
      <c r="H184" s="38">
        <v>45869</v>
      </c>
      <c r="I184" s="38" t="s">
        <v>1820</v>
      </c>
      <c r="J184" s="42">
        <v>212</v>
      </c>
      <c r="K184" s="43">
        <v>821726.7</v>
      </c>
    </row>
    <row r="185" spans="1:11" x14ac:dyDescent="0.25">
      <c r="A185" s="38">
        <v>45869</v>
      </c>
      <c r="B185" s="33" t="s">
        <v>526</v>
      </c>
      <c r="C185" s="36" t="s">
        <v>203</v>
      </c>
      <c r="D185" s="34" t="s">
        <v>435</v>
      </c>
      <c r="E185" s="34"/>
      <c r="F185" s="37">
        <v>395482.5</v>
      </c>
      <c r="G185" s="37">
        <v>395482.5</v>
      </c>
      <c r="H185" s="38">
        <v>45929</v>
      </c>
      <c r="I185" s="38" t="s">
        <v>1801</v>
      </c>
      <c r="J185" s="42">
        <v>152</v>
      </c>
      <c r="K185" s="43">
        <v>395482.5</v>
      </c>
    </row>
    <row r="186" spans="1:11" x14ac:dyDescent="0.25">
      <c r="A186" s="38">
        <v>45869</v>
      </c>
      <c r="B186" s="33" t="s">
        <v>527</v>
      </c>
      <c r="C186" s="36" t="s">
        <v>203</v>
      </c>
      <c r="D186" s="34" t="s">
        <v>433</v>
      </c>
      <c r="E186" s="34"/>
      <c r="F186" s="37">
        <v>470229.2</v>
      </c>
      <c r="G186" s="37">
        <v>940458.4</v>
      </c>
      <c r="H186" s="38">
        <v>45869</v>
      </c>
      <c r="I186" s="38" t="s">
        <v>1820</v>
      </c>
      <c r="J186" s="42">
        <v>212</v>
      </c>
      <c r="K186" s="43">
        <v>940458.4</v>
      </c>
    </row>
    <row r="187" spans="1:11" x14ac:dyDescent="0.25">
      <c r="A187" s="38">
        <v>45869</v>
      </c>
      <c r="B187" s="33" t="s">
        <v>528</v>
      </c>
      <c r="C187" s="36" t="s">
        <v>207</v>
      </c>
      <c r="D187" s="34" t="s">
        <v>393</v>
      </c>
      <c r="E187" s="34"/>
      <c r="F187" s="37">
        <v>78487.5</v>
      </c>
      <c r="G187" s="37">
        <v>78487.5</v>
      </c>
      <c r="H187" s="38">
        <v>45899</v>
      </c>
      <c r="I187" s="38" t="s">
        <v>1820</v>
      </c>
      <c r="J187" s="42">
        <v>182</v>
      </c>
      <c r="K187" s="43">
        <v>78487.5</v>
      </c>
    </row>
    <row r="188" spans="1:11" x14ac:dyDescent="0.25">
      <c r="A188" s="38">
        <v>45869</v>
      </c>
      <c r="B188" s="33" t="s">
        <v>529</v>
      </c>
      <c r="C188" s="36" t="s">
        <v>216</v>
      </c>
      <c r="D188" s="34" t="s">
        <v>433</v>
      </c>
      <c r="E188" s="34"/>
      <c r="F188" s="37">
        <v>1537000</v>
      </c>
      <c r="G188" s="37">
        <v>1537000</v>
      </c>
      <c r="H188" s="38">
        <v>45869</v>
      </c>
      <c r="I188" s="38" t="s">
        <v>1820</v>
      </c>
      <c r="J188" s="42">
        <v>212</v>
      </c>
      <c r="K188" s="43">
        <v>1537000</v>
      </c>
    </row>
    <row r="189" spans="1:11" x14ac:dyDescent="0.25">
      <c r="A189" s="38">
        <v>45869</v>
      </c>
      <c r="B189" s="33" t="s">
        <v>530</v>
      </c>
      <c r="C189" s="36" t="s">
        <v>216</v>
      </c>
      <c r="D189" s="34" t="s">
        <v>433</v>
      </c>
      <c r="E189" s="34"/>
      <c r="F189" s="37">
        <v>87000</v>
      </c>
      <c r="G189" s="37">
        <v>87000</v>
      </c>
      <c r="H189" s="38">
        <v>45869</v>
      </c>
      <c r="I189" s="38" t="s">
        <v>1820</v>
      </c>
      <c r="J189" s="42">
        <v>212</v>
      </c>
      <c r="K189" s="43">
        <v>87000</v>
      </c>
    </row>
    <row r="190" spans="1:11" x14ac:dyDescent="0.25">
      <c r="A190" s="38">
        <v>45869</v>
      </c>
      <c r="B190" s="33" t="s">
        <v>531</v>
      </c>
      <c r="C190" s="36" t="s">
        <v>227</v>
      </c>
      <c r="D190" s="34" t="s">
        <v>341</v>
      </c>
      <c r="E190" s="34"/>
      <c r="F190" s="37">
        <v>401302</v>
      </c>
      <c r="G190" s="37">
        <v>100</v>
      </c>
      <c r="H190" s="38">
        <v>45869</v>
      </c>
      <c r="I190" s="38" t="s">
        <v>1820</v>
      </c>
      <c r="J190" s="42">
        <v>212</v>
      </c>
      <c r="K190" s="43">
        <v>100</v>
      </c>
    </row>
    <row r="191" spans="1:11" x14ac:dyDescent="0.25">
      <c r="A191" s="38">
        <v>45869</v>
      </c>
      <c r="B191" s="33" t="s">
        <v>532</v>
      </c>
      <c r="C191" s="36" t="s">
        <v>310</v>
      </c>
      <c r="D191" s="34" t="s">
        <v>433</v>
      </c>
      <c r="E191" s="34"/>
      <c r="F191" s="37">
        <v>65967</v>
      </c>
      <c r="G191" s="37">
        <v>9738.7199999999993</v>
      </c>
      <c r="H191" s="38">
        <v>45929</v>
      </c>
      <c r="I191" s="38" t="s">
        <v>1801</v>
      </c>
      <c r="J191" s="42">
        <v>152</v>
      </c>
      <c r="K191" s="43">
        <v>9738.7199999999993</v>
      </c>
    </row>
    <row r="192" spans="1:11" x14ac:dyDescent="0.25">
      <c r="A192" s="38">
        <v>45870</v>
      </c>
      <c r="B192" s="33" t="s">
        <v>533</v>
      </c>
      <c r="C192" s="36" t="s">
        <v>32</v>
      </c>
      <c r="D192" s="34" t="s">
        <v>426</v>
      </c>
      <c r="E192" s="34"/>
      <c r="F192" s="37">
        <v>50778</v>
      </c>
      <c r="G192" s="37">
        <v>50778</v>
      </c>
      <c r="H192" s="38">
        <v>45870</v>
      </c>
      <c r="I192" s="38" t="s">
        <v>1820</v>
      </c>
      <c r="J192" s="42">
        <v>211</v>
      </c>
      <c r="K192" s="43">
        <v>50778</v>
      </c>
    </row>
    <row r="193" spans="1:11" x14ac:dyDescent="0.25">
      <c r="A193" s="38">
        <v>45871</v>
      </c>
      <c r="B193" s="33" t="s">
        <v>534</v>
      </c>
      <c r="C193" s="36" t="s">
        <v>32</v>
      </c>
      <c r="D193" s="34" t="s">
        <v>426</v>
      </c>
      <c r="E193" s="34"/>
      <c r="F193" s="37">
        <v>50436.22</v>
      </c>
      <c r="G193" s="37">
        <v>50436.22</v>
      </c>
      <c r="H193" s="38">
        <v>45871</v>
      </c>
      <c r="I193" s="38" t="s">
        <v>1820</v>
      </c>
      <c r="J193" s="42">
        <v>210</v>
      </c>
      <c r="K193" s="43">
        <v>50436.22</v>
      </c>
    </row>
    <row r="194" spans="1:11" x14ac:dyDescent="0.25">
      <c r="A194" s="38">
        <v>45872</v>
      </c>
      <c r="B194" s="33" t="s">
        <v>535</v>
      </c>
      <c r="C194" s="36" t="s">
        <v>40</v>
      </c>
      <c r="D194" s="34" t="s">
        <v>402</v>
      </c>
      <c r="E194" s="34"/>
      <c r="F194" s="37">
        <v>222347</v>
      </c>
      <c r="G194" s="37">
        <v>222347</v>
      </c>
      <c r="H194" s="38">
        <v>45872</v>
      </c>
      <c r="I194" s="38" t="s">
        <v>1820</v>
      </c>
      <c r="J194" s="42">
        <v>209</v>
      </c>
      <c r="K194" s="43">
        <v>222347</v>
      </c>
    </row>
    <row r="195" spans="1:11" x14ac:dyDescent="0.25">
      <c r="A195" s="38">
        <v>45873</v>
      </c>
      <c r="B195" s="33" t="s">
        <v>536</v>
      </c>
      <c r="C195" s="36" t="s">
        <v>40</v>
      </c>
      <c r="D195" s="34" t="s">
        <v>341</v>
      </c>
      <c r="E195" s="34"/>
      <c r="F195" s="37">
        <v>279589</v>
      </c>
      <c r="G195" s="37">
        <v>279589</v>
      </c>
      <c r="H195" s="38">
        <v>45903</v>
      </c>
      <c r="I195" s="38" t="s">
        <v>1801</v>
      </c>
      <c r="J195" s="42">
        <v>178</v>
      </c>
      <c r="K195" s="43">
        <v>279589</v>
      </c>
    </row>
    <row r="196" spans="1:11" x14ac:dyDescent="0.25">
      <c r="A196" s="38">
        <v>45874</v>
      </c>
      <c r="B196" s="33" t="s">
        <v>538</v>
      </c>
      <c r="C196" s="36" t="s">
        <v>40</v>
      </c>
      <c r="D196" s="34" t="s">
        <v>435</v>
      </c>
      <c r="E196" s="34"/>
      <c r="F196" s="37">
        <v>204695</v>
      </c>
      <c r="G196" s="37">
        <v>204695</v>
      </c>
      <c r="H196" s="38">
        <v>45874</v>
      </c>
      <c r="I196" s="38" t="s">
        <v>1820</v>
      </c>
      <c r="J196" s="42">
        <v>207</v>
      </c>
      <c r="K196" s="43">
        <v>204695</v>
      </c>
    </row>
    <row r="197" spans="1:11" x14ac:dyDescent="0.25">
      <c r="A197" s="38">
        <v>45874</v>
      </c>
      <c r="B197" s="33" t="s">
        <v>539</v>
      </c>
      <c r="C197" s="36" t="s">
        <v>200</v>
      </c>
      <c r="D197" s="34" t="s">
        <v>352</v>
      </c>
      <c r="E197" s="34"/>
      <c r="F197" s="37">
        <v>23600</v>
      </c>
      <c r="G197" s="37">
        <v>23600</v>
      </c>
      <c r="H197" s="38">
        <v>45874</v>
      </c>
      <c r="I197" s="38" t="s">
        <v>1820</v>
      </c>
      <c r="J197" s="42">
        <v>207</v>
      </c>
      <c r="K197" s="43">
        <v>23600</v>
      </c>
    </row>
    <row r="198" spans="1:11" x14ac:dyDescent="0.25">
      <c r="A198" s="38">
        <v>45875</v>
      </c>
      <c r="B198" s="33" t="s">
        <v>540</v>
      </c>
      <c r="C198" s="36" t="s">
        <v>275</v>
      </c>
      <c r="D198" s="34" t="s">
        <v>412</v>
      </c>
      <c r="E198" s="34"/>
      <c r="F198" s="39">
        <v>91559.23</v>
      </c>
      <c r="G198" s="37">
        <v>8748.0400000000009</v>
      </c>
      <c r="H198" s="38">
        <v>45875</v>
      </c>
      <c r="I198" s="38" t="s">
        <v>1820</v>
      </c>
      <c r="J198" s="42">
        <v>206</v>
      </c>
      <c r="K198" s="43">
        <v>8748.0400000000009</v>
      </c>
    </row>
    <row r="199" spans="1:11" x14ac:dyDescent="0.25">
      <c r="A199" s="38">
        <v>45880</v>
      </c>
      <c r="B199" s="33" t="s">
        <v>541</v>
      </c>
      <c r="C199" s="36" t="s">
        <v>32</v>
      </c>
      <c r="D199" s="34" t="s">
        <v>426</v>
      </c>
      <c r="E199" s="34"/>
      <c r="F199" s="37">
        <v>203112</v>
      </c>
      <c r="G199" s="37">
        <v>203112</v>
      </c>
      <c r="H199" s="38">
        <v>45880</v>
      </c>
      <c r="I199" s="38" t="s">
        <v>1820</v>
      </c>
      <c r="J199" s="42">
        <v>201</v>
      </c>
      <c r="K199" s="43">
        <v>203112</v>
      </c>
    </row>
    <row r="200" spans="1:11" x14ac:dyDescent="0.25">
      <c r="A200" s="38">
        <v>45882</v>
      </c>
      <c r="B200" s="33" t="s">
        <v>542</v>
      </c>
      <c r="C200" s="36" t="s">
        <v>40</v>
      </c>
      <c r="D200" s="34" t="s">
        <v>373</v>
      </c>
      <c r="E200" s="34"/>
      <c r="F200" s="37">
        <v>244673</v>
      </c>
      <c r="G200" s="37">
        <v>244673</v>
      </c>
      <c r="H200" s="38">
        <v>45882</v>
      </c>
      <c r="I200" s="38" t="s">
        <v>1820</v>
      </c>
      <c r="J200" s="42">
        <v>199</v>
      </c>
      <c r="K200" s="43">
        <v>244673</v>
      </c>
    </row>
    <row r="201" spans="1:11" x14ac:dyDescent="0.25">
      <c r="A201" s="38">
        <v>45883</v>
      </c>
      <c r="B201" s="33" t="s">
        <v>543</v>
      </c>
      <c r="C201" s="36" t="s">
        <v>116</v>
      </c>
      <c r="D201" s="34" t="s">
        <v>433</v>
      </c>
      <c r="E201" s="34"/>
      <c r="F201" s="37">
        <v>37522.28</v>
      </c>
      <c r="G201" s="37">
        <v>37522.15</v>
      </c>
      <c r="H201" s="38">
        <v>45943</v>
      </c>
      <c r="I201" s="38" t="s">
        <v>1800</v>
      </c>
      <c r="J201" s="42">
        <v>138</v>
      </c>
      <c r="K201" s="43">
        <v>37522.15</v>
      </c>
    </row>
    <row r="202" spans="1:11" x14ac:dyDescent="0.25">
      <c r="A202" s="38">
        <v>45883</v>
      </c>
      <c r="B202" s="33" t="s">
        <v>544</v>
      </c>
      <c r="C202" s="36" t="s">
        <v>174</v>
      </c>
      <c r="D202" s="34" t="s">
        <v>402</v>
      </c>
      <c r="E202" s="34"/>
      <c r="F202" s="37">
        <v>1084090</v>
      </c>
      <c r="G202" s="37">
        <v>584090</v>
      </c>
      <c r="H202" s="38">
        <v>45913</v>
      </c>
      <c r="I202" s="38" t="s">
        <v>1801</v>
      </c>
      <c r="J202" s="42">
        <v>168</v>
      </c>
      <c r="K202" s="43">
        <v>584090</v>
      </c>
    </row>
    <row r="203" spans="1:11" x14ac:dyDescent="0.25">
      <c r="A203" s="38">
        <v>45884</v>
      </c>
      <c r="B203" s="33" t="s">
        <v>545</v>
      </c>
      <c r="C203" s="36" t="s">
        <v>40</v>
      </c>
      <c r="D203" s="34" t="s">
        <v>373</v>
      </c>
      <c r="E203" s="34"/>
      <c r="F203" s="37">
        <v>315544</v>
      </c>
      <c r="G203" s="37">
        <v>315544</v>
      </c>
      <c r="H203" s="38">
        <v>45914</v>
      </c>
      <c r="I203" s="38" t="s">
        <v>1801</v>
      </c>
      <c r="J203" s="42">
        <v>167</v>
      </c>
      <c r="K203" s="43">
        <v>315544</v>
      </c>
    </row>
    <row r="204" spans="1:11" x14ac:dyDescent="0.25">
      <c r="A204" s="38">
        <v>45884</v>
      </c>
      <c r="B204" s="33" t="s">
        <v>546</v>
      </c>
      <c r="C204" s="36" t="s">
        <v>40</v>
      </c>
      <c r="D204" s="34" t="s">
        <v>402</v>
      </c>
      <c r="E204" s="34"/>
      <c r="F204" s="37">
        <v>199632</v>
      </c>
      <c r="G204" s="37">
        <v>199632</v>
      </c>
      <c r="H204" s="38">
        <v>45884</v>
      </c>
      <c r="I204" s="38" t="s">
        <v>1820</v>
      </c>
      <c r="J204" s="42">
        <v>197</v>
      </c>
      <c r="K204" s="43">
        <v>199632</v>
      </c>
    </row>
    <row r="205" spans="1:11" x14ac:dyDescent="0.25">
      <c r="A205" s="38">
        <v>45886</v>
      </c>
      <c r="B205" s="33" t="s">
        <v>547</v>
      </c>
      <c r="C205" s="36" t="s">
        <v>32</v>
      </c>
      <c r="D205" s="34" t="s">
        <v>426</v>
      </c>
      <c r="E205" s="34"/>
      <c r="F205" s="37">
        <v>195739.42</v>
      </c>
      <c r="G205" s="37">
        <v>195739.42</v>
      </c>
      <c r="H205" s="38">
        <v>45886</v>
      </c>
      <c r="I205" s="38" t="s">
        <v>1820</v>
      </c>
      <c r="J205" s="42">
        <v>195</v>
      </c>
      <c r="K205" s="43">
        <v>195739.42</v>
      </c>
    </row>
    <row r="206" spans="1:11" x14ac:dyDescent="0.25">
      <c r="A206" s="38">
        <v>45887</v>
      </c>
      <c r="B206" s="33" t="s">
        <v>548</v>
      </c>
      <c r="C206" s="36" t="s">
        <v>186</v>
      </c>
      <c r="D206" s="34" t="s">
        <v>433</v>
      </c>
      <c r="E206" s="34"/>
      <c r="F206" s="37">
        <v>489374.14</v>
      </c>
      <c r="G206" s="37">
        <v>0.1</v>
      </c>
      <c r="H206" s="38">
        <v>45977</v>
      </c>
      <c r="I206" s="38" t="s">
        <v>1799</v>
      </c>
      <c r="J206" s="42">
        <v>104</v>
      </c>
      <c r="K206" s="43">
        <v>0.1</v>
      </c>
    </row>
    <row r="207" spans="1:11" x14ac:dyDescent="0.25">
      <c r="A207" s="38">
        <v>45889</v>
      </c>
      <c r="B207" s="33" t="s">
        <v>549</v>
      </c>
      <c r="C207" s="36" t="s">
        <v>255</v>
      </c>
      <c r="D207" s="34" t="s">
        <v>402</v>
      </c>
      <c r="E207" s="34"/>
      <c r="F207" s="37">
        <v>329692</v>
      </c>
      <c r="G207" s="37">
        <v>297042</v>
      </c>
      <c r="H207" s="38">
        <v>45919</v>
      </c>
      <c r="I207" s="38" t="s">
        <v>1801</v>
      </c>
      <c r="J207" s="42">
        <v>162</v>
      </c>
      <c r="K207" s="43">
        <v>297042</v>
      </c>
    </row>
    <row r="208" spans="1:11" x14ac:dyDescent="0.25">
      <c r="A208" s="38">
        <v>45891</v>
      </c>
      <c r="B208" s="33" t="s">
        <v>550</v>
      </c>
      <c r="C208" s="36" t="s">
        <v>32</v>
      </c>
      <c r="D208" s="34" t="s">
        <v>426</v>
      </c>
      <c r="E208" s="34"/>
      <c r="F208" s="37">
        <v>148183.88</v>
      </c>
      <c r="G208" s="37">
        <v>148183.88</v>
      </c>
      <c r="H208" s="38">
        <v>45891</v>
      </c>
      <c r="I208" s="38" t="s">
        <v>1820</v>
      </c>
      <c r="J208" s="42">
        <v>190</v>
      </c>
      <c r="K208" s="43">
        <v>148183.88</v>
      </c>
    </row>
    <row r="209" spans="1:11" x14ac:dyDescent="0.25">
      <c r="A209" s="38">
        <v>45895</v>
      </c>
      <c r="B209" s="33" t="s">
        <v>551</v>
      </c>
      <c r="C209" s="36" t="s">
        <v>40</v>
      </c>
      <c r="D209" s="34" t="s">
        <v>402</v>
      </c>
      <c r="E209" s="34"/>
      <c r="F209" s="37">
        <v>381352</v>
      </c>
      <c r="G209" s="37">
        <v>381352</v>
      </c>
      <c r="H209" s="38">
        <v>45895</v>
      </c>
      <c r="I209" s="38" t="s">
        <v>1820</v>
      </c>
      <c r="J209" s="42">
        <v>186</v>
      </c>
      <c r="K209" s="43">
        <v>381352</v>
      </c>
    </row>
    <row r="210" spans="1:11" x14ac:dyDescent="0.25">
      <c r="A210" s="38">
        <v>45895</v>
      </c>
      <c r="B210" s="33" t="s">
        <v>552</v>
      </c>
      <c r="C210" s="36" t="s">
        <v>40</v>
      </c>
      <c r="D210" s="34" t="s">
        <v>553</v>
      </c>
      <c r="E210" s="34"/>
      <c r="F210" s="37">
        <v>261936</v>
      </c>
      <c r="G210" s="37">
        <v>261936</v>
      </c>
      <c r="H210" s="38">
        <v>45925</v>
      </c>
      <c r="I210" s="38" t="s">
        <v>1801</v>
      </c>
      <c r="J210" s="42">
        <v>156</v>
      </c>
      <c r="K210" s="43">
        <v>261936</v>
      </c>
    </row>
    <row r="211" spans="1:11" x14ac:dyDescent="0.25">
      <c r="A211" s="38">
        <v>45900</v>
      </c>
      <c r="B211" s="33" t="s">
        <v>554</v>
      </c>
      <c r="C211" s="36" t="s">
        <v>32</v>
      </c>
      <c r="D211" s="34" t="s">
        <v>426</v>
      </c>
      <c r="E211" s="34"/>
      <c r="F211" s="37">
        <v>315051.48</v>
      </c>
      <c r="G211" s="37">
        <v>315051.48</v>
      </c>
      <c r="H211" s="38">
        <v>45900</v>
      </c>
      <c r="I211" s="38" t="s">
        <v>1820</v>
      </c>
      <c r="J211" s="42">
        <v>181</v>
      </c>
      <c r="K211" s="43">
        <v>315051.48</v>
      </c>
    </row>
    <row r="212" spans="1:11" x14ac:dyDescent="0.25">
      <c r="A212" s="38">
        <v>45900</v>
      </c>
      <c r="B212" s="33" t="s">
        <v>555</v>
      </c>
      <c r="C212" s="36" t="s">
        <v>113</v>
      </c>
      <c r="D212" s="34" t="s">
        <v>393</v>
      </c>
      <c r="E212" s="34"/>
      <c r="F212" s="37">
        <v>198000</v>
      </c>
      <c r="G212" s="37">
        <v>198000</v>
      </c>
      <c r="H212" s="38">
        <v>45900</v>
      </c>
      <c r="I212" s="38" t="s">
        <v>1820</v>
      </c>
      <c r="J212" s="42">
        <v>181</v>
      </c>
      <c r="K212" s="43">
        <v>198000</v>
      </c>
    </row>
    <row r="213" spans="1:11" x14ac:dyDescent="0.25">
      <c r="A213" s="38">
        <v>45900</v>
      </c>
      <c r="B213" s="33" t="s">
        <v>556</v>
      </c>
      <c r="C213" s="36" t="s">
        <v>113</v>
      </c>
      <c r="D213" s="34" t="s">
        <v>393</v>
      </c>
      <c r="E213" s="34"/>
      <c r="F213" s="37">
        <v>250250</v>
      </c>
      <c r="G213" s="37">
        <v>250250</v>
      </c>
      <c r="H213" s="38">
        <v>45900</v>
      </c>
      <c r="I213" s="38" t="s">
        <v>1820</v>
      </c>
      <c r="J213" s="42">
        <v>181</v>
      </c>
      <c r="K213" s="43">
        <v>250250</v>
      </c>
    </row>
    <row r="214" spans="1:11" x14ac:dyDescent="0.25">
      <c r="A214" s="38">
        <v>45900</v>
      </c>
      <c r="B214" s="33" t="s">
        <v>557</v>
      </c>
      <c r="C214" s="36" t="s">
        <v>202</v>
      </c>
      <c r="D214" s="34" t="s">
        <v>449</v>
      </c>
      <c r="E214" s="34"/>
      <c r="F214" s="37">
        <v>836447.59</v>
      </c>
      <c r="G214" s="37">
        <v>836447.59</v>
      </c>
      <c r="H214" s="38">
        <v>45900</v>
      </c>
      <c r="I214" s="38" t="s">
        <v>1820</v>
      </c>
      <c r="J214" s="42">
        <v>181</v>
      </c>
      <c r="K214" s="43">
        <v>836447.59</v>
      </c>
    </row>
    <row r="215" spans="1:11" x14ac:dyDescent="0.25">
      <c r="A215" s="38">
        <v>45900</v>
      </c>
      <c r="B215" s="33" t="s">
        <v>558</v>
      </c>
      <c r="C215" s="36" t="s">
        <v>203</v>
      </c>
      <c r="D215" s="34" t="s">
        <v>433</v>
      </c>
      <c r="E215" s="34"/>
      <c r="F215" s="37">
        <v>470229.2</v>
      </c>
      <c r="G215" s="37">
        <v>470229.2</v>
      </c>
      <c r="H215" s="38">
        <v>45900</v>
      </c>
      <c r="I215" s="38" t="s">
        <v>1820</v>
      </c>
      <c r="J215" s="42">
        <v>181</v>
      </c>
      <c r="K215" s="43">
        <v>470229.2</v>
      </c>
    </row>
    <row r="216" spans="1:11" x14ac:dyDescent="0.25">
      <c r="A216" s="38">
        <v>45900</v>
      </c>
      <c r="B216" s="33" t="s">
        <v>559</v>
      </c>
      <c r="C216" s="36" t="s">
        <v>203</v>
      </c>
      <c r="D216" s="34" t="s">
        <v>435</v>
      </c>
      <c r="E216" s="34"/>
      <c r="F216" s="37">
        <v>371831.28</v>
      </c>
      <c r="G216" s="37">
        <v>371831.28</v>
      </c>
      <c r="H216" s="38">
        <v>45960</v>
      </c>
      <c r="I216" s="38" t="s">
        <v>1800</v>
      </c>
      <c r="J216" s="42">
        <v>121</v>
      </c>
      <c r="K216" s="43">
        <v>371831.28</v>
      </c>
    </row>
    <row r="217" spans="1:11" x14ac:dyDescent="0.25">
      <c r="A217" s="38">
        <v>45900</v>
      </c>
      <c r="B217" s="33" t="s">
        <v>560</v>
      </c>
      <c r="C217" s="36" t="s">
        <v>207</v>
      </c>
      <c r="D217" s="34" t="s">
        <v>561</v>
      </c>
      <c r="E217" s="34"/>
      <c r="F217" s="37">
        <v>39243.75</v>
      </c>
      <c r="G217" s="37">
        <v>39243.75</v>
      </c>
      <c r="H217" s="38">
        <v>45930</v>
      </c>
      <c r="I217" s="38" t="s">
        <v>1801</v>
      </c>
      <c r="J217" s="42">
        <v>151</v>
      </c>
      <c r="K217" s="43">
        <v>39243.75</v>
      </c>
    </row>
    <row r="218" spans="1:11" x14ac:dyDescent="0.25">
      <c r="A218" s="38">
        <v>45900</v>
      </c>
      <c r="B218" s="33" t="s">
        <v>562</v>
      </c>
      <c r="C218" s="36" t="s">
        <v>208</v>
      </c>
      <c r="D218" s="34" t="s">
        <v>449</v>
      </c>
      <c r="E218" s="34"/>
      <c r="F218" s="37">
        <v>10800</v>
      </c>
      <c r="G218" s="37">
        <v>10800</v>
      </c>
      <c r="H218" s="38">
        <v>45900</v>
      </c>
      <c r="I218" s="38" t="s">
        <v>1820</v>
      </c>
      <c r="J218" s="42">
        <v>181</v>
      </c>
      <c r="K218" s="43">
        <v>10800</v>
      </c>
    </row>
    <row r="219" spans="1:11" x14ac:dyDescent="0.25">
      <c r="A219" s="38">
        <v>45900</v>
      </c>
      <c r="B219" s="33" t="s">
        <v>563</v>
      </c>
      <c r="C219" s="36" t="s">
        <v>210</v>
      </c>
      <c r="D219" s="34" t="s">
        <v>402</v>
      </c>
      <c r="E219" s="34"/>
      <c r="F219" s="37">
        <v>600857.15</v>
      </c>
      <c r="G219" s="37">
        <v>600857.15</v>
      </c>
      <c r="H219" s="38">
        <v>45900</v>
      </c>
      <c r="I219" s="38" t="s">
        <v>1820</v>
      </c>
      <c r="J219" s="42">
        <v>181</v>
      </c>
      <c r="K219" s="43">
        <v>600857.15</v>
      </c>
    </row>
    <row r="220" spans="1:11" x14ac:dyDescent="0.25">
      <c r="A220" s="38">
        <v>45900</v>
      </c>
      <c r="B220" s="33" t="s">
        <v>564</v>
      </c>
      <c r="C220" s="36" t="s">
        <v>218</v>
      </c>
      <c r="D220" s="34" t="s">
        <v>565</v>
      </c>
      <c r="E220" s="34"/>
      <c r="F220" s="37">
        <v>102138</v>
      </c>
      <c r="G220" s="37">
        <v>102138</v>
      </c>
      <c r="H220" s="38">
        <v>45900</v>
      </c>
      <c r="I220" s="38" t="s">
        <v>1820</v>
      </c>
      <c r="J220" s="42">
        <v>181</v>
      </c>
      <c r="K220" s="43">
        <v>102138</v>
      </c>
    </row>
    <row r="221" spans="1:11" x14ac:dyDescent="0.25">
      <c r="A221" s="38">
        <v>45900</v>
      </c>
      <c r="B221" s="33" t="s">
        <v>566</v>
      </c>
      <c r="C221" s="36" t="s">
        <v>218</v>
      </c>
      <c r="D221" s="34" t="s">
        <v>323</v>
      </c>
      <c r="E221" s="34"/>
      <c r="F221" s="37">
        <v>21338.46</v>
      </c>
      <c r="G221" s="37">
        <v>21338.46</v>
      </c>
      <c r="H221" s="38">
        <v>45900</v>
      </c>
      <c r="I221" s="38" t="s">
        <v>1820</v>
      </c>
      <c r="J221" s="42">
        <v>181</v>
      </c>
      <c r="K221" s="43">
        <v>21338.46</v>
      </c>
    </row>
    <row r="222" spans="1:11" x14ac:dyDescent="0.25">
      <c r="A222" s="38">
        <v>45900</v>
      </c>
      <c r="B222" s="33" t="s">
        <v>567</v>
      </c>
      <c r="C222" s="36" t="s">
        <v>227</v>
      </c>
      <c r="D222" s="34" t="s">
        <v>341</v>
      </c>
      <c r="E222" s="34"/>
      <c r="F222" s="37">
        <v>352086.68</v>
      </c>
      <c r="G222" s="37">
        <v>109886.68</v>
      </c>
      <c r="H222" s="38">
        <v>45900</v>
      </c>
      <c r="I222" s="38" t="s">
        <v>1820</v>
      </c>
      <c r="J222" s="42">
        <v>181</v>
      </c>
      <c r="K222" s="43">
        <v>109886.68</v>
      </c>
    </row>
    <row r="223" spans="1:11" x14ac:dyDescent="0.25">
      <c r="A223" s="38">
        <v>45900</v>
      </c>
      <c r="B223" s="33" t="s">
        <v>568</v>
      </c>
      <c r="C223" s="36" t="s">
        <v>282</v>
      </c>
      <c r="D223" s="34" t="s">
        <v>402</v>
      </c>
      <c r="E223" s="34"/>
      <c r="F223" s="37">
        <v>436302.68</v>
      </c>
      <c r="G223" s="37">
        <v>138397.96</v>
      </c>
      <c r="H223" s="38">
        <v>45900</v>
      </c>
      <c r="I223" s="38" t="s">
        <v>1820</v>
      </c>
      <c r="J223" s="42">
        <v>181</v>
      </c>
      <c r="K223" s="43">
        <v>138397.96</v>
      </c>
    </row>
    <row r="224" spans="1:11" x14ac:dyDescent="0.25">
      <c r="A224" s="38">
        <v>45900</v>
      </c>
      <c r="B224" s="33" t="s">
        <v>569</v>
      </c>
      <c r="C224" s="36" t="s">
        <v>304</v>
      </c>
      <c r="D224" s="34" t="s">
        <v>402</v>
      </c>
      <c r="E224" s="34"/>
      <c r="F224" s="37">
        <v>474690.06</v>
      </c>
      <c r="G224" s="37">
        <v>474690.06</v>
      </c>
      <c r="H224" s="38">
        <v>45900</v>
      </c>
      <c r="I224" s="38" t="s">
        <v>1820</v>
      </c>
      <c r="J224" s="42">
        <v>181</v>
      </c>
      <c r="K224" s="43">
        <v>474690.06</v>
      </c>
    </row>
    <row r="225" spans="1:11" x14ac:dyDescent="0.25">
      <c r="A225" s="38">
        <v>45901</v>
      </c>
      <c r="B225" s="33" t="s">
        <v>570</v>
      </c>
      <c r="C225" s="36" t="s">
        <v>186</v>
      </c>
      <c r="D225" s="34" t="s">
        <v>433</v>
      </c>
      <c r="E225" s="34"/>
      <c r="F225" s="37">
        <v>286712.61</v>
      </c>
      <c r="G225" s="37">
        <v>286712.61</v>
      </c>
      <c r="H225" s="38">
        <v>45991</v>
      </c>
      <c r="I225" s="38" t="s">
        <v>1798</v>
      </c>
      <c r="J225" s="42">
        <v>90</v>
      </c>
      <c r="K225" s="43">
        <v>286712.61</v>
      </c>
    </row>
    <row r="226" spans="1:11" x14ac:dyDescent="0.25">
      <c r="A226" s="38">
        <v>45901</v>
      </c>
      <c r="B226" s="33" t="s">
        <v>571</v>
      </c>
      <c r="C226" s="36" t="s">
        <v>255</v>
      </c>
      <c r="D226" s="34" t="s">
        <v>402</v>
      </c>
      <c r="E226" s="34"/>
      <c r="F226" s="37">
        <v>516200</v>
      </c>
      <c r="G226" s="37">
        <v>516200</v>
      </c>
      <c r="H226" s="38">
        <v>45901</v>
      </c>
      <c r="I226" s="38" t="s">
        <v>1801</v>
      </c>
      <c r="J226" s="42">
        <v>180</v>
      </c>
      <c r="K226" s="43">
        <v>516200</v>
      </c>
    </row>
    <row r="227" spans="1:11" x14ac:dyDescent="0.25">
      <c r="A227" s="38">
        <v>45902</v>
      </c>
      <c r="B227" s="33" t="s">
        <v>573</v>
      </c>
      <c r="C227" s="36" t="s">
        <v>255</v>
      </c>
      <c r="D227" s="34" t="s">
        <v>402</v>
      </c>
      <c r="E227" s="34"/>
      <c r="F227" s="37">
        <v>516200</v>
      </c>
      <c r="G227" s="37">
        <v>1032400</v>
      </c>
      <c r="H227" s="38">
        <v>45902</v>
      </c>
      <c r="I227" s="38" t="s">
        <v>1801</v>
      </c>
      <c r="J227" s="42">
        <v>179</v>
      </c>
      <c r="K227" s="43">
        <v>1032400</v>
      </c>
    </row>
    <row r="228" spans="1:11" x14ac:dyDescent="0.25">
      <c r="A228" s="38">
        <v>45903</v>
      </c>
      <c r="B228" s="33" t="s">
        <v>574</v>
      </c>
      <c r="C228" s="36" t="s">
        <v>40</v>
      </c>
      <c r="D228" s="34" t="s">
        <v>561</v>
      </c>
      <c r="E228" s="34"/>
      <c r="F228" s="37">
        <v>359676</v>
      </c>
      <c r="G228" s="37">
        <v>359676</v>
      </c>
      <c r="H228" s="38">
        <v>45903</v>
      </c>
      <c r="I228" s="38" t="s">
        <v>1801</v>
      </c>
      <c r="J228" s="42">
        <v>178</v>
      </c>
      <c r="K228" s="43">
        <v>359676</v>
      </c>
    </row>
    <row r="229" spans="1:11" x14ac:dyDescent="0.25">
      <c r="A229" s="38">
        <v>45904</v>
      </c>
      <c r="B229" s="33" t="s">
        <v>575</v>
      </c>
      <c r="C229" s="36" t="s">
        <v>255</v>
      </c>
      <c r="D229" s="34" t="s">
        <v>402</v>
      </c>
      <c r="E229" s="34"/>
      <c r="F229" s="37">
        <v>516200</v>
      </c>
      <c r="G229" s="37">
        <v>516200</v>
      </c>
      <c r="H229" s="38">
        <v>45904</v>
      </c>
      <c r="I229" s="38" t="s">
        <v>1801</v>
      </c>
      <c r="J229" s="42">
        <v>177</v>
      </c>
      <c r="K229" s="43">
        <v>516200</v>
      </c>
    </row>
    <row r="230" spans="1:11" x14ac:dyDescent="0.25">
      <c r="A230" s="38">
        <v>45905</v>
      </c>
      <c r="B230" s="33" t="s">
        <v>576</v>
      </c>
      <c r="C230" s="36" t="s">
        <v>255</v>
      </c>
      <c r="D230" s="34" t="s">
        <v>8</v>
      </c>
      <c r="E230" s="34"/>
      <c r="F230" s="37">
        <v>516199.76</v>
      </c>
      <c r="G230" s="37">
        <v>516199.76</v>
      </c>
      <c r="H230" s="38">
        <v>45905</v>
      </c>
      <c r="I230" s="38" t="s">
        <v>1801</v>
      </c>
      <c r="J230" s="42">
        <v>176</v>
      </c>
      <c r="K230" s="43">
        <v>516199.76</v>
      </c>
    </row>
    <row r="231" spans="1:11" x14ac:dyDescent="0.25">
      <c r="A231" s="38">
        <v>45906</v>
      </c>
      <c r="B231" s="33" t="s">
        <v>577</v>
      </c>
      <c r="C231" s="36" t="s">
        <v>40</v>
      </c>
      <c r="D231" s="34" t="s">
        <v>402</v>
      </c>
      <c r="E231" s="34"/>
      <c r="F231" s="37">
        <v>333716</v>
      </c>
      <c r="G231" s="37">
        <v>333716</v>
      </c>
      <c r="H231" s="38">
        <v>45906</v>
      </c>
      <c r="I231" s="38" t="s">
        <v>1801</v>
      </c>
      <c r="J231" s="42">
        <v>175</v>
      </c>
      <c r="K231" s="43">
        <v>333716</v>
      </c>
    </row>
    <row r="232" spans="1:11" x14ac:dyDescent="0.25">
      <c r="A232" s="38">
        <v>45909</v>
      </c>
      <c r="B232" s="33" t="s">
        <v>578</v>
      </c>
      <c r="C232" s="36" t="s">
        <v>40</v>
      </c>
      <c r="D232" s="34" t="s">
        <v>561</v>
      </c>
      <c r="E232" s="34"/>
      <c r="F232" s="37">
        <v>353965</v>
      </c>
      <c r="G232" s="37">
        <v>353965</v>
      </c>
      <c r="H232" s="38">
        <v>45909</v>
      </c>
      <c r="I232" s="38" t="s">
        <v>1801</v>
      </c>
      <c r="J232" s="42">
        <v>172</v>
      </c>
      <c r="K232" s="43">
        <v>353965</v>
      </c>
    </row>
    <row r="233" spans="1:11" x14ac:dyDescent="0.25">
      <c r="A233" s="38">
        <v>45913</v>
      </c>
      <c r="B233" s="33" t="s">
        <v>579</v>
      </c>
      <c r="C233" s="36" t="s">
        <v>40</v>
      </c>
      <c r="D233" s="34" t="s">
        <v>402</v>
      </c>
      <c r="E233" s="34"/>
      <c r="F233" s="37">
        <v>317750</v>
      </c>
      <c r="G233" s="37">
        <v>317750</v>
      </c>
      <c r="H233" s="38">
        <v>45913</v>
      </c>
      <c r="I233" s="38" t="s">
        <v>1801</v>
      </c>
      <c r="J233" s="42">
        <v>168</v>
      </c>
      <c r="K233" s="43">
        <v>317750</v>
      </c>
    </row>
    <row r="234" spans="1:11" x14ac:dyDescent="0.25">
      <c r="A234" s="38">
        <v>45919</v>
      </c>
      <c r="B234" s="33" t="s">
        <v>580</v>
      </c>
      <c r="C234" s="36" t="s">
        <v>33</v>
      </c>
      <c r="D234" s="34" t="s">
        <v>433</v>
      </c>
      <c r="E234" s="34"/>
      <c r="F234" s="39">
        <v>150000</v>
      </c>
      <c r="G234" s="39">
        <v>150000</v>
      </c>
      <c r="H234" s="38">
        <v>45919</v>
      </c>
      <c r="I234" s="38" t="s">
        <v>1801</v>
      </c>
      <c r="J234" s="42">
        <v>162</v>
      </c>
      <c r="K234" s="43">
        <v>-150000</v>
      </c>
    </row>
    <row r="235" spans="1:11" x14ac:dyDescent="0.25">
      <c r="A235" s="38">
        <v>45919</v>
      </c>
      <c r="B235" s="33" t="s">
        <v>581</v>
      </c>
      <c r="C235" s="36" t="s">
        <v>156</v>
      </c>
      <c r="D235" s="34" t="s">
        <v>433</v>
      </c>
      <c r="E235" s="34"/>
      <c r="F235" s="39">
        <v>1600000</v>
      </c>
      <c r="G235" s="39">
        <v>1000000</v>
      </c>
      <c r="H235" s="38">
        <v>45919</v>
      </c>
      <c r="I235" s="38" t="s">
        <v>1801</v>
      </c>
      <c r="J235" s="42">
        <v>162</v>
      </c>
      <c r="K235" s="43">
        <v>-1000000</v>
      </c>
    </row>
    <row r="236" spans="1:11" x14ac:dyDescent="0.25">
      <c r="A236" s="38">
        <v>45921</v>
      </c>
      <c r="B236" s="33" t="s">
        <v>582</v>
      </c>
      <c r="C236" s="36" t="s">
        <v>113</v>
      </c>
      <c r="D236" s="34" t="s">
        <v>393</v>
      </c>
      <c r="E236" s="34"/>
      <c r="F236" s="37">
        <v>118800</v>
      </c>
      <c r="G236" s="37">
        <v>118800</v>
      </c>
      <c r="H236" s="38">
        <v>45921</v>
      </c>
      <c r="I236" s="38" t="s">
        <v>1801</v>
      </c>
      <c r="J236" s="42">
        <v>160</v>
      </c>
      <c r="K236" s="43">
        <v>118800</v>
      </c>
    </row>
    <row r="237" spans="1:11" x14ac:dyDescent="0.25">
      <c r="A237" s="38">
        <v>45921</v>
      </c>
      <c r="B237" s="33" t="s">
        <v>583</v>
      </c>
      <c r="C237" s="36" t="s">
        <v>113</v>
      </c>
      <c r="D237" s="34" t="s">
        <v>393</v>
      </c>
      <c r="E237" s="34"/>
      <c r="F237" s="37">
        <v>9900</v>
      </c>
      <c r="G237" s="37">
        <v>9900</v>
      </c>
      <c r="H237" s="38">
        <v>45921</v>
      </c>
      <c r="I237" s="38" t="s">
        <v>1801</v>
      </c>
      <c r="J237" s="42">
        <v>160</v>
      </c>
      <c r="K237" s="43">
        <v>9900</v>
      </c>
    </row>
    <row r="238" spans="1:11" x14ac:dyDescent="0.25">
      <c r="A238" s="38">
        <v>45924</v>
      </c>
      <c r="B238" s="33" t="s">
        <v>584</v>
      </c>
      <c r="C238" s="36" t="s">
        <v>174</v>
      </c>
      <c r="D238" s="34" t="s">
        <v>426</v>
      </c>
      <c r="E238" s="34"/>
      <c r="F238" s="37">
        <v>99403</v>
      </c>
      <c r="G238" s="37">
        <v>99403</v>
      </c>
      <c r="H238" s="38">
        <v>45924</v>
      </c>
      <c r="I238" s="38" t="s">
        <v>1801</v>
      </c>
      <c r="J238" s="42">
        <v>157</v>
      </c>
      <c r="K238" s="43">
        <v>99403</v>
      </c>
    </row>
    <row r="239" spans="1:11" x14ac:dyDescent="0.25">
      <c r="A239" s="38">
        <v>45925</v>
      </c>
      <c r="B239" s="33" t="s">
        <v>585</v>
      </c>
      <c r="C239" s="36" t="s">
        <v>280</v>
      </c>
      <c r="D239" s="34" t="s">
        <v>565</v>
      </c>
      <c r="E239" s="34"/>
      <c r="F239" s="37">
        <v>249282.08</v>
      </c>
      <c r="G239" s="37">
        <v>249282.08</v>
      </c>
      <c r="H239" s="38">
        <v>45925</v>
      </c>
      <c r="I239" s="38" t="s">
        <v>1801</v>
      </c>
      <c r="J239" s="42">
        <v>156</v>
      </c>
      <c r="K239" s="43">
        <v>249282.08</v>
      </c>
    </row>
    <row r="240" spans="1:11" x14ac:dyDescent="0.25">
      <c r="A240" s="38">
        <v>45928</v>
      </c>
      <c r="B240" s="33" t="s">
        <v>586</v>
      </c>
      <c r="C240" s="36" t="s">
        <v>40</v>
      </c>
      <c r="D240" s="34" t="s">
        <v>402</v>
      </c>
      <c r="E240" s="34"/>
      <c r="F240" s="37">
        <v>362272</v>
      </c>
      <c r="G240" s="37">
        <v>362272</v>
      </c>
      <c r="H240" s="38">
        <v>45928</v>
      </c>
      <c r="I240" s="38" t="s">
        <v>1801</v>
      </c>
      <c r="J240" s="42">
        <v>153</v>
      </c>
      <c r="K240" s="43">
        <v>362272</v>
      </c>
    </row>
    <row r="241" spans="1:11" x14ac:dyDescent="0.25">
      <c r="A241" s="38">
        <v>45929</v>
      </c>
      <c r="B241" s="33" t="s">
        <v>588</v>
      </c>
      <c r="C241" s="36" t="s">
        <v>207</v>
      </c>
      <c r="D241" s="34" t="s">
        <v>379</v>
      </c>
      <c r="E241" s="34"/>
      <c r="F241" s="37">
        <v>78487.5</v>
      </c>
      <c r="G241" s="37">
        <v>78487.5</v>
      </c>
      <c r="H241" s="38">
        <v>45959</v>
      </c>
      <c r="I241" s="38" t="s">
        <v>1800</v>
      </c>
      <c r="J241" s="42">
        <v>122</v>
      </c>
      <c r="K241" s="43">
        <v>78487.5</v>
      </c>
    </row>
    <row r="242" spans="1:11" x14ac:dyDescent="0.25">
      <c r="A242" s="38">
        <v>45930</v>
      </c>
      <c r="B242" s="33" t="s">
        <v>589</v>
      </c>
      <c r="C242" s="36" t="s">
        <v>113</v>
      </c>
      <c r="D242" s="34" t="s">
        <v>393</v>
      </c>
      <c r="E242" s="34"/>
      <c r="F242" s="37">
        <v>31320</v>
      </c>
      <c r="G242" s="37">
        <v>31320</v>
      </c>
      <c r="H242" s="38">
        <v>45930</v>
      </c>
      <c r="I242" s="38" t="s">
        <v>1801</v>
      </c>
      <c r="J242" s="42">
        <v>151</v>
      </c>
      <c r="K242" s="43">
        <v>31320</v>
      </c>
    </row>
    <row r="243" spans="1:11" x14ac:dyDescent="0.25">
      <c r="A243" s="38">
        <v>45930</v>
      </c>
      <c r="B243" s="33" t="s">
        <v>590</v>
      </c>
      <c r="C243" s="36" t="s">
        <v>200</v>
      </c>
      <c r="D243" s="34" t="s">
        <v>352</v>
      </c>
      <c r="E243" s="34"/>
      <c r="F243" s="37">
        <v>63720</v>
      </c>
      <c r="G243" s="37">
        <v>63720</v>
      </c>
      <c r="H243" s="38">
        <v>45930</v>
      </c>
      <c r="I243" s="38" t="s">
        <v>1801</v>
      </c>
      <c r="J243" s="42">
        <v>151</v>
      </c>
      <c r="K243" s="43">
        <v>63720</v>
      </c>
    </row>
    <row r="244" spans="1:11" x14ac:dyDescent="0.25">
      <c r="A244" s="38">
        <v>45930</v>
      </c>
      <c r="B244" s="33" t="s">
        <v>591</v>
      </c>
      <c r="C244" s="36" t="s">
        <v>202</v>
      </c>
      <c r="D244" s="34" t="s">
        <v>449</v>
      </c>
      <c r="E244" s="34"/>
      <c r="F244" s="37">
        <v>927486</v>
      </c>
      <c r="G244" s="37">
        <v>927486</v>
      </c>
      <c r="H244" s="38">
        <v>45930</v>
      </c>
      <c r="I244" s="38" t="s">
        <v>1801</v>
      </c>
      <c r="J244" s="42">
        <v>151</v>
      </c>
      <c r="K244" s="43">
        <v>927486</v>
      </c>
    </row>
    <row r="245" spans="1:11" x14ac:dyDescent="0.25">
      <c r="A245" s="38">
        <v>45930</v>
      </c>
      <c r="B245" s="33" t="s">
        <v>592</v>
      </c>
      <c r="C245" s="36" t="s">
        <v>203</v>
      </c>
      <c r="D245" s="34" t="s">
        <v>435</v>
      </c>
      <c r="E245" s="34"/>
      <c r="F245" s="37">
        <v>311495.64</v>
      </c>
      <c r="G245" s="37">
        <v>311495.64</v>
      </c>
      <c r="H245" s="38">
        <v>45990</v>
      </c>
      <c r="I245" s="38" t="s">
        <v>1799</v>
      </c>
      <c r="J245" s="42">
        <v>91</v>
      </c>
      <c r="K245" s="43">
        <v>311495.64</v>
      </c>
    </row>
    <row r="246" spans="1:11" x14ac:dyDescent="0.25">
      <c r="A246" s="38">
        <v>45930</v>
      </c>
      <c r="B246" s="33" t="s">
        <v>593</v>
      </c>
      <c r="C246" s="36" t="s">
        <v>203</v>
      </c>
      <c r="D246" s="34" t="s">
        <v>433</v>
      </c>
      <c r="E246" s="34"/>
      <c r="F246" s="37">
        <v>470229.6</v>
      </c>
      <c r="G246" s="37">
        <v>470229.6</v>
      </c>
      <c r="H246" s="38">
        <v>45930</v>
      </c>
      <c r="I246" s="38" t="s">
        <v>1801</v>
      </c>
      <c r="J246" s="42">
        <v>151</v>
      </c>
      <c r="K246" s="43">
        <v>470229.6</v>
      </c>
    </row>
    <row r="247" spans="1:11" x14ac:dyDescent="0.25">
      <c r="A247" s="38">
        <v>45930</v>
      </c>
      <c r="B247" s="33" t="s">
        <v>594</v>
      </c>
      <c r="C247" s="36" t="s">
        <v>207</v>
      </c>
      <c r="D247" s="34" t="s">
        <v>379</v>
      </c>
      <c r="E247" s="34"/>
      <c r="F247" s="37">
        <v>180521.26</v>
      </c>
      <c r="G247" s="37">
        <v>180521.26</v>
      </c>
      <c r="H247" s="38">
        <v>45960</v>
      </c>
      <c r="I247" s="38" t="s">
        <v>1800</v>
      </c>
      <c r="J247" s="42">
        <v>121</v>
      </c>
      <c r="K247" s="43">
        <v>180521.26</v>
      </c>
    </row>
    <row r="248" spans="1:11" x14ac:dyDescent="0.25">
      <c r="A248" s="38">
        <v>45930</v>
      </c>
      <c r="B248" s="33" t="s">
        <v>595</v>
      </c>
      <c r="C248" s="36" t="s">
        <v>207</v>
      </c>
      <c r="D248" s="34" t="s">
        <v>379</v>
      </c>
      <c r="E248" s="34"/>
      <c r="F248" s="37">
        <v>78487.5</v>
      </c>
      <c r="G248" s="37">
        <v>78487.5</v>
      </c>
      <c r="H248" s="38">
        <v>45960</v>
      </c>
      <c r="I248" s="38" t="s">
        <v>1800</v>
      </c>
      <c r="J248" s="42">
        <v>121</v>
      </c>
      <c r="K248" s="43">
        <v>78487.5</v>
      </c>
    </row>
    <row r="249" spans="1:11" x14ac:dyDescent="0.25">
      <c r="A249" s="38">
        <v>45930</v>
      </c>
      <c r="B249" s="33" t="s">
        <v>596</v>
      </c>
      <c r="C249" s="36" t="s">
        <v>216</v>
      </c>
      <c r="D249" s="34" t="s">
        <v>433</v>
      </c>
      <c r="E249" s="34"/>
      <c r="F249" s="37">
        <v>1537000</v>
      </c>
      <c r="G249" s="37">
        <v>1537000</v>
      </c>
      <c r="H249" s="38">
        <v>45930</v>
      </c>
      <c r="I249" s="38" t="s">
        <v>1801</v>
      </c>
      <c r="J249" s="42">
        <v>151</v>
      </c>
      <c r="K249" s="43">
        <v>1537000</v>
      </c>
    </row>
    <row r="250" spans="1:11" x14ac:dyDescent="0.25">
      <c r="A250" s="38">
        <v>45930</v>
      </c>
      <c r="B250" s="33" t="s">
        <v>597</v>
      </c>
      <c r="C250" s="36" t="s">
        <v>216</v>
      </c>
      <c r="D250" s="34" t="s">
        <v>433</v>
      </c>
      <c r="E250" s="34"/>
      <c r="F250" s="37">
        <v>87000</v>
      </c>
      <c r="G250" s="37">
        <v>87000</v>
      </c>
      <c r="H250" s="38">
        <v>45930</v>
      </c>
      <c r="I250" s="38" t="s">
        <v>1801</v>
      </c>
      <c r="J250" s="42">
        <v>151</v>
      </c>
      <c r="K250" s="43">
        <v>87000</v>
      </c>
    </row>
    <row r="251" spans="1:11" x14ac:dyDescent="0.25">
      <c r="A251" s="38">
        <v>45930</v>
      </c>
      <c r="B251" s="33" t="s">
        <v>598</v>
      </c>
      <c r="C251" s="36" t="s">
        <v>227</v>
      </c>
      <c r="D251" s="34" t="s">
        <v>341</v>
      </c>
      <c r="E251" s="34"/>
      <c r="F251" s="37">
        <v>401008.52</v>
      </c>
      <c r="G251" s="37">
        <v>62225.46</v>
      </c>
      <c r="H251" s="38">
        <v>45930</v>
      </c>
      <c r="I251" s="38" t="s">
        <v>1801</v>
      </c>
      <c r="J251" s="42">
        <v>151</v>
      </c>
      <c r="K251" s="43">
        <v>62225.46</v>
      </c>
    </row>
    <row r="252" spans="1:11" x14ac:dyDescent="0.25">
      <c r="A252" s="38">
        <v>45930</v>
      </c>
      <c r="B252" s="33" t="s">
        <v>599</v>
      </c>
      <c r="C252" s="36" t="s">
        <v>229</v>
      </c>
      <c r="D252" s="34" t="s">
        <v>600</v>
      </c>
      <c r="E252" s="34"/>
      <c r="F252" s="37">
        <v>175500</v>
      </c>
      <c r="G252" s="37">
        <v>171990</v>
      </c>
      <c r="H252" s="38">
        <v>45930</v>
      </c>
      <c r="I252" s="38" t="s">
        <v>1801</v>
      </c>
      <c r="J252" s="42">
        <v>151</v>
      </c>
      <c r="K252" s="43">
        <v>171990</v>
      </c>
    </row>
    <row r="253" spans="1:11" x14ac:dyDescent="0.25">
      <c r="A253" s="38">
        <v>45930</v>
      </c>
      <c r="B253" s="33" t="s">
        <v>601</v>
      </c>
      <c r="C253" s="36" t="s">
        <v>229</v>
      </c>
      <c r="D253" s="34" t="s">
        <v>561</v>
      </c>
      <c r="E253" s="34"/>
      <c r="F253" s="37">
        <v>917770</v>
      </c>
      <c r="G253" s="37">
        <v>917770</v>
      </c>
      <c r="H253" s="38">
        <v>45930</v>
      </c>
      <c r="I253" s="38" t="s">
        <v>1801</v>
      </c>
      <c r="J253" s="42">
        <v>151</v>
      </c>
      <c r="K253" s="43">
        <v>917770</v>
      </c>
    </row>
    <row r="254" spans="1:11" x14ac:dyDescent="0.25">
      <c r="A254" s="38">
        <v>45930</v>
      </c>
      <c r="B254" s="33" t="s">
        <v>602</v>
      </c>
      <c r="C254" s="36" t="s">
        <v>229</v>
      </c>
      <c r="D254" s="34" t="s">
        <v>373</v>
      </c>
      <c r="E254" s="34"/>
      <c r="F254" s="37">
        <v>108000</v>
      </c>
      <c r="G254" s="37">
        <v>105840</v>
      </c>
      <c r="H254" s="38">
        <v>45930</v>
      </c>
      <c r="I254" s="38" t="s">
        <v>1801</v>
      </c>
      <c r="J254" s="42">
        <v>151</v>
      </c>
      <c r="K254" s="43">
        <v>105840</v>
      </c>
    </row>
    <row r="255" spans="1:11" x14ac:dyDescent="0.25">
      <c r="A255" s="38">
        <v>45930</v>
      </c>
      <c r="B255" s="33" t="s">
        <v>603</v>
      </c>
      <c r="C255" s="36" t="s">
        <v>232</v>
      </c>
      <c r="D255" s="34" t="s">
        <v>393</v>
      </c>
      <c r="E255" s="34"/>
      <c r="F255" s="37">
        <v>3920</v>
      </c>
      <c r="G255" s="37">
        <v>105009.94</v>
      </c>
      <c r="H255" s="38">
        <v>45930</v>
      </c>
      <c r="I255" s="38" t="s">
        <v>1801</v>
      </c>
      <c r="J255" s="42">
        <v>151</v>
      </c>
      <c r="K255" s="43">
        <v>105009.94</v>
      </c>
    </row>
    <row r="256" spans="1:11" x14ac:dyDescent="0.25">
      <c r="A256" s="38">
        <v>45930</v>
      </c>
      <c r="B256" s="33" t="s">
        <v>604</v>
      </c>
      <c r="C256" s="36" t="s">
        <v>282</v>
      </c>
      <c r="D256" s="34" t="s">
        <v>561</v>
      </c>
      <c r="E256" s="34"/>
      <c r="F256" s="37">
        <v>438612.24</v>
      </c>
      <c r="G256" s="37">
        <v>52935.96</v>
      </c>
      <c r="H256" s="38">
        <v>45930</v>
      </c>
      <c r="I256" s="38" t="s">
        <v>1801</v>
      </c>
      <c r="J256" s="42">
        <v>151</v>
      </c>
      <c r="K256" s="43">
        <v>52935.96</v>
      </c>
    </row>
    <row r="257" spans="1:11" x14ac:dyDescent="0.25">
      <c r="A257" s="38">
        <v>45931</v>
      </c>
      <c r="B257" s="33" t="s">
        <v>605</v>
      </c>
      <c r="C257" s="36" t="s">
        <v>201</v>
      </c>
      <c r="D257" s="34" t="s">
        <v>402</v>
      </c>
      <c r="E257" s="34"/>
      <c r="F257" s="37">
        <v>41919.5</v>
      </c>
      <c r="G257" s="37">
        <v>41919.5</v>
      </c>
      <c r="H257" s="38">
        <v>45931</v>
      </c>
      <c r="I257" s="38" t="s">
        <v>1800</v>
      </c>
      <c r="J257" s="42">
        <v>150</v>
      </c>
      <c r="K257" s="43">
        <v>41919.5</v>
      </c>
    </row>
    <row r="258" spans="1:11" x14ac:dyDescent="0.25">
      <c r="A258" s="38">
        <v>45931</v>
      </c>
      <c r="B258" s="33" t="s">
        <v>606</v>
      </c>
      <c r="C258" s="36" t="s">
        <v>201</v>
      </c>
      <c r="D258" s="34" t="s">
        <v>402</v>
      </c>
      <c r="E258" s="34"/>
      <c r="F258" s="37">
        <v>35931</v>
      </c>
      <c r="G258" s="37">
        <v>35931</v>
      </c>
      <c r="H258" s="38">
        <v>45931</v>
      </c>
      <c r="I258" s="38" t="s">
        <v>1800</v>
      </c>
      <c r="J258" s="42">
        <v>150</v>
      </c>
      <c r="K258" s="43">
        <v>35931</v>
      </c>
    </row>
    <row r="259" spans="1:11" x14ac:dyDescent="0.25">
      <c r="A259" s="38">
        <v>45931</v>
      </c>
      <c r="B259" s="33" t="s">
        <v>607</v>
      </c>
      <c r="C259" s="36" t="s">
        <v>252</v>
      </c>
      <c r="D259" s="34" t="s">
        <v>412</v>
      </c>
      <c r="E259" s="34"/>
      <c r="F259" s="37">
        <v>81264.240000000005</v>
      </c>
      <c r="G259" s="37">
        <v>81264.240000000005</v>
      </c>
      <c r="H259" s="38">
        <v>45931</v>
      </c>
      <c r="I259" s="38" t="s">
        <v>1800</v>
      </c>
      <c r="J259" s="42">
        <v>150</v>
      </c>
      <c r="K259" s="43">
        <v>81264.240000000005</v>
      </c>
    </row>
    <row r="260" spans="1:11" x14ac:dyDescent="0.25">
      <c r="A260" s="38">
        <v>45931</v>
      </c>
      <c r="B260" s="33" t="s">
        <v>608</v>
      </c>
      <c r="C260" s="36" t="s">
        <v>252</v>
      </c>
      <c r="D260" s="34" t="s">
        <v>412</v>
      </c>
      <c r="E260" s="34"/>
      <c r="F260" s="37">
        <v>81257.240000000005</v>
      </c>
      <c r="G260" s="37">
        <v>51455.360000000001</v>
      </c>
      <c r="H260" s="38">
        <v>45931</v>
      </c>
      <c r="I260" s="38" t="s">
        <v>1800</v>
      </c>
      <c r="J260" s="42">
        <v>150</v>
      </c>
      <c r="K260" s="43">
        <v>51455.360000000001</v>
      </c>
    </row>
    <row r="261" spans="1:11" x14ac:dyDescent="0.25">
      <c r="A261" s="38">
        <v>45934</v>
      </c>
      <c r="B261" s="33" t="s">
        <v>609</v>
      </c>
      <c r="C261" s="36" t="s">
        <v>269</v>
      </c>
      <c r="D261" s="34" t="s">
        <v>393</v>
      </c>
      <c r="E261" s="34"/>
      <c r="F261" s="37">
        <v>138405.4</v>
      </c>
      <c r="G261" s="37">
        <v>138405.4</v>
      </c>
      <c r="H261" s="38">
        <v>45934</v>
      </c>
      <c r="I261" s="38" t="s">
        <v>1800</v>
      </c>
      <c r="J261" s="42">
        <v>147</v>
      </c>
      <c r="K261" s="43">
        <v>138405.4</v>
      </c>
    </row>
    <row r="262" spans="1:11" x14ac:dyDescent="0.25">
      <c r="A262" s="38">
        <v>45935</v>
      </c>
      <c r="B262" s="33" t="s">
        <v>610</v>
      </c>
      <c r="C262" s="36" t="s">
        <v>40</v>
      </c>
      <c r="D262" s="34" t="s">
        <v>402</v>
      </c>
      <c r="E262" s="34"/>
      <c r="F262" s="37">
        <v>340985</v>
      </c>
      <c r="G262" s="37">
        <v>340985</v>
      </c>
      <c r="H262" s="38">
        <v>45935</v>
      </c>
      <c r="I262" s="38" t="s">
        <v>1800</v>
      </c>
      <c r="J262" s="42">
        <v>146</v>
      </c>
      <c r="K262" s="43">
        <v>340985</v>
      </c>
    </row>
    <row r="263" spans="1:11" x14ac:dyDescent="0.25">
      <c r="A263" s="38">
        <v>45938</v>
      </c>
      <c r="B263" s="33" t="s">
        <v>611</v>
      </c>
      <c r="C263" s="36" t="s">
        <v>250</v>
      </c>
      <c r="D263" s="34" t="s">
        <v>433</v>
      </c>
      <c r="E263" s="34"/>
      <c r="F263" s="39">
        <v>348103</v>
      </c>
      <c r="G263" s="39">
        <v>10395.26</v>
      </c>
      <c r="H263" s="38">
        <v>45938</v>
      </c>
      <c r="I263" s="38" t="s">
        <v>1800</v>
      </c>
      <c r="J263" s="42">
        <v>143</v>
      </c>
      <c r="K263" s="43">
        <v>-10395.26</v>
      </c>
    </row>
    <row r="264" spans="1:11" x14ac:dyDescent="0.25">
      <c r="A264" s="38">
        <v>45943</v>
      </c>
      <c r="B264" s="33" t="s">
        <v>612</v>
      </c>
      <c r="C264" s="36" t="s">
        <v>199</v>
      </c>
      <c r="D264" s="34" t="s">
        <v>8</v>
      </c>
      <c r="E264" s="34"/>
      <c r="F264" s="37">
        <v>590000</v>
      </c>
      <c r="G264" s="37">
        <v>590000</v>
      </c>
      <c r="H264" s="38">
        <v>45973</v>
      </c>
      <c r="I264" s="38" t="s">
        <v>1799</v>
      </c>
      <c r="J264" s="42">
        <v>108</v>
      </c>
      <c r="K264" s="43">
        <v>590000</v>
      </c>
    </row>
    <row r="265" spans="1:11" x14ac:dyDescent="0.25">
      <c r="A265" s="38">
        <v>45943</v>
      </c>
      <c r="B265" s="33" t="s">
        <v>613</v>
      </c>
      <c r="C265" s="36" t="s">
        <v>200</v>
      </c>
      <c r="D265" s="34" t="s">
        <v>412</v>
      </c>
      <c r="E265" s="34"/>
      <c r="F265" s="37">
        <v>118000</v>
      </c>
      <c r="G265" s="37">
        <v>118000</v>
      </c>
      <c r="H265" s="38">
        <v>45943</v>
      </c>
      <c r="I265" s="38" t="s">
        <v>1800</v>
      </c>
      <c r="J265" s="42">
        <v>138</v>
      </c>
      <c r="K265" s="43">
        <v>118000</v>
      </c>
    </row>
    <row r="266" spans="1:11" x14ac:dyDescent="0.25">
      <c r="A266" s="38">
        <v>45943</v>
      </c>
      <c r="B266" s="33" t="s">
        <v>614</v>
      </c>
      <c r="C266" s="36" t="s">
        <v>203</v>
      </c>
      <c r="D266" s="34" t="s">
        <v>412</v>
      </c>
      <c r="E266" s="34"/>
      <c r="F266" s="37">
        <v>100300</v>
      </c>
      <c r="G266" s="37">
        <v>100300</v>
      </c>
      <c r="H266" s="38">
        <v>45943</v>
      </c>
      <c r="I266" s="38" t="s">
        <v>1800</v>
      </c>
      <c r="J266" s="42">
        <v>138</v>
      </c>
      <c r="K266" s="43">
        <v>100300</v>
      </c>
    </row>
    <row r="267" spans="1:11" x14ac:dyDescent="0.25">
      <c r="A267" s="38">
        <v>45943</v>
      </c>
      <c r="B267" s="33" t="s">
        <v>615</v>
      </c>
      <c r="C267" s="36" t="s">
        <v>204</v>
      </c>
      <c r="D267" s="34" t="s">
        <v>616</v>
      </c>
      <c r="E267" s="34"/>
      <c r="F267" s="37">
        <v>370425.59999999998</v>
      </c>
      <c r="G267" s="37">
        <v>370425.59999999998</v>
      </c>
      <c r="H267" s="38">
        <v>45943</v>
      </c>
      <c r="I267" s="38" t="s">
        <v>1800</v>
      </c>
      <c r="J267" s="42">
        <v>138</v>
      </c>
      <c r="K267" s="43">
        <v>370425.59999999998</v>
      </c>
    </row>
    <row r="268" spans="1:11" x14ac:dyDescent="0.25">
      <c r="A268" s="38">
        <v>45943</v>
      </c>
      <c r="B268" s="33" t="s">
        <v>617</v>
      </c>
      <c r="C268" s="36" t="s">
        <v>205</v>
      </c>
      <c r="D268" s="34" t="s">
        <v>426</v>
      </c>
      <c r="E268" s="34"/>
      <c r="F268" s="37">
        <v>98600</v>
      </c>
      <c r="G268" s="37">
        <v>98600</v>
      </c>
      <c r="H268" s="38">
        <v>45943</v>
      </c>
      <c r="I268" s="38" t="s">
        <v>1800</v>
      </c>
      <c r="J268" s="42">
        <v>138</v>
      </c>
      <c r="K268" s="43">
        <v>98600</v>
      </c>
    </row>
    <row r="269" spans="1:11" x14ac:dyDescent="0.25">
      <c r="A269" s="38">
        <v>45943</v>
      </c>
      <c r="B269" s="33" t="s">
        <v>618</v>
      </c>
      <c r="C269" s="36" t="s">
        <v>205</v>
      </c>
      <c r="D269" s="34" t="s">
        <v>426</v>
      </c>
      <c r="E269" s="34"/>
      <c r="F269" s="37">
        <v>153946</v>
      </c>
      <c r="G269" s="37">
        <v>153946</v>
      </c>
      <c r="H269" s="38">
        <v>45973</v>
      </c>
      <c r="I269" s="38" t="s">
        <v>1799</v>
      </c>
      <c r="J269" s="42">
        <v>108</v>
      </c>
      <c r="K269" s="43">
        <v>153946</v>
      </c>
    </row>
    <row r="270" spans="1:11" x14ac:dyDescent="0.25">
      <c r="A270" s="38">
        <v>45943</v>
      </c>
      <c r="B270" s="33" t="s">
        <v>619</v>
      </c>
      <c r="C270" s="36" t="s">
        <v>206</v>
      </c>
      <c r="D270" s="34" t="s">
        <v>412</v>
      </c>
      <c r="E270" s="34"/>
      <c r="F270" s="37">
        <v>30680</v>
      </c>
      <c r="G270" s="37">
        <v>30680</v>
      </c>
      <c r="H270" s="38">
        <v>45973</v>
      </c>
      <c r="I270" s="38" t="s">
        <v>1799</v>
      </c>
      <c r="J270" s="42">
        <v>108</v>
      </c>
      <c r="K270" s="43">
        <v>30680</v>
      </c>
    </row>
    <row r="271" spans="1:11" x14ac:dyDescent="0.25">
      <c r="A271" s="38">
        <v>45943</v>
      </c>
      <c r="B271" s="33" t="s">
        <v>620</v>
      </c>
      <c r="C271" s="36" t="s">
        <v>207</v>
      </c>
      <c r="D271" s="34" t="s">
        <v>379</v>
      </c>
      <c r="E271" s="34"/>
      <c r="F271" s="37">
        <v>156975</v>
      </c>
      <c r="G271" s="37">
        <v>156975</v>
      </c>
      <c r="H271" s="38">
        <v>45973</v>
      </c>
      <c r="I271" s="38" t="s">
        <v>1799</v>
      </c>
      <c r="J271" s="42">
        <v>108</v>
      </c>
      <c r="K271" s="43">
        <v>156975</v>
      </c>
    </row>
    <row r="272" spans="1:11" x14ac:dyDescent="0.25">
      <c r="A272" s="38">
        <v>45945</v>
      </c>
      <c r="B272" s="33" t="s">
        <v>621</v>
      </c>
      <c r="C272" s="36" t="s">
        <v>139</v>
      </c>
      <c r="D272" s="34" t="s">
        <v>402</v>
      </c>
      <c r="E272" s="34"/>
      <c r="F272" s="37">
        <v>14558</v>
      </c>
      <c r="G272" s="37">
        <v>14558</v>
      </c>
      <c r="H272" s="38">
        <v>45945</v>
      </c>
      <c r="I272" s="38" t="s">
        <v>1800</v>
      </c>
      <c r="J272" s="42">
        <v>136</v>
      </c>
      <c r="K272" s="43">
        <v>14558</v>
      </c>
    </row>
    <row r="273" spans="1:11" x14ac:dyDescent="0.25">
      <c r="A273" s="38">
        <v>45945</v>
      </c>
      <c r="B273" s="33" t="s">
        <v>622</v>
      </c>
      <c r="C273" s="36" t="s">
        <v>298</v>
      </c>
      <c r="D273" s="34" t="s">
        <v>341</v>
      </c>
      <c r="E273" s="34"/>
      <c r="F273" s="37">
        <v>16092.84</v>
      </c>
      <c r="G273" s="37">
        <v>16092.84</v>
      </c>
      <c r="H273" s="38">
        <v>45945</v>
      </c>
      <c r="I273" s="38" t="s">
        <v>1800</v>
      </c>
      <c r="J273" s="42">
        <v>136</v>
      </c>
      <c r="K273" s="43">
        <v>16092.84</v>
      </c>
    </row>
    <row r="274" spans="1:11" x14ac:dyDescent="0.25">
      <c r="A274" s="38">
        <v>45946</v>
      </c>
      <c r="B274" s="33" t="s">
        <v>623</v>
      </c>
      <c r="C274" s="36" t="s">
        <v>298</v>
      </c>
      <c r="D274" s="34" t="s">
        <v>341</v>
      </c>
      <c r="E274" s="34"/>
      <c r="F274" s="37">
        <v>14563.56</v>
      </c>
      <c r="G274" s="37">
        <v>14563.56</v>
      </c>
      <c r="H274" s="38">
        <v>45946</v>
      </c>
      <c r="I274" s="38" t="s">
        <v>1800</v>
      </c>
      <c r="J274" s="42">
        <v>135</v>
      </c>
      <c r="K274" s="43">
        <v>14563.56</v>
      </c>
    </row>
    <row r="275" spans="1:11" x14ac:dyDescent="0.25">
      <c r="A275" s="38">
        <v>45946</v>
      </c>
      <c r="B275" s="33" t="s">
        <v>624</v>
      </c>
      <c r="C275" s="36" t="s">
        <v>298</v>
      </c>
      <c r="D275" s="34" t="s">
        <v>341</v>
      </c>
      <c r="E275" s="34"/>
      <c r="F275" s="37">
        <v>10092.540000000001</v>
      </c>
      <c r="G275" s="37">
        <v>10092.540000000001</v>
      </c>
      <c r="H275" s="38">
        <v>45946</v>
      </c>
      <c r="I275" s="38" t="s">
        <v>1800</v>
      </c>
      <c r="J275" s="42">
        <v>135</v>
      </c>
      <c r="K275" s="43">
        <v>10092.540000000001</v>
      </c>
    </row>
    <row r="276" spans="1:11" x14ac:dyDescent="0.25">
      <c r="A276" s="38">
        <v>45946</v>
      </c>
      <c r="B276" s="33" t="s">
        <v>625</v>
      </c>
      <c r="C276" s="36" t="s">
        <v>298</v>
      </c>
      <c r="D276" s="34" t="s">
        <v>341</v>
      </c>
      <c r="E276" s="34"/>
      <c r="F276" s="37">
        <v>11221.8</v>
      </c>
      <c r="G276" s="37">
        <v>11221.8</v>
      </c>
      <c r="H276" s="38">
        <v>45946</v>
      </c>
      <c r="I276" s="38" t="s">
        <v>1800</v>
      </c>
      <c r="J276" s="42">
        <v>135</v>
      </c>
      <c r="K276" s="43">
        <v>11221.8</v>
      </c>
    </row>
    <row r="277" spans="1:11" x14ac:dyDescent="0.25">
      <c r="A277" s="38">
        <v>45948</v>
      </c>
      <c r="B277" s="33" t="s">
        <v>626</v>
      </c>
      <c r="C277" s="36" t="s">
        <v>69</v>
      </c>
      <c r="D277" s="34" t="s">
        <v>449</v>
      </c>
      <c r="E277" s="34"/>
      <c r="F277" s="39">
        <v>13962953.220000001</v>
      </c>
      <c r="G277" s="39">
        <v>13962953.220000001</v>
      </c>
      <c r="H277" s="38">
        <v>45948</v>
      </c>
      <c r="I277" s="38" t="s">
        <v>1800</v>
      </c>
      <c r="J277" s="42">
        <v>133</v>
      </c>
      <c r="K277" s="43">
        <v>-13962953.220000001</v>
      </c>
    </row>
    <row r="278" spans="1:11" x14ac:dyDescent="0.25">
      <c r="A278" s="38">
        <v>45950</v>
      </c>
      <c r="B278" s="33" t="s">
        <v>627</v>
      </c>
      <c r="C278" s="36" t="s">
        <v>112</v>
      </c>
      <c r="D278" s="34" t="s">
        <v>435</v>
      </c>
      <c r="E278" s="34"/>
      <c r="F278" s="37">
        <v>138654.39999999999</v>
      </c>
      <c r="G278" s="37">
        <v>21515.4</v>
      </c>
      <c r="H278" s="38">
        <v>45950</v>
      </c>
      <c r="I278" s="38" t="s">
        <v>1800</v>
      </c>
      <c r="J278" s="42">
        <v>131</v>
      </c>
      <c r="K278" s="43">
        <v>21515.4</v>
      </c>
    </row>
    <row r="279" spans="1:11" x14ac:dyDescent="0.25">
      <c r="A279" s="38">
        <v>45950</v>
      </c>
      <c r="B279" s="33" t="s">
        <v>628</v>
      </c>
      <c r="C279" s="36" t="s">
        <v>226</v>
      </c>
      <c r="D279" s="34" t="s">
        <v>393</v>
      </c>
      <c r="E279" s="34"/>
      <c r="F279" s="39">
        <v>793659</v>
      </c>
      <c r="G279" s="39">
        <v>141655</v>
      </c>
      <c r="H279" s="38">
        <v>45951</v>
      </c>
      <c r="I279" s="38" t="s">
        <v>1800</v>
      </c>
      <c r="J279" s="42">
        <v>130</v>
      </c>
      <c r="K279" s="43">
        <v>-141655</v>
      </c>
    </row>
    <row r="280" spans="1:11" x14ac:dyDescent="0.25">
      <c r="A280" s="38">
        <v>45953</v>
      </c>
      <c r="B280" s="33" t="s">
        <v>630</v>
      </c>
      <c r="C280" s="36" t="s">
        <v>40</v>
      </c>
      <c r="D280" s="34" t="s">
        <v>553</v>
      </c>
      <c r="E280" s="34"/>
      <c r="F280" s="37">
        <v>308405</v>
      </c>
      <c r="G280" s="37">
        <v>308405</v>
      </c>
      <c r="H280" s="38">
        <v>45983</v>
      </c>
      <c r="I280" s="38" t="s">
        <v>1799</v>
      </c>
      <c r="J280" s="42">
        <v>98</v>
      </c>
      <c r="K280" s="43">
        <v>308405</v>
      </c>
    </row>
    <row r="281" spans="1:11" x14ac:dyDescent="0.25">
      <c r="A281" s="38">
        <v>45953</v>
      </c>
      <c r="B281" s="33" t="s">
        <v>631</v>
      </c>
      <c r="C281" s="36" t="s">
        <v>100</v>
      </c>
      <c r="D281" s="34" t="s">
        <v>323</v>
      </c>
      <c r="E281" s="34"/>
      <c r="F281" s="39">
        <v>305235</v>
      </c>
      <c r="G281" s="39">
        <v>155191.79999999999</v>
      </c>
      <c r="H281" s="38">
        <v>45953</v>
      </c>
      <c r="I281" s="38" t="s">
        <v>1800</v>
      </c>
      <c r="J281" s="42">
        <v>128</v>
      </c>
      <c r="K281" s="43">
        <v>-155191.79999999999</v>
      </c>
    </row>
    <row r="282" spans="1:11" x14ac:dyDescent="0.25">
      <c r="A282" s="38">
        <v>45960</v>
      </c>
      <c r="B282" s="33" t="s">
        <v>632</v>
      </c>
      <c r="C282" s="36" t="s">
        <v>229</v>
      </c>
      <c r="D282" s="34" t="s">
        <v>373</v>
      </c>
      <c r="E282" s="34"/>
      <c r="F282" s="37">
        <v>108000</v>
      </c>
      <c r="G282" s="37">
        <v>105840</v>
      </c>
      <c r="H282" s="38">
        <v>45960</v>
      </c>
      <c r="I282" s="38" t="s">
        <v>1800</v>
      </c>
      <c r="J282" s="42">
        <v>121</v>
      </c>
      <c r="K282" s="43">
        <v>105840</v>
      </c>
    </row>
    <row r="283" spans="1:11" x14ac:dyDescent="0.25">
      <c r="A283" s="38">
        <v>45961</v>
      </c>
      <c r="B283" s="33" t="s">
        <v>633</v>
      </c>
      <c r="C283" s="36" t="s">
        <v>32</v>
      </c>
      <c r="D283" s="34" t="s">
        <v>426</v>
      </c>
      <c r="E283" s="34"/>
      <c r="F283" s="37">
        <v>1220804.04</v>
      </c>
      <c r="G283" s="37">
        <v>1220804.04</v>
      </c>
      <c r="H283" s="38">
        <v>45968</v>
      </c>
      <c r="I283" s="38" t="s">
        <v>1799</v>
      </c>
      <c r="J283" s="42">
        <v>113</v>
      </c>
      <c r="K283" s="43">
        <v>1220804.04</v>
      </c>
    </row>
    <row r="284" spans="1:11" x14ac:dyDescent="0.25">
      <c r="A284" s="38">
        <v>45961</v>
      </c>
      <c r="B284" s="33" t="s">
        <v>634</v>
      </c>
      <c r="C284" s="36" t="s">
        <v>63</v>
      </c>
      <c r="D284" s="34" t="s">
        <v>561</v>
      </c>
      <c r="E284" s="34"/>
      <c r="F284" s="37">
        <v>191400</v>
      </c>
      <c r="G284" s="37">
        <v>191400</v>
      </c>
      <c r="H284" s="38">
        <v>45961</v>
      </c>
      <c r="I284" s="38" t="s">
        <v>1799</v>
      </c>
      <c r="J284" s="42">
        <v>120</v>
      </c>
      <c r="K284" s="43">
        <v>191400</v>
      </c>
    </row>
    <row r="285" spans="1:11" x14ac:dyDescent="0.25">
      <c r="A285" s="38">
        <v>45961</v>
      </c>
      <c r="B285" s="33" t="s">
        <v>636</v>
      </c>
      <c r="C285" s="36" t="s">
        <v>63</v>
      </c>
      <c r="D285" s="34" t="s">
        <v>561</v>
      </c>
      <c r="E285" s="34"/>
      <c r="F285" s="37">
        <v>71340</v>
      </c>
      <c r="G285" s="37">
        <v>71340</v>
      </c>
      <c r="H285" s="38">
        <v>45961</v>
      </c>
      <c r="I285" s="38" t="s">
        <v>1799</v>
      </c>
      <c r="J285" s="42">
        <v>120</v>
      </c>
      <c r="K285" s="43">
        <v>71340</v>
      </c>
    </row>
    <row r="286" spans="1:11" x14ac:dyDescent="0.25">
      <c r="A286" s="38">
        <v>45961</v>
      </c>
      <c r="B286" s="33" t="s">
        <v>637</v>
      </c>
      <c r="C286" s="36" t="s">
        <v>63</v>
      </c>
      <c r="D286" s="34" t="s">
        <v>561</v>
      </c>
      <c r="E286" s="34"/>
      <c r="F286" s="37">
        <v>71340</v>
      </c>
      <c r="G286" s="37">
        <v>71340</v>
      </c>
      <c r="H286" s="38">
        <v>45961</v>
      </c>
      <c r="I286" s="38" t="s">
        <v>1799</v>
      </c>
      <c r="J286" s="42">
        <v>120</v>
      </c>
      <c r="K286" s="43">
        <v>71340</v>
      </c>
    </row>
    <row r="287" spans="1:11" x14ac:dyDescent="0.25">
      <c r="A287" s="38">
        <v>45961</v>
      </c>
      <c r="B287" s="33" t="s">
        <v>638</v>
      </c>
      <c r="C287" s="36" t="s">
        <v>63</v>
      </c>
      <c r="D287" s="34" t="s">
        <v>561</v>
      </c>
      <c r="E287" s="34"/>
      <c r="F287" s="37">
        <v>83230</v>
      </c>
      <c r="G287" s="37">
        <v>83230</v>
      </c>
      <c r="H287" s="38">
        <v>45961</v>
      </c>
      <c r="I287" s="38" t="s">
        <v>1799</v>
      </c>
      <c r="J287" s="42">
        <v>120</v>
      </c>
      <c r="K287" s="43">
        <v>83230</v>
      </c>
    </row>
    <row r="288" spans="1:11" x14ac:dyDescent="0.25">
      <c r="A288" s="38">
        <v>45961</v>
      </c>
      <c r="B288" s="33" t="s">
        <v>639</v>
      </c>
      <c r="C288" s="36" t="s">
        <v>63</v>
      </c>
      <c r="D288" s="34" t="s">
        <v>561</v>
      </c>
      <c r="E288" s="34"/>
      <c r="F288" s="37">
        <v>97440</v>
      </c>
      <c r="G288" s="37">
        <v>97440</v>
      </c>
      <c r="H288" s="38">
        <v>45961</v>
      </c>
      <c r="I288" s="38" t="s">
        <v>1799</v>
      </c>
      <c r="J288" s="42">
        <v>120</v>
      </c>
      <c r="K288" s="43">
        <v>97440</v>
      </c>
    </row>
    <row r="289" spans="1:11" x14ac:dyDescent="0.25">
      <c r="A289" s="38">
        <v>45961</v>
      </c>
      <c r="B289" s="33" t="s">
        <v>640</v>
      </c>
      <c r="C289" s="36" t="s">
        <v>63</v>
      </c>
      <c r="D289" s="34" t="s">
        <v>561</v>
      </c>
      <c r="E289" s="34"/>
      <c r="F289" s="37">
        <v>71340</v>
      </c>
      <c r="G289" s="37">
        <v>71340</v>
      </c>
      <c r="H289" s="38">
        <v>45961</v>
      </c>
      <c r="I289" s="38" t="s">
        <v>1799</v>
      </c>
      <c r="J289" s="42">
        <v>120</v>
      </c>
      <c r="K289" s="43">
        <v>71340</v>
      </c>
    </row>
    <row r="290" spans="1:11" x14ac:dyDescent="0.25">
      <c r="A290" s="38">
        <v>45961</v>
      </c>
      <c r="B290" s="33" t="s">
        <v>641</v>
      </c>
      <c r="C290" s="36" t="s">
        <v>63</v>
      </c>
      <c r="D290" s="34" t="s">
        <v>642</v>
      </c>
      <c r="E290" s="34"/>
      <c r="F290" s="37">
        <v>114294.39999999999</v>
      </c>
      <c r="G290" s="37">
        <v>114294.39999999999</v>
      </c>
      <c r="H290" s="38">
        <v>45961</v>
      </c>
      <c r="I290" s="38" t="s">
        <v>1799</v>
      </c>
      <c r="J290" s="42">
        <v>120</v>
      </c>
      <c r="K290" s="43">
        <v>114294.39999999999</v>
      </c>
    </row>
    <row r="291" spans="1:11" x14ac:dyDescent="0.25">
      <c r="A291" s="38">
        <v>45961</v>
      </c>
      <c r="B291" s="33" t="s">
        <v>643</v>
      </c>
      <c r="C291" s="36" t="s">
        <v>63</v>
      </c>
      <c r="D291" s="34" t="s">
        <v>373</v>
      </c>
      <c r="E291" s="34"/>
      <c r="F291" s="37">
        <v>175740</v>
      </c>
      <c r="G291" s="37">
        <v>175740</v>
      </c>
      <c r="H291" s="38">
        <v>45961</v>
      </c>
      <c r="I291" s="38" t="s">
        <v>1799</v>
      </c>
      <c r="J291" s="42">
        <v>120</v>
      </c>
      <c r="K291" s="43">
        <v>175740</v>
      </c>
    </row>
    <row r="292" spans="1:11" x14ac:dyDescent="0.25">
      <c r="A292" s="38">
        <v>45961</v>
      </c>
      <c r="B292" s="33" t="s">
        <v>644</v>
      </c>
      <c r="C292" s="36" t="s">
        <v>63</v>
      </c>
      <c r="D292" s="34" t="s">
        <v>412</v>
      </c>
      <c r="E292" s="34"/>
      <c r="F292" s="37">
        <v>63800</v>
      </c>
      <c r="G292" s="37">
        <v>63800</v>
      </c>
      <c r="H292" s="38">
        <v>45961</v>
      </c>
      <c r="I292" s="38" t="s">
        <v>1799</v>
      </c>
      <c r="J292" s="42">
        <v>120</v>
      </c>
      <c r="K292" s="43">
        <v>63800</v>
      </c>
    </row>
    <row r="293" spans="1:11" x14ac:dyDescent="0.25">
      <c r="A293" s="38">
        <v>45961</v>
      </c>
      <c r="B293" s="33" t="s">
        <v>645</v>
      </c>
      <c r="C293" s="36" t="s">
        <v>63</v>
      </c>
      <c r="D293" s="34" t="s">
        <v>412</v>
      </c>
      <c r="E293" s="34"/>
      <c r="F293" s="37">
        <v>83520</v>
      </c>
      <c r="G293" s="37">
        <v>83520</v>
      </c>
      <c r="H293" s="38">
        <v>45961</v>
      </c>
      <c r="I293" s="38" t="s">
        <v>1799</v>
      </c>
      <c r="J293" s="42">
        <v>120</v>
      </c>
      <c r="K293" s="43">
        <v>83520</v>
      </c>
    </row>
    <row r="294" spans="1:11" x14ac:dyDescent="0.25">
      <c r="A294" s="38">
        <v>45961</v>
      </c>
      <c r="B294" s="33" t="s">
        <v>646</v>
      </c>
      <c r="C294" s="36" t="s">
        <v>73</v>
      </c>
      <c r="D294" s="34" t="s">
        <v>426</v>
      </c>
      <c r="E294" s="34"/>
      <c r="F294" s="37">
        <v>69074.52</v>
      </c>
      <c r="G294" s="37">
        <v>10718.52</v>
      </c>
      <c r="H294" s="38">
        <v>45991</v>
      </c>
      <c r="I294" s="38" t="s">
        <v>1798</v>
      </c>
      <c r="J294" s="42">
        <v>90</v>
      </c>
      <c r="K294" s="43">
        <v>10718.52</v>
      </c>
    </row>
    <row r="295" spans="1:11" x14ac:dyDescent="0.25">
      <c r="A295" s="38">
        <v>45961</v>
      </c>
      <c r="B295" s="33" t="s">
        <v>647</v>
      </c>
      <c r="C295" s="36" t="s">
        <v>85</v>
      </c>
      <c r="D295" s="34" t="s">
        <v>433</v>
      </c>
      <c r="E295" s="34"/>
      <c r="F295" s="37">
        <v>96280</v>
      </c>
      <c r="G295" s="37">
        <v>75923</v>
      </c>
      <c r="H295" s="38">
        <v>45961</v>
      </c>
      <c r="I295" s="38" t="s">
        <v>1799</v>
      </c>
      <c r="J295" s="42">
        <v>120</v>
      </c>
      <c r="K295" s="43">
        <v>75923</v>
      </c>
    </row>
    <row r="296" spans="1:11" x14ac:dyDescent="0.25">
      <c r="A296" s="38">
        <v>45961</v>
      </c>
      <c r="B296" s="33" t="s">
        <v>648</v>
      </c>
      <c r="C296" s="36" t="s">
        <v>114</v>
      </c>
      <c r="D296" s="34" t="s">
        <v>435</v>
      </c>
      <c r="E296" s="34"/>
      <c r="F296" s="37">
        <v>64139</v>
      </c>
      <c r="G296" s="37">
        <v>64139</v>
      </c>
      <c r="H296" s="38">
        <v>45961</v>
      </c>
      <c r="I296" s="38" t="s">
        <v>1799</v>
      </c>
      <c r="J296" s="42">
        <v>120</v>
      </c>
      <c r="K296" s="43">
        <v>64139</v>
      </c>
    </row>
    <row r="297" spans="1:11" x14ac:dyDescent="0.25">
      <c r="A297" s="38">
        <v>45961</v>
      </c>
      <c r="B297" s="33" t="s">
        <v>649</v>
      </c>
      <c r="C297" s="36" t="s">
        <v>135</v>
      </c>
      <c r="D297" s="34" t="s">
        <v>412</v>
      </c>
      <c r="E297" s="34"/>
      <c r="F297" s="37">
        <v>6536.7</v>
      </c>
      <c r="G297" s="37">
        <v>0.1</v>
      </c>
      <c r="H297" s="38">
        <v>45961</v>
      </c>
      <c r="I297" s="38" t="s">
        <v>1799</v>
      </c>
      <c r="J297" s="42">
        <v>120</v>
      </c>
      <c r="K297" s="43">
        <v>0.1</v>
      </c>
    </row>
    <row r="298" spans="1:11" x14ac:dyDescent="0.25">
      <c r="A298" s="38">
        <v>45961</v>
      </c>
      <c r="B298" s="33" t="s">
        <v>650</v>
      </c>
      <c r="C298" s="36" t="s">
        <v>139</v>
      </c>
      <c r="D298" s="34" t="s">
        <v>402</v>
      </c>
      <c r="E298" s="34"/>
      <c r="F298" s="37">
        <v>256296.1</v>
      </c>
      <c r="G298" s="37">
        <v>256296.1</v>
      </c>
      <c r="H298" s="38">
        <v>45961</v>
      </c>
      <c r="I298" s="38" t="s">
        <v>1799</v>
      </c>
      <c r="J298" s="42">
        <v>120</v>
      </c>
      <c r="K298" s="43">
        <v>256296.1</v>
      </c>
    </row>
    <row r="299" spans="1:11" x14ac:dyDescent="0.25">
      <c r="A299" s="38">
        <v>45961</v>
      </c>
      <c r="B299" s="33" t="s">
        <v>651</v>
      </c>
      <c r="C299" s="36" t="s">
        <v>139</v>
      </c>
      <c r="D299" s="34" t="s">
        <v>402</v>
      </c>
      <c r="E299" s="34"/>
      <c r="F299" s="37">
        <v>972689.57</v>
      </c>
      <c r="G299" s="37">
        <v>972689.57</v>
      </c>
      <c r="H299" s="38">
        <v>45961</v>
      </c>
      <c r="I299" s="38" t="s">
        <v>1799</v>
      </c>
      <c r="J299" s="42">
        <v>120</v>
      </c>
      <c r="K299" s="43">
        <v>972689.57</v>
      </c>
    </row>
    <row r="300" spans="1:11" x14ac:dyDescent="0.25">
      <c r="A300" s="38">
        <v>45961</v>
      </c>
      <c r="B300" s="33" t="s">
        <v>652</v>
      </c>
      <c r="C300" s="36" t="s">
        <v>139</v>
      </c>
      <c r="D300" s="34" t="s">
        <v>402</v>
      </c>
      <c r="E300" s="34"/>
      <c r="F300" s="37">
        <v>63162</v>
      </c>
      <c r="G300" s="37">
        <v>63162</v>
      </c>
      <c r="H300" s="38">
        <v>45961</v>
      </c>
      <c r="I300" s="38" t="s">
        <v>1799</v>
      </c>
      <c r="J300" s="42">
        <v>120</v>
      </c>
      <c r="K300" s="43">
        <v>63162</v>
      </c>
    </row>
    <row r="301" spans="1:11" x14ac:dyDescent="0.25">
      <c r="A301" s="38">
        <v>45961</v>
      </c>
      <c r="B301" s="33" t="s">
        <v>653</v>
      </c>
      <c r="C301" s="36" t="s">
        <v>200</v>
      </c>
      <c r="D301" s="34" t="s">
        <v>352</v>
      </c>
      <c r="E301" s="34"/>
      <c r="F301" s="37">
        <v>63720</v>
      </c>
      <c r="G301" s="37">
        <v>63720</v>
      </c>
      <c r="H301" s="38">
        <v>45961</v>
      </c>
      <c r="I301" s="38" t="s">
        <v>1799</v>
      </c>
      <c r="J301" s="42">
        <v>120</v>
      </c>
      <c r="K301" s="43">
        <v>63720</v>
      </c>
    </row>
    <row r="302" spans="1:11" x14ac:dyDescent="0.25">
      <c r="A302" s="38">
        <v>45961</v>
      </c>
      <c r="B302" s="33" t="s">
        <v>654</v>
      </c>
      <c r="C302" s="36" t="s">
        <v>202</v>
      </c>
      <c r="D302" s="34" t="s">
        <v>449</v>
      </c>
      <c r="E302" s="34"/>
      <c r="F302" s="37">
        <v>912752.5</v>
      </c>
      <c r="G302" s="37">
        <v>912752.5</v>
      </c>
      <c r="H302" s="38">
        <v>45961</v>
      </c>
      <c r="I302" s="38" t="s">
        <v>1799</v>
      </c>
      <c r="J302" s="42">
        <v>120</v>
      </c>
      <c r="K302" s="43">
        <v>912752.5</v>
      </c>
    </row>
    <row r="303" spans="1:11" x14ac:dyDescent="0.25">
      <c r="A303" s="38">
        <v>45961</v>
      </c>
      <c r="B303" s="33" t="s">
        <v>655</v>
      </c>
      <c r="C303" s="36" t="s">
        <v>203</v>
      </c>
      <c r="D303" s="34" t="s">
        <v>433</v>
      </c>
      <c r="E303" s="34"/>
      <c r="F303" s="37">
        <v>470229.6</v>
      </c>
      <c r="G303" s="37">
        <v>470229.6</v>
      </c>
      <c r="H303" s="38">
        <v>45961</v>
      </c>
      <c r="I303" s="38" t="s">
        <v>1799</v>
      </c>
      <c r="J303" s="42">
        <v>120</v>
      </c>
      <c r="K303" s="43">
        <v>470229.6</v>
      </c>
    </row>
    <row r="304" spans="1:11" x14ac:dyDescent="0.25">
      <c r="A304" s="38">
        <v>45961</v>
      </c>
      <c r="B304" s="33" t="s">
        <v>656</v>
      </c>
      <c r="C304" s="36" t="s">
        <v>203</v>
      </c>
      <c r="D304" s="34" t="s">
        <v>435</v>
      </c>
      <c r="E304" s="34"/>
      <c r="F304" s="37">
        <v>316850.64</v>
      </c>
      <c r="G304" s="37">
        <v>316850.64</v>
      </c>
      <c r="H304" s="38">
        <v>45991</v>
      </c>
      <c r="I304" s="38" t="s">
        <v>1798</v>
      </c>
      <c r="J304" s="42">
        <v>90</v>
      </c>
      <c r="K304" s="43">
        <v>316850.64</v>
      </c>
    </row>
    <row r="305" spans="1:11" x14ac:dyDescent="0.25">
      <c r="A305" s="38">
        <v>45961</v>
      </c>
      <c r="B305" s="33" t="s">
        <v>657</v>
      </c>
      <c r="C305" s="36" t="s">
        <v>207</v>
      </c>
      <c r="D305" s="34" t="s">
        <v>379</v>
      </c>
      <c r="E305" s="34"/>
      <c r="F305" s="37">
        <v>78487.5</v>
      </c>
      <c r="G305" s="37">
        <v>78487.5</v>
      </c>
      <c r="H305" s="38">
        <v>45991</v>
      </c>
      <c r="I305" s="38" t="s">
        <v>1798</v>
      </c>
      <c r="J305" s="42">
        <v>90</v>
      </c>
      <c r="K305" s="43">
        <v>78487.5</v>
      </c>
    </row>
    <row r="306" spans="1:11" x14ac:dyDescent="0.25">
      <c r="A306" s="38">
        <v>45961</v>
      </c>
      <c r="B306" s="33" t="s">
        <v>658</v>
      </c>
      <c r="C306" s="36" t="s">
        <v>216</v>
      </c>
      <c r="D306" s="34" t="s">
        <v>433</v>
      </c>
      <c r="E306" s="34"/>
      <c r="F306" s="37">
        <v>1537000</v>
      </c>
      <c r="G306" s="37">
        <v>1537000</v>
      </c>
      <c r="H306" s="38">
        <v>45961</v>
      </c>
      <c r="I306" s="38" t="s">
        <v>1799</v>
      </c>
      <c r="J306" s="42">
        <v>120</v>
      </c>
      <c r="K306" s="43">
        <v>1537000</v>
      </c>
    </row>
    <row r="307" spans="1:11" x14ac:dyDescent="0.25">
      <c r="A307" s="38">
        <v>45961</v>
      </c>
      <c r="B307" s="33" t="s">
        <v>659</v>
      </c>
      <c r="C307" s="36" t="s">
        <v>216</v>
      </c>
      <c r="D307" s="34" t="s">
        <v>433</v>
      </c>
      <c r="E307" s="34"/>
      <c r="F307" s="37">
        <v>87000</v>
      </c>
      <c r="G307" s="37">
        <v>87000</v>
      </c>
      <c r="H307" s="38">
        <v>45961</v>
      </c>
      <c r="I307" s="38" t="s">
        <v>1799</v>
      </c>
      <c r="J307" s="42">
        <v>120</v>
      </c>
      <c r="K307" s="43">
        <v>87000</v>
      </c>
    </row>
    <row r="308" spans="1:11" x14ac:dyDescent="0.25">
      <c r="A308" s="38">
        <v>45961</v>
      </c>
      <c r="B308" s="33" t="s">
        <v>660</v>
      </c>
      <c r="C308" s="36" t="s">
        <v>216</v>
      </c>
      <c r="D308" s="34" t="s">
        <v>433</v>
      </c>
      <c r="E308" s="34"/>
      <c r="F308" s="37">
        <v>1537000</v>
      </c>
      <c r="G308" s="37">
        <v>1537000</v>
      </c>
      <c r="H308" s="38">
        <v>45961</v>
      </c>
      <c r="I308" s="38" t="s">
        <v>1799</v>
      </c>
      <c r="J308" s="42">
        <v>120</v>
      </c>
      <c r="K308" s="43">
        <v>1537000</v>
      </c>
    </row>
    <row r="309" spans="1:11" x14ac:dyDescent="0.25">
      <c r="A309" s="38">
        <v>45961</v>
      </c>
      <c r="B309" s="33" t="s">
        <v>661</v>
      </c>
      <c r="C309" s="36" t="s">
        <v>227</v>
      </c>
      <c r="D309" s="34" t="s">
        <v>341</v>
      </c>
      <c r="E309" s="34"/>
      <c r="F309" s="37">
        <v>369682.72</v>
      </c>
      <c r="G309" s="37">
        <v>57364.72</v>
      </c>
      <c r="H309" s="38">
        <v>45961</v>
      </c>
      <c r="I309" s="38" t="s">
        <v>1799</v>
      </c>
      <c r="J309" s="42">
        <v>120</v>
      </c>
      <c r="K309" s="43">
        <v>57364.72</v>
      </c>
    </row>
    <row r="310" spans="1:11" x14ac:dyDescent="0.25">
      <c r="A310" s="38">
        <v>45961</v>
      </c>
      <c r="B310" s="33" t="s">
        <v>662</v>
      </c>
      <c r="C310" s="36" t="s">
        <v>229</v>
      </c>
      <c r="D310" s="34" t="s">
        <v>341</v>
      </c>
      <c r="E310" s="34"/>
      <c r="F310" s="37">
        <v>53500</v>
      </c>
      <c r="G310" s="37">
        <v>52430</v>
      </c>
      <c r="H310" s="38">
        <v>45961</v>
      </c>
      <c r="I310" s="38" t="s">
        <v>1799</v>
      </c>
      <c r="J310" s="42">
        <v>120</v>
      </c>
      <c r="K310" s="43">
        <v>52430</v>
      </c>
    </row>
    <row r="311" spans="1:11" x14ac:dyDescent="0.25">
      <c r="A311" s="38">
        <v>45961</v>
      </c>
      <c r="B311" s="33" t="s">
        <v>663</v>
      </c>
      <c r="C311" s="36" t="s">
        <v>229</v>
      </c>
      <c r="D311" s="34" t="s">
        <v>341</v>
      </c>
      <c r="E311" s="34"/>
      <c r="F311" s="37">
        <v>117000</v>
      </c>
      <c r="G311" s="37">
        <v>114660</v>
      </c>
      <c r="H311" s="38">
        <v>45961</v>
      </c>
      <c r="I311" s="38" t="s">
        <v>1799</v>
      </c>
      <c r="J311" s="42">
        <v>120</v>
      </c>
      <c r="K311" s="43">
        <v>114660</v>
      </c>
    </row>
    <row r="312" spans="1:11" x14ac:dyDescent="0.25">
      <c r="A312" s="38">
        <v>45961</v>
      </c>
      <c r="B312" s="33" t="s">
        <v>664</v>
      </c>
      <c r="C312" s="36" t="s">
        <v>255</v>
      </c>
      <c r="D312" s="34" t="s">
        <v>402</v>
      </c>
      <c r="E312" s="34"/>
      <c r="F312" s="37">
        <v>412960</v>
      </c>
      <c r="G312" s="37">
        <v>412960</v>
      </c>
      <c r="H312" s="38">
        <v>45961</v>
      </c>
      <c r="I312" s="38" t="s">
        <v>1799</v>
      </c>
      <c r="J312" s="42">
        <v>120</v>
      </c>
      <c r="K312" s="43">
        <v>412960</v>
      </c>
    </row>
    <row r="313" spans="1:11" x14ac:dyDescent="0.25">
      <c r="A313" s="38">
        <v>45961</v>
      </c>
      <c r="B313" s="33" t="s">
        <v>665</v>
      </c>
      <c r="C313" s="36" t="s">
        <v>255</v>
      </c>
      <c r="D313" s="34" t="s">
        <v>402</v>
      </c>
      <c r="E313" s="34"/>
      <c r="F313" s="37">
        <v>412960</v>
      </c>
      <c r="G313" s="37">
        <v>412960</v>
      </c>
      <c r="H313" s="38">
        <v>45961</v>
      </c>
      <c r="I313" s="38" t="s">
        <v>1799</v>
      </c>
      <c r="J313" s="42">
        <v>120</v>
      </c>
      <c r="K313" s="43">
        <v>412960</v>
      </c>
    </row>
    <row r="314" spans="1:11" x14ac:dyDescent="0.25">
      <c r="A314" s="38">
        <v>45961</v>
      </c>
      <c r="B314" s="33" t="s">
        <v>666</v>
      </c>
      <c r="C314" s="36" t="s">
        <v>289</v>
      </c>
      <c r="D314" s="34" t="s">
        <v>435</v>
      </c>
      <c r="E314" s="34"/>
      <c r="F314" s="37">
        <v>349909</v>
      </c>
      <c r="G314" s="37">
        <v>349909</v>
      </c>
      <c r="H314" s="38">
        <v>45991</v>
      </c>
      <c r="I314" s="38" t="s">
        <v>1798</v>
      </c>
      <c r="J314" s="42">
        <v>90</v>
      </c>
      <c r="K314" s="43">
        <v>349909</v>
      </c>
    </row>
    <row r="315" spans="1:11" x14ac:dyDescent="0.25">
      <c r="A315" s="38">
        <v>45961</v>
      </c>
      <c r="B315" s="33" t="s">
        <v>667</v>
      </c>
      <c r="C315" s="36" t="s">
        <v>308</v>
      </c>
      <c r="D315" s="34" t="s">
        <v>553</v>
      </c>
      <c r="E315" s="34"/>
      <c r="F315" s="37">
        <v>707721.52</v>
      </c>
      <c r="G315" s="37">
        <v>707721.52</v>
      </c>
      <c r="H315" s="38">
        <v>46051</v>
      </c>
      <c r="I315" s="38" t="s">
        <v>1796</v>
      </c>
      <c r="J315" s="42">
        <v>30</v>
      </c>
      <c r="K315" s="43">
        <v>707721.52</v>
      </c>
    </row>
    <row r="316" spans="1:11" x14ac:dyDescent="0.25">
      <c r="A316" s="38">
        <v>45962</v>
      </c>
      <c r="B316" s="33" t="s">
        <v>668</v>
      </c>
      <c r="C316" s="36" t="s">
        <v>21</v>
      </c>
      <c r="D316" s="34" t="s">
        <v>433</v>
      </c>
      <c r="E316" s="34"/>
      <c r="F316" s="37">
        <v>977175.5</v>
      </c>
      <c r="G316" s="37">
        <v>300000.02</v>
      </c>
      <c r="H316" s="38">
        <v>45962</v>
      </c>
      <c r="I316" s="38" t="s">
        <v>1799</v>
      </c>
      <c r="J316" s="42">
        <v>119</v>
      </c>
      <c r="K316" s="43">
        <v>300000.02</v>
      </c>
    </row>
    <row r="317" spans="1:11" x14ac:dyDescent="0.25">
      <c r="A317" s="38">
        <v>45962</v>
      </c>
      <c r="B317" s="33" t="s">
        <v>669</v>
      </c>
      <c r="C317" s="36" t="s">
        <v>73</v>
      </c>
      <c r="D317" s="34" t="s">
        <v>402</v>
      </c>
      <c r="E317" s="34"/>
      <c r="F317" s="37">
        <v>122086.76</v>
      </c>
      <c r="G317" s="37">
        <v>122086.76</v>
      </c>
      <c r="H317" s="38">
        <v>45992</v>
      </c>
      <c r="I317" s="38" t="s">
        <v>1798</v>
      </c>
      <c r="J317" s="42">
        <v>89</v>
      </c>
      <c r="K317" s="43">
        <v>122086.76</v>
      </c>
    </row>
    <row r="318" spans="1:11" x14ac:dyDescent="0.25">
      <c r="A318" s="38">
        <v>45962</v>
      </c>
      <c r="B318" s="33" t="s">
        <v>670</v>
      </c>
      <c r="C318" s="36" t="s">
        <v>78</v>
      </c>
      <c r="D318" s="34" t="s">
        <v>412</v>
      </c>
      <c r="E318" s="34"/>
      <c r="F318" s="37">
        <v>5764.3</v>
      </c>
      <c r="G318" s="37">
        <v>0.3</v>
      </c>
      <c r="H318" s="38">
        <v>45962</v>
      </c>
      <c r="I318" s="38" t="s">
        <v>1799</v>
      </c>
      <c r="J318" s="42">
        <v>119</v>
      </c>
      <c r="K318" s="43">
        <v>0.3</v>
      </c>
    </row>
    <row r="319" spans="1:11" x14ac:dyDescent="0.25">
      <c r="A319" s="38">
        <v>45962</v>
      </c>
      <c r="B319" s="33" t="s">
        <v>671</v>
      </c>
      <c r="C319" s="36" t="s">
        <v>88</v>
      </c>
      <c r="D319" s="34" t="s">
        <v>373</v>
      </c>
      <c r="E319" s="34"/>
      <c r="F319" s="37">
        <v>7802.61</v>
      </c>
      <c r="G319" s="37">
        <v>7802.61</v>
      </c>
      <c r="H319" s="38">
        <v>45962</v>
      </c>
      <c r="I319" s="38" t="s">
        <v>1799</v>
      </c>
      <c r="J319" s="42">
        <v>119</v>
      </c>
      <c r="K319" s="43">
        <v>7802.61</v>
      </c>
    </row>
    <row r="320" spans="1:11" x14ac:dyDescent="0.25">
      <c r="A320" s="38">
        <v>45962</v>
      </c>
      <c r="B320" s="33" t="s">
        <v>672</v>
      </c>
      <c r="C320" s="36" t="s">
        <v>88</v>
      </c>
      <c r="D320" s="34" t="s">
        <v>373</v>
      </c>
      <c r="E320" s="34"/>
      <c r="F320" s="37">
        <v>14573.2</v>
      </c>
      <c r="G320" s="37">
        <v>14573.2</v>
      </c>
      <c r="H320" s="38">
        <v>45962</v>
      </c>
      <c r="I320" s="38" t="s">
        <v>1799</v>
      </c>
      <c r="J320" s="42">
        <v>119</v>
      </c>
      <c r="K320" s="43">
        <v>14573.2</v>
      </c>
    </row>
    <row r="321" spans="1:11" x14ac:dyDescent="0.25">
      <c r="A321" s="38">
        <v>45962</v>
      </c>
      <c r="B321" s="33" t="s">
        <v>673</v>
      </c>
      <c r="C321" s="36" t="s">
        <v>111</v>
      </c>
      <c r="D321" s="34" t="s">
        <v>8</v>
      </c>
      <c r="E321" s="34"/>
      <c r="F321" s="39">
        <v>653396</v>
      </c>
      <c r="G321" s="39">
        <v>653396</v>
      </c>
      <c r="H321" s="38">
        <v>45962</v>
      </c>
      <c r="I321" s="38" t="s">
        <v>1799</v>
      </c>
      <c r="J321" s="42">
        <v>119</v>
      </c>
      <c r="K321" s="43">
        <v>-653396</v>
      </c>
    </row>
    <row r="322" spans="1:11" x14ac:dyDescent="0.25">
      <c r="A322" s="38">
        <v>45962</v>
      </c>
      <c r="B322" s="33" t="s">
        <v>674</v>
      </c>
      <c r="C322" s="36" t="s">
        <v>214</v>
      </c>
      <c r="D322" s="34" t="s">
        <v>341</v>
      </c>
      <c r="E322" s="34"/>
      <c r="F322" s="37">
        <v>442125</v>
      </c>
      <c r="G322" s="37">
        <v>249473</v>
      </c>
      <c r="H322" s="38">
        <v>45962</v>
      </c>
      <c r="I322" s="38" t="s">
        <v>1799</v>
      </c>
      <c r="J322" s="42">
        <v>119</v>
      </c>
      <c r="K322" s="43">
        <v>249473</v>
      </c>
    </row>
    <row r="323" spans="1:11" x14ac:dyDescent="0.25">
      <c r="A323" s="38">
        <v>45962</v>
      </c>
      <c r="B323" s="33" t="s">
        <v>675</v>
      </c>
      <c r="C323" s="36" t="s">
        <v>214</v>
      </c>
      <c r="D323" s="34" t="s">
        <v>393</v>
      </c>
      <c r="E323" s="34"/>
      <c r="F323" s="37">
        <v>4118</v>
      </c>
      <c r="G323" s="37">
        <v>4118</v>
      </c>
      <c r="H323" s="38">
        <v>45962</v>
      </c>
      <c r="I323" s="38" t="s">
        <v>1799</v>
      </c>
      <c r="J323" s="42">
        <v>119</v>
      </c>
      <c r="K323" s="43">
        <v>4118</v>
      </c>
    </row>
    <row r="324" spans="1:11" x14ac:dyDescent="0.25">
      <c r="A324" s="38">
        <v>45962</v>
      </c>
      <c r="B324" s="33" t="s">
        <v>676</v>
      </c>
      <c r="C324" s="36" t="s">
        <v>229</v>
      </c>
      <c r="D324" s="34" t="s">
        <v>642</v>
      </c>
      <c r="E324" s="34"/>
      <c r="F324" s="37">
        <v>53900</v>
      </c>
      <c r="G324" s="37">
        <v>53900</v>
      </c>
      <c r="H324" s="38">
        <v>45962</v>
      </c>
      <c r="I324" s="38" t="s">
        <v>1799</v>
      </c>
      <c r="J324" s="42">
        <v>119</v>
      </c>
      <c r="K324" s="43">
        <v>53900</v>
      </c>
    </row>
    <row r="325" spans="1:11" x14ac:dyDescent="0.25">
      <c r="A325" s="38">
        <v>45962</v>
      </c>
      <c r="B325" s="33" t="s">
        <v>677</v>
      </c>
      <c r="C325" s="36" t="s">
        <v>229</v>
      </c>
      <c r="D325" s="34" t="s">
        <v>561</v>
      </c>
      <c r="E325" s="34"/>
      <c r="F325" s="37">
        <v>761215</v>
      </c>
      <c r="G325" s="37">
        <v>761215</v>
      </c>
      <c r="H325" s="38">
        <v>45962</v>
      </c>
      <c r="I325" s="38" t="s">
        <v>1799</v>
      </c>
      <c r="J325" s="42">
        <v>119</v>
      </c>
      <c r="K325" s="43">
        <v>761215</v>
      </c>
    </row>
    <row r="326" spans="1:11" x14ac:dyDescent="0.25">
      <c r="A326" s="38">
        <v>45962</v>
      </c>
      <c r="B326" s="33" t="s">
        <v>678</v>
      </c>
      <c r="C326" s="36" t="s">
        <v>229</v>
      </c>
      <c r="D326" s="34" t="s">
        <v>642</v>
      </c>
      <c r="E326" s="34"/>
      <c r="F326" s="37">
        <v>42140</v>
      </c>
      <c r="G326" s="37">
        <v>42140</v>
      </c>
      <c r="H326" s="38">
        <v>45962</v>
      </c>
      <c r="I326" s="38" t="s">
        <v>1799</v>
      </c>
      <c r="J326" s="42">
        <v>119</v>
      </c>
      <c r="K326" s="43">
        <v>42140</v>
      </c>
    </row>
    <row r="327" spans="1:11" x14ac:dyDescent="0.25">
      <c r="A327" s="38">
        <v>45962</v>
      </c>
      <c r="B327" s="33" t="s">
        <v>679</v>
      </c>
      <c r="C327" s="36" t="s">
        <v>252</v>
      </c>
      <c r="D327" s="34" t="s">
        <v>412</v>
      </c>
      <c r="E327" s="34"/>
      <c r="F327" s="37">
        <v>78635.81</v>
      </c>
      <c r="G327" s="37">
        <v>78635.81</v>
      </c>
      <c r="H327" s="38">
        <v>45962</v>
      </c>
      <c r="I327" s="38" t="s">
        <v>1799</v>
      </c>
      <c r="J327" s="42">
        <v>119</v>
      </c>
      <c r="K327" s="43">
        <v>78635.81</v>
      </c>
    </row>
    <row r="328" spans="1:11" x14ac:dyDescent="0.25">
      <c r="A328" s="38">
        <v>45962</v>
      </c>
      <c r="B328" s="33" t="s">
        <v>680</v>
      </c>
      <c r="C328" s="36" t="s">
        <v>252</v>
      </c>
      <c r="D328" s="34" t="s">
        <v>412</v>
      </c>
      <c r="E328" s="34"/>
      <c r="F328" s="37">
        <v>3435.24</v>
      </c>
      <c r="G328" s="37">
        <v>3435.24</v>
      </c>
      <c r="H328" s="38">
        <v>45962</v>
      </c>
      <c r="I328" s="38" t="s">
        <v>1799</v>
      </c>
      <c r="J328" s="42">
        <v>119</v>
      </c>
      <c r="K328" s="43">
        <v>3435.24</v>
      </c>
    </row>
    <row r="329" spans="1:11" x14ac:dyDescent="0.25">
      <c r="A329" s="38">
        <v>45962</v>
      </c>
      <c r="B329" s="33" t="s">
        <v>681</v>
      </c>
      <c r="C329" s="36" t="s">
        <v>255</v>
      </c>
      <c r="D329" s="34" t="s">
        <v>435</v>
      </c>
      <c r="E329" s="34"/>
      <c r="F329" s="37">
        <v>103240</v>
      </c>
      <c r="G329" s="37">
        <v>103240</v>
      </c>
      <c r="H329" s="38">
        <v>45962</v>
      </c>
      <c r="I329" s="38" t="s">
        <v>1799</v>
      </c>
      <c r="J329" s="42">
        <v>119</v>
      </c>
      <c r="K329" s="43">
        <v>103240</v>
      </c>
    </row>
    <row r="330" spans="1:11" x14ac:dyDescent="0.25">
      <c r="A330" s="38">
        <v>45962</v>
      </c>
      <c r="B330" s="33" t="s">
        <v>682</v>
      </c>
      <c r="C330" s="36" t="s">
        <v>255</v>
      </c>
      <c r="D330" s="34" t="s">
        <v>435</v>
      </c>
      <c r="E330" s="34"/>
      <c r="F330" s="37">
        <v>103240</v>
      </c>
      <c r="G330" s="37">
        <v>103240</v>
      </c>
      <c r="H330" s="38">
        <v>45962</v>
      </c>
      <c r="I330" s="38" t="s">
        <v>1799</v>
      </c>
      <c r="J330" s="42">
        <v>119</v>
      </c>
      <c r="K330" s="43">
        <v>103240</v>
      </c>
    </row>
    <row r="331" spans="1:11" x14ac:dyDescent="0.25">
      <c r="A331" s="38">
        <v>45965</v>
      </c>
      <c r="B331" s="33" t="s">
        <v>683</v>
      </c>
      <c r="C331" s="36" t="s">
        <v>40</v>
      </c>
      <c r="D331" s="34" t="s">
        <v>402</v>
      </c>
      <c r="E331" s="34"/>
      <c r="F331" s="37">
        <v>313078</v>
      </c>
      <c r="G331" s="37">
        <v>313078</v>
      </c>
      <c r="H331" s="38">
        <v>45965</v>
      </c>
      <c r="I331" s="38" t="s">
        <v>1799</v>
      </c>
      <c r="J331" s="42">
        <v>116</v>
      </c>
      <c r="K331" s="43">
        <v>313078</v>
      </c>
    </row>
    <row r="332" spans="1:11" x14ac:dyDescent="0.25">
      <c r="A332" s="38">
        <v>45967</v>
      </c>
      <c r="B332" s="33" t="s">
        <v>635</v>
      </c>
      <c r="C332" s="36" t="s">
        <v>40</v>
      </c>
      <c r="D332" s="34" t="s">
        <v>402</v>
      </c>
      <c r="E332" s="34"/>
      <c r="F332" s="37">
        <v>327745</v>
      </c>
      <c r="G332" s="37">
        <v>327745</v>
      </c>
      <c r="H332" s="38">
        <v>45967</v>
      </c>
      <c r="I332" s="38" t="s">
        <v>1799</v>
      </c>
      <c r="J332" s="42">
        <v>114</v>
      </c>
      <c r="K332" s="43">
        <v>327745</v>
      </c>
    </row>
    <row r="333" spans="1:11" x14ac:dyDescent="0.25">
      <c r="A333" s="38">
        <v>45967</v>
      </c>
      <c r="B333" s="33" t="s">
        <v>685</v>
      </c>
      <c r="C333" s="36" t="s">
        <v>207</v>
      </c>
      <c r="D333" s="34" t="s">
        <v>379</v>
      </c>
      <c r="E333" s="34"/>
      <c r="F333" s="37">
        <v>156975</v>
      </c>
      <c r="G333" s="37">
        <v>156975</v>
      </c>
      <c r="H333" s="38">
        <v>45997</v>
      </c>
      <c r="I333" s="38" t="s">
        <v>1798</v>
      </c>
      <c r="J333" s="42">
        <v>84</v>
      </c>
      <c r="K333" s="43">
        <v>156975</v>
      </c>
    </row>
    <row r="334" spans="1:11" x14ac:dyDescent="0.25">
      <c r="A334" s="38">
        <v>45968</v>
      </c>
      <c r="B334" s="33" t="s">
        <v>686</v>
      </c>
      <c r="C334" s="36" t="s">
        <v>262</v>
      </c>
      <c r="D334" s="34" t="s">
        <v>412</v>
      </c>
      <c r="E334" s="34"/>
      <c r="F334" s="37">
        <v>440</v>
      </c>
      <c r="G334" s="37">
        <v>440</v>
      </c>
      <c r="H334" s="38">
        <v>45968</v>
      </c>
      <c r="I334" s="38" t="s">
        <v>1799</v>
      </c>
      <c r="J334" s="42">
        <v>113</v>
      </c>
      <c r="K334" s="43">
        <v>440</v>
      </c>
    </row>
    <row r="335" spans="1:11" x14ac:dyDescent="0.25">
      <c r="A335" s="38">
        <v>45969</v>
      </c>
      <c r="B335" s="33" t="s">
        <v>523</v>
      </c>
      <c r="C335" s="36" t="s">
        <v>40</v>
      </c>
      <c r="D335" s="34" t="s">
        <v>373</v>
      </c>
      <c r="E335" s="34"/>
      <c r="F335" s="37">
        <v>347864</v>
      </c>
      <c r="G335" s="37">
        <v>347864</v>
      </c>
      <c r="H335" s="38">
        <v>45999</v>
      </c>
      <c r="I335" s="38" t="s">
        <v>1798</v>
      </c>
      <c r="J335" s="42">
        <v>82</v>
      </c>
      <c r="K335" s="43">
        <v>347864</v>
      </c>
    </row>
    <row r="336" spans="1:11" x14ac:dyDescent="0.25">
      <c r="A336" s="38">
        <v>45969</v>
      </c>
      <c r="B336" s="33" t="s">
        <v>687</v>
      </c>
      <c r="C336" s="36" t="s">
        <v>46</v>
      </c>
      <c r="D336" s="34" t="s">
        <v>402</v>
      </c>
      <c r="E336" s="34"/>
      <c r="F336" s="37">
        <v>363157</v>
      </c>
      <c r="G336" s="37">
        <v>363157</v>
      </c>
      <c r="H336" s="38">
        <v>45999</v>
      </c>
      <c r="I336" s="38" t="s">
        <v>1798</v>
      </c>
      <c r="J336" s="42">
        <v>82</v>
      </c>
      <c r="K336" s="43">
        <v>363157</v>
      </c>
    </row>
    <row r="337" spans="1:11" x14ac:dyDescent="0.25">
      <c r="A337" s="38">
        <v>45971</v>
      </c>
      <c r="B337" s="33" t="s">
        <v>688</v>
      </c>
      <c r="C337" s="36" t="s">
        <v>17</v>
      </c>
      <c r="D337" s="34" t="s">
        <v>561</v>
      </c>
      <c r="E337" s="34"/>
      <c r="F337" s="37">
        <v>55814</v>
      </c>
      <c r="G337" s="37">
        <v>55814</v>
      </c>
      <c r="H337" s="38">
        <v>46031</v>
      </c>
      <c r="I337" s="38" t="s">
        <v>1797</v>
      </c>
      <c r="J337" s="42">
        <v>50</v>
      </c>
      <c r="K337" s="43">
        <v>55814</v>
      </c>
    </row>
    <row r="338" spans="1:11" x14ac:dyDescent="0.25">
      <c r="A338" s="38">
        <v>45971</v>
      </c>
      <c r="B338" s="33" t="s">
        <v>689</v>
      </c>
      <c r="C338" s="36" t="s">
        <v>252</v>
      </c>
      <c r="D338" s="34" t="s">
        <v>412</v>
      </c>
      <c r="E338" s="34"/>
      <c r="F338" s="37">
        <v>79891.240000000005</v>
      </c>
      <c r="G338" s="37">
        <v>78968.320000000007</v>
      </c>
      <c r="H338" s="38">
        <v>45971</v>
      </c>
      <c r="I338" s="38" t="s">
        <v>1799</v>
      </c>
      <c r="J338" s="42">
        <v>110</v>
      </c>
      <c r="K338" s="43">
        <v>78968.320000000007</v>
      </c>
    </row>
    <row r="339" spans="1:11" x14ac:dyDescent="0.25">
      <c r="A339" s="38">
        <v>45972</v>
      </c>
      <c r="B339" s="33" t="s">
        <v>690</v>
      </c>
      <c r="C339" s="36" t="s">
        <v>196</v>
      </c>
      <c r="D339" s="34" t="s">
        <v>402</v>
      </c>
      <c r="E339" s="34"/>
      <c r="F339" s="39">
        <v>20000</v>
      </c>
      <c r="G339" s="39">
        <v>20000</v>
      </c>
      <c r="H339" s="38">
        <v>45972</v>
      </c>
      <c r="I339" s="38" t="s">
        <v>1799</v>
      </c>
      <c r="J339" s="42">
        <v>109</v>
      </c>
      <c r="K339" s="43">
        <v>-20000</v>
      </c>
    </row>
    <row r="340" spans="1:11" x14ac:dyDescent="0.25">
      <c r="A340" s="38">
        <v>45972</v>
      </c>
      <c r="B340" s="33" t="s">
        <v>691</v>
      </c>
      <c r="C340" s="36" t="s">
        <v>252</v>
      </c>
      <c r="D340" s="34" t="s">
        <v>433</v>
      </c>
      <c r="E340" s="34"/>
      <c r="F340" s="37">
        <v>79887.240000000005</v>
      </c>
      <c r="G340" s="37">
        <v>79887.240000000005</v>
      </c>
      <c r="H340" s="38">
        <v>45972</v>
      </c>
      <c r="I340" s="38" t="s">
        <v>1799</v>
      </c>
      <c r="J340" s="42">
        <v>109</v>
      </c>
      <c r="K340" s="43">
        <v>79887.240000000005</v>
      </c>
    </row>
    <row r="341" spans="1:11" x14ac:dyDescent="0.25">
      <c r="A341" s="38">
        <v>45972</v>
      </c>
      <c r="B341" s="33" t="s">
        <v>692</v>
      </c>
      <c r="C341" s="36" t="s">
        <v>252</v>
      </c>
      <c r="D341" s="34" t="s">
        <v>412</v>
      </c>
      <c r="E341" s="34"/>
      <c r="F341" s="37">
        <v>51538.400000000001</v>
      </c>
      <c r="G341" s="37">
        <v>51538.400000000001</v>
      </c>
      <c r="H341" s="38">
        <v>45972</v>
      </c>
      <c r="I341" s="38" t="s">
        <v>1799</v>
      </c>
      <c r="J341" s="42">
        <v>109</v>
      </c>
      <c r="K341" s="43">
        <v>51538.400000000001</v>
      </c>
    </row>
    <row r="342" spans="1:11" x14ac:dyDescent="0.25">
      <c r="A342" s="38">
        <v>45973</v>
      </c>
      <c r="B342" s="33" t="s">
        <v>693</v>
      </c>
      <c r="C342" s="36" t="s">
        <v>16</v>
      </c>
      <c r="D342" s="34" t="s">
        <v>561</v>
      </c>
      <c r="E342" s="34"/>
      <c r="F342" s="37">
        <v>88837</v>
      </c>
      <c r="G342" s="37">
        <v>10</v>
      </c>
      <c r="H342" s="38">
        <v>45973</v>
      </c>
      <c r="I342" s="38" t="s">
        <v>1799</v>
      </c>
      <c r="J342" s="42">
        <v>108</v>
      </c>
      <c r="K342" s="43">
        <v>10</v>
      </c>
    </row>
    <row r="343" spans="1:11" x14ac:dyDescent="0.25">
      <c r="A343" s="38">
        <v>45973</v>
      </c>
      <c r="B343" s="33" t="s">
        <v>694</v>
      </c>
      <c r="C343" s="36" t="s">
        <v>40</v>
      </c>
      <c r="D343" s="34" t="s">
        <v>402</v>
      </c>
      <c r="E343" s="34"/>
      <c r="F343" s="37">
        <v>202488</v>
      </c>
      <c r="G343" s="37">
        <v>202488</v>
      </c>
      <c r="H343" s="38">
        <v>45973</v>
      </c>
      <c r="I343" s="38" t="s">
        <v>1799</v>
      </c>
      <c r="J343" s="42">
        <v>108</v>
      </c>
      <c r="K343" s="43">
        <v>202488</v>
      </c>
    </row>
    <row r="344" spans="1:11" x14ac:dyDescent="0.25">
      <c r="A344" s="38">
        <v>45974</v>
      </c>
      <c r="B344" s="33" t="s">
        <v>695</v>
      </c>
      <c r="C344" s="36" t="s">
        <v>187</v>
      </c>
      <c r="D344" s="34" t="s">
        <v>402</v>
      </c>
      <c r="E344" s="34"/>
      <c r="F344" s="37">
        <v>39438</v>
      </c>
      <c r="G344" s="37">
        <v>39438</v>
      </c>
      <c r="H344" s="38">
        <v>46004</v>
      </c>
      <c r="I344" s="38" t="s">
        <v>1798</v>
      </c>
      <c r="J344" s="42">
        <v>77</v>
      </c>
      <c r="K344" s="43">
        <v>39438</v>
      </c>
    </row>
    <row r="345" spans="1:11" x14ac:dyDescent="0.25">
      <c r="A345" s="38">
        <v>45976</v>
      </c>
      <c r="B345" s="33" t="s">
        <v>696</v>
      </c>
      <c r="C345" s="36" t="s">
        <v>148</v>
      </c>
      <c r="D345" s="34" t="s">
        <v>402</v>
      </c>
      <c r="E345" s="34"/>
      <c r="F345" s="37">
        <v>46818</v>
      </c>
      <c r="G345" s="37">
        <v>273</v>
      </c>
      <c r="H345" s="38">
        <v>45976</v>
      </c>
      <c r="I345" s="38" t="s">
        <v>1799</v>
      </c>
      <c r="J345" s="42">
        <v>105</v>
      </c>
      <c r="K345" s="43">
        <v>273</v>
      </c>
    </row>
    <row r="346" spans="1:11" x14ac:dyDescent="0.25">
      <c r="A346" s="38">
        <v>45977</v>
      </c>
      <c r="B346" s="33" t="s">
        <v>697</v>
      </c>
      <c r="C346" s="36" t="s">
        <v>40</v>
      </c>
      <c r="D346" s="34" t="s">
        <v>449</v>
      </c>
      <c r="E346" s="34"/>
      <c r="F346" s="37">
        <v>306847.2</v>
      </c>
      <c r="G346" s="37">
        <v>306847.2</v>
      </c>
      <c r="H346" s="38">
        <v>46007</v>
      </c>
      <c r="I346" s="38" t="s">
        <v>1798</v>
      </c>
      <c r="J346" s="42">
        <v>74</v>
      </c>
      <c r="K346" s="43">
        <v>306847.2</v>
      </c>
    </row>
    <row r="347" spans="1:11" x14ac:dyDescent="0.25">
      <c r="A347" s="38">
        <v>45978</v>
      </c>
      <c r="B347" s="33" t="s">
        <v>698</v>
      </c>
      <c r="C347" s="36" t="s">
        <v>29</v>
      </c>
      <c r="D347" s="34" t="s">
        <v>616</v>
      </c>
      <c r="E347" s="34"/>
      <c r="F347" s="37">
        <v>55680</v>
      </c>
      <c r="G347" s="37">
        <v>8640</v>
      </c>
      <c r="H347" s="38">
        <v>45978</v>
      </c>
      <c r="I347" s="38" t="s">
        <v>1799</v>
      </c>
      <c r="J347" s="42">
        <v>103</v>
      </c>
      <c r="K347" s="43">
        <v>8640</v>
      </c>
    </row>
    <row r="348" spans="1:11" x14ac:dyDescent="0.25">
      <c r="A348" s="38">
        <v>45978</v>
      </c>
      <c r="B348" s="33" t="s">
        <v>699</v>
      </c>
      <c r="C348" s="36" t="s">
        <v>104</v>
      </c>
      <c r="D348" s="34" t="s">
        <v>402</v>
      </c>
      <c r="E348" s="34"/>
      <c r="F348" s="37">
        <v>102649</v>
      </c>
      <c r="G348" s="37">
        <v>7972.88</v>
      </c>
      <c r="H348" s="38">
        <v>45978</v>
      </c>
      <c r="I348" s="38" t="s">
        <v>1799</v>
      </c>
      <c r="J348" s="42">
        <v>103</v>
      </c>
      <c r="K348" s="43">
        <v>7972.88</v>
      </c>
    </row>
    <row r="349" spans="1:11" x14ac:dyDescent="0.25">
      <c r="A349" s="38">
        <v>45979</v>
      </c>
      <c r="B349" s="33" t="s">
        <v>700</v>
      </c>
      <c r="C349" s="36" t="s">
        <v>64</v>
      </c>
      <c r="D349" s="34" t="s">
        <v>449</v>
      </c>
      <c r="E349" s="34"/>
      <c r="F349" s="39">
        <v>660.95</v>
      </c>
      <c r="G349" s="39">
        <v>660.95</v>
      </c>
      <c r="H349" s="38">
        <v>45979</v>
      </c>
      <c r="I349" s="38" t="s">
        <v>1799</v>
      </c>
      <c r="J349" s="42">
        <v>102</v>
      </c>
      <c r="K349" s="43">
        <v>-660.95</v>
      </c>
    </row>
    <row r="350" spans="1:11" x14ac:dyDescent="0.25">
      <c r="A350" s="38">
        <v>45979</v>
      </c>
      <c r="B350" s="33" t="s">
        <v>701</v>
      </c>
      <c r="C350" s="36" t="s">
        <v>207</v>
      </c>
      <c r="D350" s="34" t="s">
        <v>379</v>
      </c>
      <c r="E350" s="34"/>
      <c r="F350" s="37">
        <v>78487.5</v>
      </c>
      <c r="G350" s="37">
        <v>78487.5</v>
      </c>
      <c r="H350" s="38">
        <v>46009</v>
      </c>
      <c r="I350" s="38" t="s">
        <v>1798</v>
      </c>
      <c r="J350" s="42">
        <v>72</v>
      </c>
      <c r="K350" s="43">
        <v>78487.5</v>
      </c>
    </row>
    <row r="351" spans="1:11" x14ac:dyDescent="0.25">
      <c r="A351" s="38">
        <v>45981</v>
      </c>
      <c r="B351" s="33" t="s">
        <v>702</v>
      </c>
      <c r="C351" s="36" t="s">
        <v>16</v>
      </c>
      <c r="D351" s="34" t="s">
        <v>8</v>
      </c>
      <c r="E351" s="34"/>
      <c r="F351" s="37">
        <v>85256.8</v>
      </c>
      <c r="G351" s="37">
        <v>85256.8</v>
      </c>
      <c r="H351" s="38">
        <v>45981</v>
      </c>
      <c r="I351" s="38" t="s">
        <v>1799</v>
      </c>
      <c r="J351" s="42">
        <v>100</v>
      </c>
      <c r="K351" s="43">
        <v>85256.8</v>
      </c>
    </row>
    <row r="352" spans="1:11" x14ac:dyDescent="0.25">
      <c r="A352" s="38">
        <v>45981</v>
      </c>
      <c r="B352" s="33" t="s">
        <v>704</v>
      </c>
      <c r="C352" s="36" t="s">
        <v>212</v>
      </c>
      <c r="D352" s="34" t="s">
        <v>341</v>
      </c>
      <c r="E352" s="34"/>
      <c r="F352" s="37">
        <v>20227.060000000001</v>
      </c>
      <c r="G352" s="37">
        <v>20227.060000000001</v>
      </c>
      <c r="H352" s="38">
        <v>45981</v>
      </c>
      <c r="I352" s="38" t="s">
        <v>1799</v>
      </c>
      <c r="J352" s="42">
        <v>100</v>
      </c>
      <c r="K352" s="43">
        <v>20227.060000000001</v>
      </c>
    </row>
    <row r="353" spans="1:11" x14ac:dyDescent="0.25">
      <c r="A353" s="38">
        <v>45985</v>
      </c>
      <c r="B353" s="33" t="s">
        <v>705</v>
      </c>
      <c r="C353" s="36" t="s">
        <v>58</v>
      </c>
      <c r="D353" s="34" t="s">
        <v>393</v>
      </c>
      <c r="E353" s="34"/>
      <c r="F353" s="37">
        <v>37743</v>
      </c>
      <c r="G353" s="37">
        <v>12800</v>
      </c>
      <c r="H353" s="38">
        <v>45985</v>
      </c>
      <c r="I353" s="38" t="s">
        <v>1799</v>
      </c>
      <c r="J353" s="42">
        <v>96</v>
      </c>
      <c r="K353" s="43">
        <v>12800</v>
      </c>
    </row>
    <row r="354" spans="1:11" x14ac:dyDescent="0.25">
      <c r="A354" s="38">
        <v>45985</v>
      </c>
      <c r="B354" s="33" t="s">
        <v>707</v>
      </c>
      <c r="C354" s="36" t="s">
        <v>58</v>
      </c>
      <c r="D354" s="34" t="s">
        <v>393</v>
      </c>
      <c r="E354" s="34"/>
      <c r="F354" s="37">
        <v>30319</v>
      </c>
      <c r="G354" s="37">
        <v>30319</v>
      </c>
      <c r="H354" s="38">
        <v>45985</v>
      </c>
      <c r="I354" s="38" t="s">
        <v>1799</v>
      </c>
      <c r="J354" s="42">
        <v>96</v>
      </c>
      <c r="K354" s="43">
        <v>30319</v>
      </c>
    </row>
    <row r="355" spans="1:11" x14ac:dyDescent="0.25">
      <c r="A355" s="38">
        <v>45985</v>
      </c>
      <c r="B355" s="33" t="s">
        <v>708</v>
      </c>
      <c r="C355" s="36" t="s">
        <v>58</v>
      </c>
      <c r="D355" s="34" t="s">
        <v>393</v>
      </c>
      <c r="E355" s="34"/>
      <c r="F355" s="37">
        <v>14160</v>
      </c>
      <c r="G355" s="37">
        <v>14160</v>
      </c>
      <c r="H355" s="38">
        <v>45985</v>
      </c>
      <c r="I355" s="38" t="s">
        <v>1799</v>
      </c>
      <c r="J355" s="42">
        <v>96</v>
      </c>
      <c r="K355" s="43">
        <v>14160</v>
      </c>
    </row>
    <row r="356" spans="1:11" x14ac:dyDescent="0.25">
      <c r="A356" s="38">
        <v>45985</v>
      </c>
      <c r="B356" s="33" t="s">
        <v>709</v>
      </c>
      <c r="C356" s="36" t="s">
        <v>58</v>
      </c>
      <c r="D356" s="34" t="s">
        <v>393</v>
      </c>
      <c r="E356" s="34"/>
      <c r="F356" s="37">
        <v>13216</v>
      </c>
      <c r="G356" s="37">
        <v>13216</v>
      </c>
      <c r="H356" s="38">
        <v>45985</v>
      </c>
      <c r="I356" s="38" t="s">
        <v>1799</v>
      </c>
      <c r="J356" s="42">
        <v>96</v>
      </c>
      <c r="K356" s="43">
        <v>13216</v>
      </c>
    </row>
    <row r="357" spans="1:11" x14ac:dyDescent="0.25">
      <c r="A357" s="38">
        <v>45985</v>
      </c>
      <c r="B357" s="33" t="s">
        <v>710</v>
      </c>
      <c r="C357" s="36" t="s">
        <v>58</v>
      </c>
      <c r="D357" s="34" t="s">
        <v>393</v>
      </c>
      <c r="E357" s="34"/>
      <c r="F357" s="37">
        <v>13405</v>
      </c>
      <c r="G357" s="37">
        <v>13405</v>
      </c>
      <c r="H357" s="38">
        <v>45985</v>
      </c>
      <c r="I357" s="38" t="s">
        <v>1799</v>
      </c>
      <c r="J357" s="42">
        <v>96</v>
      </c>
      <c r="K357" s="43">
        <v>13405</v>
      </c>
    </row>
    <row r="358" spans="1:11" x14ac:dyDescent="0.25">
      <c r="A358" s="38">
        <v>45985</v>
      </c>
      <c r="B358" s="33" t="s">
        <v>711</v>
      </c>
      <c r="C358" s="36" t="s">
        <v>207</v>
      </c>
      <c r="D358" s="34" t="s">
        <v>379</v>
      </c>
      <c r="E358" s="34"/>
      <c r="F358" s="37">
        <v>47092.5</v>
      </c>
      <c r="G358" s="37">
        <v>47092.5</v>
      </c>
      <c r="H358" s="38">
        <v>46015</v>
      </c>
      <c r="I358" s="38" t="s">
        <v>1798</v>
      </c>
      <c r="J358" s="42">
        <v>66</v>
      </c>
      <c r="K358" s="43">
        <v>47092.5</v>
      </c>
    </row>
    <row r="359" spans="1:11" x14ac:dyDescent="0.25">
      <c r="A359" s="38">
        <v>45985</v>
      </c>
      <c r="B359" s="33" t="s">
        <v>712</v>
      </c>
      <c r="C359" s="36" t="s">
        <v>207</v>
      </c>
      <c r="D359" s="34" t="s">
        <v>379</v>
      </c>
      <c r="E359" s="34"/>
      <c r="F359" s="37">
        <v>188370</v>
      </c>
      <c r="G359" s="37">
        <v>188370</v>
      </c>
      <c r="H359" s="38">
        <v>46015</v>
      </c>
      <c r="I359" s="38" t="s">
        <v>1798</v>
      </c>
      <c r="J359" s="42">
        <v>66</v>
      </c>
      <c r="K359" s="43">
        <v>188370</v>
      </c>
    </row>
    <row r="360" spans="1:11" x14ac:dyDescent="0.25">
      <c r="A360" s="38">
        <v>45985</v>
      </c>
      <c r="B360" s="33" t="s">
        <v>713</v>
      </c>
      <c r="C360" s="36" t="s">
        <v>207</v>
      </c>
      <c r="D360" s="34" t="s">
        <v>379</v>
      </c>
      <c r="E360" s="34"/>
      <c r="F360" s="37">
        <v>72600.929999999993</v>
      </c>
      <c r="G360" s="37">
        <v>72600.929999999993</v>
      </c>
      <c r="H360" s="38">
        <v>46015</v>
      </c>
      <c r="I360" s="38" t="s">
        <v>1798</v>
      </c>
      <c r="J360" s="42">
        <v>66</v>
      </c>
      <c r="K360" s="43">
        <v>72600.929999999993</v>
      </c>
    </row>
    <row r="361" spans="1:11" x14ac:dyDescent="0.25">
      <c r="A361" s="38">
        <v>45985</v>
      </c>
      <c r="B361" s="33" t="s">
        <v>714</v>
      </c>
      <c r="C361" s="36" t="s">
        <v>207</v>
      </c>
      <c r="D361" s="34" t="s">
        <v>379</v>
      </c>
      <c r="E361" s="34"/>
      <c r="F361" s="37">
        <v>123303.87</v>
      </c>
      <c r="G361" s="37">
        <v>123303.87</v>
      </c>
      <c r="H361" s="38">
        <v>46015</v>
      </c>
      <c r="I361" s="38" t="s">
        <v>1798</v>
      </c>
      <c r="J361" s="42">
        <v>66</v>
      </c>
      <c r="K361" s="43">
        <v>123303.87</v>
      </c>
    </row>
    <row r="362" spans="1:11" x14ac:dyDescent="0.25">
      <c r="A362" s="38">
        <v>45985</v>
      </c>
      <c r="B362" s="33" t="s">
        <v>715</v>
      </c>
      <c r="C362" s="36" t="s">
        <v>207</v>
      </c>
      <c r="D362" s="34" t="s">
        <v>379</v>
      </c>
      <c r="E362" s="34"/>
      <c r="F362" s="37">
        <v>62790</v>
      </c>
      <c r="G362" s="37">
        <v>62790</v>
      </c>
      <c r="H362" s="38">
        <v>46015</v>
      </c>
      <c r="I362" s="38" t="s">
        <v>1798</v>
      </c>
      <c r="J362" s="42">
        <v>66</v>
      </c>
      <c r="K362" s="43">
        <v>62790</v>
      </c>
    </row>
    <row r="363" spans="1:11" x14ac:dyDescent="0.25">
      <c r="A363" s="38">
        <v>45985</v>
      </c>
      <c r="B363" s="33" t="s">
        <v>716</v>
      </c>
      <c r="C363" s="36" t="s">
        <v>210</v>
      </c>
      <c r="D363" s="34" t="s">
        <v>341</v>
      </c>
      <c r="E363" s="34"/>
      <c r="F363" s="37">
        <v>134560</v>
      </c>
      <c r="G363" s="37">
        <v>134560</v>
      </c>
      <c r="H363" s="38">
        <v>45985</v>
      </c>
      <c r="I363" s="38" t="s">
        <v>1799</v>
      </c>
      <c r="J363" s="42">
        <v>96</v>
      </c>
      <c r="K363" s="43">
        <v>134560</v>
      </c>
    </row>
    <row r="364" spans="1:11" x14ac:dyDescent="0.25">
      <c r="A364" s="38">
        <v>45987</v>
      </c>
      <c r="B364" s="33" t="s">
        <v>629</v>
      </c>
      <c r="C364" s="36" t="s">
        <v>40</v>
      </c>
      <c r="D364" s="34" t="s">
        <v>402</v>
      </c>
      <c r="E364" s="34"/>
      <c r="F364" s="37">
        <v>318659</v>
      </c>
      <c r="G364" s="37">
        <v>318659</v>
      </c>
      <c r="H364" s="38">
        <v>45987</v>
      </c>
      <c r="I364" s="38" t="s">
        <v>1799</v>
      </c>
      <c r="J364" s="42">
        <v>94</v>
      </c>
      <c r="K364" s="43">
        <v>318659</v>
      </c>
    </row>
    <row r="365" spans="1:11" x14ac:dyDescent="0.25">
      <c r="A365" s="38">
        <v>45987</v>
      </c>
      <c r="B365" s="33" t="s">
        <v>718</v>
      </c>
      <c r="C365" s="36" t="s">
        <v>138</v>
      </c>
      <c r="D365" s="34" t="s">
        <v>393</v>
      </c>
      <c r="E365" s="34"/>
      <c r="F365" s="37">
        <v>7163</v>
      </c>
      <c r="G365" s="37">
        <v>7163</v>
      </c>
      <c r="H365" s="38">
        <v>45987</v>
      </c>
      <c r="I365" s="38" t="s">
        <v>1799</v>
      </c>
      <c r="J365" s="42">
        <v>94</v>
      </c>
      <c r="K365" s="43">
        <v>7163</v>
      </c>
    </row>
    <row r="366" spans="1:11" x14ac:dyDescent="0.25">
      <c r="A366" s="38">
        <v>45987</v>
      </c>
      <c r="B366" s="33" t="s">
        <v>719</v>
      </c>
      <c r="C366" s="36" t="s">
        <v>257</v>
      </c>
      <c r="D366" s="34" t="s">
        <v>8</v>
      </c>
      <c r="E366" s="34"/>
      <c r="F366" s="39">
        <v>2250</v>
      </c>
      <c r="G366" s="39">
        <v>2250</v>
      </c>
      <c r="H366" s="38">
        <v>45987</v>
      </c>
      <c r="I366" s="38" t="s">
        <v>1799</v>
      </c>
      <c r="J366" s="42">
        <v>94</v>
      </c>
      <c r="K366" s="43">
        <v>-2250</v>
      </c>
    </row>
    <row r="367" spans="1:11" x14ac:dyDescent="0.25">
      <c r="A367" s="38">
        <v>45987</v>
      </c>
      <c r="B367" s="33" t="s">
        <v>720</v>
      </c>
      <c r="C367" s="36" t="s">
        <v>283</v>
      </c>
      <c r="D367" s="34" t="s">
        <v>553</v>
      </c>
      <c r="E367" s="34"/>
      <c r="F367" s="37">
        <v>392700</v>
      </c>
      <c r="G367" s="37">
        <v>392700</v>
      </c>
      <c r="H367" s="38">
        <v>46002</v>
      </c>
      <c r="I367" s="38" t="s">
        <v>1798</v>
      </c>
      <c r="J367" s="42">
        <v>79</v>
      </c>
      <c r="K367" s="43">
        <v>392700</v>
      </c>
    </row>
    <row r="368" spans="1:11" x14ac:dyDescent="0.25">
      <c r="A368" s="38">
        <v>45987</v>
      </c>
      <c r="B368" s="33" t="s">
        <v>721</v>
      </c>
      <c r="C368" s="36" t="s">
        <v>283</v>
      </c>
      <c r="D368" s="34" t="s">
        <v>553</v>
      </c>
      <c r="E368" s="34"/>
      <c r="F368" s="37">
        <v>390206</v>
      </c>
      <c r="G368" s="37">
        <v>390206</v>
      </c>
      <c r="H368" s="38">
        <v>46002</v>
      </c>
      <c r="I368" s="38" t="s">
        <v>1798</v>
      </c>
      <c r="J368" s="42">
        <v>79</v>
      </c>
      <c r="K368" s="43">
        <v>390206</v>
      </c>
    </row>
    <row r="369" spans="1:11" x14ac:dyDescent="0.25">
      <c r="A369" s="38">
        <v>45987</v>
      </c>
      <c r="B369" s="33" t="s">
        <v>722</v>
      </c>
      <c r="C369" s="36" t="s">
        <v>283</v>
      </c>
      <c r="D369" s="34" t="s">
        <v>553</v>
      </c>
      <c r="E369" s="34"/>
      <c r="F369" s="37">
        <v>361594</v>
      </c>
      <c r="G369" s="37">
        <v>361594</v>
      </c>
      <c r="H369" s="38">
        <v>46002</v>
      </c>
      <c r="I369" s="38" t="s">
        <v>1798</v>
      </c>
      <c r="J369" s="42">
        <v>79</v>
      </c>
      <c r="K369" s="43">
        <v>361594</v>
      </c>
    </row>
    <row r="370" spans="1:11" x14ac:dyDescent="0.25">
      <c r="A370" s="38">
        <v>45989</v>
      </c>
      <c r="B370" s="33" t="s">
        <v>723</v>
      </c>
      <c r="C370" s="36" t="s">
        <v>93</v>
      </c>
      <c r="D370" s="34" t="s">
        <v>402</v>
      </c>
      <c r="E370" s="34"/>
      <c r="F370" s="39">
        <v>44055</v>
      </c>
      <c r="G370" s="39">
        <v>44055</v>
      </c>
      <c r="H370" s="38">
        <v>45989</v>
      </c>
      <c r="I370" s="38" t="s">
        <v>1799</v>
      </c>
      <c r="J370" s="42">
        <v>92</v>
      </c>
      <c r="K370" s="43">
        <v>-44055</v>
      </c>
    </row>
    <row r="371" spans="1:11" x14ac:dyDescent="0.25">
      <c r="A371" s="38">
        <v>45990</v>
      </c>
      <c r="B371" s="33" t="s">
        <v>724</v>
      </c>
      <c r="C371" s="36" t="s">
        <v>63</v>
      </c>
      <c r="D371" s="34" t="s">
        <v>373</v>
      </c>
      <c r="E371" s="34"/>
      <c r="F371" s="37">
        <v>170520</v>
      </c>
      <c r="G371" s="37">
        <v>170520</v>
      </c>
      <c r="H371" s="38">
        <v>45990</v>
      </c>
      <c r="I371" s="38" t="s">
        <v>1799</v>
      </c>
      <c r="J371" s="42">
        <v>91</v>
      </c>
      <c r="K371" s="43">
        <v>170520</v>
      </c>
    </row>
    <row r="372" spans="1:11" x14ac:dyDescent="0.25">
      <c r="A372" s="38">
        <v>45990</v>
      </c>
      <c r="B372" s="33" t="s">
        <v>725</v>
      </c>
      <c r="C372" s="36" t="s">
        <v>63</v>
      </c>
      <c r="D372" s="34" t="s">
        <v>373</v>
      </c>
      <c r="E372" s="34"/>
      <c r="F372" s="37">
        <v>170520</v>
      </c>
      <c r="G372" s="37">
        <v>170520</v>
      </c>
      <c r="H372" s="38">
        <v>45990</v>
      </c>
      <c r="I372" s="38" t="s">
        <v>1799</v>
      </c>
      <c r="J372" s="42">
        <v>91</v>
      </c>
      <c r="K372" s="43">
        <v>170520</v>
      </c>
    </row>
    <row r="373" spans="1:11" x14ac:dyDescent="0.25">
      <c r="A373" s="38">
        <v>45990</v>
      </c>
      <c r="B373" s="33" t="s">
        <v>726</v>
      </c>
      <c r="C373" s="36" t="s">
        <v>63</v>
      </c>
      <c r="D373" s="34" t="s">
        <v>561</v>
      </c>
      <c r="E373" s="34"/>
      <c r="F373" s="37">
        <v>71340</v>
      </c>
      <c r="G373" s="37">
        <v>71340</v>
      </c>
      <c r="H373" s="38">
        <v>45990</v>
      </c>
      <c r="I373" s="38" t="s">
        <v>1799</v>
      </c>
      <c r="J373" s="42">
        <v>91</v>
      </c>
      <c r="K373" s="43">
        <v>71340</v>
      </c>
    </row>
    <row r="374" spans="1:11" x14ac:dyDescent="0.25">
      <c r="A374" s="38">
        <v>45990</v>
      </c>
      <c r="B374" s="33" t="s">
        <v>727</v>
      </c>
      <c r="C374" s="36" t="s">
        <v>63</v>
      </c>
      <c r="D374" s="34" t="s">
        <v>561</v>
      </c>
      <c r="E374" s="34"/>
      <c r="F374" s="37">
        <v>83230</v>
      </c>
      <c r="G374" s="37">
        <v>83230</v>
      </c>
      <c r="H374" s="38">
        <v>45990</v>
      </c>
      <c r="I374" s="38" t="s">
        <v>1799</v>
      </c>
      <c r="J374" s="42">
        <v>91</v>
      </c>
      <c r="K374" s="43">
        <v>83230</v>
      </c>
    </row>
    <row r="375" spans="1:11" x14ac:dyDescent="0.25">
      <c r="A375" s="38">
        <v>45990</v>
      </c>
      <c r="B375" s="33" t="s">
        <v>728</v>
      </c>
      <c r="C375" s="36" t="s">
        <v>63</v>
      </c>
      <c r="D375" s="34" t="s">
        <v>373</v>
      </c>
      <c r="E375" s="34"/>
      <c r="F375" s="37">
        <v>121800</v>
      </c>
      <c r="G375" s="37">
        <v>121800</v>
      </c>
      <c r="H375" s="38">
        <v>45990</v>
      </c>
      <c r="I375" s="38" t="s">
        <v>1799</v>
      </c>
      <c r="J375" s="42">
        <v>91</v>
      </c>
      <c r="K375" s="43">
        <v>121800</v>
      </c>
    </row>
    <row r="376" spans="1:11" x14ac:dyDescent="0.25">
      <c r="A376" s="38">
        <v>45990</v>
      </c>
      <c r="B376" s="33" t="s">
        <v>729</v>
      </c>
      <c r="C376" s="36" t="s">
        <v>63</v>
      </c>
      <c r="D376" s="34" t="s">
        <v>373</v>
      </c>
      <c r="E376" s="34"/>
      <c r="F376" s="37">
        <v>121800</v>
      </c>
      <c r="G376" s="37">
        <v>121800</v>
      </c>
      <c r="H376" s="38">
        <v>45990</v>
      </c>
      <c r="I376" s="38" t="s">
        <v>1799</v>
      </c>
      <c r="J376" s="42">
        <v>91</v>
      </c>
      <c r="K376" s="43">
        <v>121800</v>
      </c>
    </row>
    <row r="377" spans="1:11" x14ac:dyDescent="0.25">
      <c r="A377" s="38">
        <v>45990</v>
      </c>
      <c r="B377" s="33" t="s">
        <v>730</v>
      </c>
      <c r="C377" s="36" t="s">
        <v>63</v>
      </c>
      <c r="D377" s="34" t="s">
        <v>373</v>
      </c>
      <c r="E377" s="34"/>
      <c r="F377" s="37">
        <v>146160</v>
      </c>
      <c r="G377" s="37">
        <v>146160</v>
      </c>
      <c r="H377" s="38">
        <v>45990</v>
      </c>
      <c r="I377" s="38" t="s">
        <v>1799</v>
      </c>
      <c r="J377" s="42">
        <v>91</v>
      </c>
      <c r="K377" s="43">
        <v>146160</v>
      </c>
    </row>
    <row r="378" spans="1:11" x14ac:dyDescent="0.25">
      <c r="A378" s="38">
        <v>45990</v>
      </c>
      <c r="B378" s="33" t="s">
        <v>731</v>
      </c>
      <c r="C378" s="36" t="s">
        <v>63</v>
      </c>
      <c r="D378" s="34" t="s">
        <v>373</v>
      </c>
      <c r="E378" s="34"/>
      <c r="F378" s="37">
        <v>165648</v>
      </c>
      <c r="G378" s="37">
        <v>165648</v>
      </c>
      <c r="H378" s="38">
        <v>45990</v>
      </c>
      <c r="I378" s="38" t="s">
        <v>1799</v>
      </c>
      <c r="J378" s="42">
        <v>91</v>
      </c>
      <c r="K378" s="43">
        <v>165648</v>
      </c>
    </row>
    <row r="379" spans="1:11" x14ac:dyDescent="0.25">
      <c r="A379" s="38">
        <v>45990</v>
      </c>
      <c r="B379" s="33" t="s">
        <v>732</v>
      </c>
      <c r="C379" s="36" t="s">
        <v>63</v>
      </c>
      <c r="D379" s="34" t="s">
        <v>373</v>
      </c>
      <c r="E379" s="34"/>
      <c r="F379" s="37">
        <v>170520</v>
      </c>
      <c r="G379" s="37">
        <v>170520</v>
      </c>
      <c r="H379" s="38">
        <v>45990</v>
      </c>
      <c r="I379" s="38" t="s">
        <v>1799</v>
      </c>
      <c r="J379" s="42">
        <v>91</v>
      </c>
      <c r="K379" s="43">
        <v>170520</v>
      </c>
    </row>
    <row r="380" spans="1:11" x14ac:dyDescent="0.25">
      <c r="A380" s="38">
        <v>45990</v>
      </c>
      <c r="B380" s="33" t="s">
        <v>733</v>
      </c>
      <c r="C380" s="36" t="s">
        <v>63</v>
      </c>
      <c r="D380" s="34" t="s">
        <v>373</v>
      </c>
      <c r="E380" s="34"/>
      <c r="F380" s="37">
        <v>125280</v>
      </c>
      <c r="G380" s="37">
        <v>125280</v>
      </c>
      <c r="H380" s="38">
        <v>45990</v>
      </c>
      <c r="I380" s="38" t="s">
        <v>1799</v>
      </c>
      <c r="J380" s="42">
        <v>91</v>
      </c>
      <c r="K380" s="43">
        <v>125280</v>
      </c>
    </row>
    <row r="381" spans="1:11" x14ac:dyDescent="0.25">
      <c r="A381" s="38">
        <v>45990</v>
      </c>
      <c r="B381" s="33" t="s">
        <v>734</v>
      </c>
      <c r="C381" s="36" t="s">
        <v>63</v>
      </c>
      <c r="D381" s="34" t="s">
        <v>373</v>
      </c>
      <c r="E381" s="34"/>
      <c r="F381" s="37">
        <v>146160</v>
      </c>
      <c r="G381" s="37">
        <v>146160</v>
      </c>
      <c r="H381" s="38">
        <v>45990</v>
      </c>
      <c r="I381" s="38" t="s">
        <v>1799</v>
      </c>
      <c r="J381" s="42">
        <v>91</v>
      </c>
      <c r="K381" s="43">
        <v>146160</v>
      </c>
    </row>
    <row r="382" spans="1:11" x14ac:dyDescent="0.25">
      <c r="A382" s="38">
        <v>45990</v>
      </c>
      <c r="B382" s="33" t="s">
        <v>735</v>
      </c>
      <c r="C382" s="36" t="s">
        <v>63</v>
      </c>
      <c r="D382" s="34" t="s">
        <v>373</v>
      </c>
      <c r="E382" s="34"/>
      <c r="F382" s="37">
        <v>77720</v>
      </c>
      <c r="G382" s="37">
        <v>77720</v>
      </c>
      <c r="H382" s="38">
        <v>45990</v>
      </c>
      <c r="I382" s="38" t="s">
        <v>1799</v>
      </c>
      <c r="J382" s="42">
        <v>91</v>
      </c>
      <c r="K382" s="43">
        <v>77720</v>
      </c>
    </row>
    <row r="383" spans="1:11" x14ac:dyDescent="0.25">
      <c r="A383" s="38">
        <v>45990</v>
      </c>
      <c r="B383" s="33" t="s">
        <v>736</v>
      </c>
      <c r="C383" s="36" t="s">
        <v>255</v>
      </c>
      <c r="D383" s="34" t="s">
        <v>402</v>
      </c>
      <c r="E383" s="34"/>
      <c r="F383" s="37">
        <v>412960</v>
      </c>
      <c r="G383" s="37">
        <v>412960</v>
      </c>
      <c r="H383" s="38">
        <v>45990</v>
      </c>
      <c r="I383" s="38" t="s">
        <v>1799</v>
      </c>
      <c r="J383" s="42">
        <v>91</v>
      </c>
      <c r="K383" s="43">
        <v>412960</v>
      </c>
    </row>
    <row r="384" spans="1:11" x14ac:dyDescent="0.25">
      <c r="A384" s="38">
        <v>45991</v>
      </c>
      <c r="B384" s="33" t="s">
        <v>737</v>
      </c>
      <c r="C384" s="36" t="s">
        <v>17</v>
      </c>
      <c r="D384" s="34" t="s">
        <v>341</v>
      </c>
      <c r="E384" s="34"/>
      <c r="F384" s="37">
        <v>148815.12</v>
      </c>
      <c r="G384" s="37">
        <v>148815.12</v>
      </c>
      <c r="H384" s="38">
        <v>45991</v>
      </c>
      <c r="I384" s="38" t="s">
        <v>1798</v>
      </c>
      <c r="J384" s="42">
        <v>90</v>
      </c>
      <c r="K384" s="43">
        <v>148815.12</v>
      </c>
    </row>
    <row r="385" spans="1:11" x14ac:dyDescent="0.25">
      <c r="A385" s="38">
        <v>45991</v>
      </c>
      <c r="B385" s="33" t="s">
        <v>738</v>
      </c>
      <c r="C385" s="36" t="s">
        <v>36</v>
      </c>
      <c r="D385" s="34" t="s">
        <v>402</v>
      </c>
      <c r="E385" s="34"/>
      <c r="F385" s="37">
        <v>449552.69</v>
      </c>
      <c r="G385" s="37">
        <v>449552.69</v>
      </c>
      <c r="H385" s="38">
        <v>45991</v>
      </c>
      <c r="I385" s="38" t="s">
        <v>1798</v>
      </c>
      <c r="J385" s="42">
        <v>90</v>
      </c>
      <c r="K385" s="43">
        <v>449552.69</v>
      </c>
    </row>
    <row r="386" spans="1:11" x14ac:dyDescent="0.25">
      <c r="A386" s="38">
        <v>45991</v>
      </c>
      <c r="B386" s="33" t="s">
        <v>739</v>
      </c>
      <c r="C386" s="36" t="s">
        <v>63</v>
      </c>
      <c r="D386" s="34" t="s">
        <v>642</v>
      </c>
      <c r="E386" s="34"/>
      <c r="F386" s="37">
        <v>127443.7</v>
      </c>
      <c r="G386" s="37">
        <v>127443.7</v>
      </c>
      <c r="H386" s="38">
        <v>45991</v>
      </c>
      <c r="I386" s="38" t="s">
        <v>1798</v>
      </c>
      <c r="J386" s="42">
        <v>90</v>
      </c>
      <c r="K386" s="43">
        <v>127443.7</v>
      </c>
    </row>
    <row r="387" spans="1:11" x14ac:dyDescent="0.25">
      <c r="A387" s="38">
        <v>45991</v>
      </c>
      <c r="B387" s="33" t="s">
        <v>740</v>
      </c>
      <c r="C387" s="36" t="s">
        <v>63</v>
      </c>
      <c r="D387" s="34" t="s">
        <v>561</v>
      </c>
      <c r="E387" s="34"/>
      <c r="F387" s="37">
        <v>97440</v>
      </c>
      <c r="G387" s="37">
        <v>97440</v>
      </c>
      <c r="H387" s="38">
        <v>45991</v>
      </c>
      <c r="I387" s="38" t="s">
        <v>1798</v>
      </c>
      <c r="J387" s="42">
        <v>90</v>
      </c>
      <c r="K387" s="43">
        <v>97440</v>
      </c>
    </row>
    <row r="388" spans="1:11" x14ac:dyDescent="0.25">
      <c r="A388" s="38">
        <v>45991</v>
      </c>
      <c r="B388" s="33" t="s">
        <v>741</v>
      </c>
      <c r="C388" s="36" t="s">
        <v>63</v>
      </c>
      <c r="D388" s="34" t="s">
        <v>561</v>
      </c>
      <c r="E388" s="34"/>
      <c r="F388" s="37">
        <v>97440</v>
      </c>
      <c r="G388" s="37">
        <v>97440</v>
      </c>
      <c r="H388" s="38">
        <v>45991</v>
      </c>
      <c r="I388" s="38" t="s">
        <v>1798</v>
      </c>
      <c r="J388" s="42">
        <v>90</v>
      </c>
      <c r="K388" s="43">
        <v>97440</v>
      </c>
    </row>
    <row r="389" spans="1:11" x14ac:dyDescent="0.25">
      <c r="A389" s="38">
        <v>45991</v>
      </c>
      <c r="B389" s="33" t="s">
        <v>742</v>
      </c>
      <c r="C389" s="36" t="s">
        <v>63</v>
      </c>
      <c r="D389" s="34" t="s">
        <v>561</v>
      </c>
      <c r="E389" s="34"/>
      <c r="F389" s="37">
        <v>97440</v>
      </c>
      <c r="G389" s="37">
        <v>97440</v>
      </c>
      <c r="H389" s="38">
        <v>45991</v>
      </c>
      <c r="I389" s="38" t="s">
        <v>1798</v>
      </c>
      <c r="J389" s="42">
        <v>90</v>
      </c>
      <c r="K389" s="43">
        <v>97440</v>
      </c>
    </row>
    <row r="390" spans="1:11" x14ac:dyDescent="0.25">
      <c r="A390" s="38">
        <v>45991</v>
      </c>
      <c r="B390" s="33" t="s">
        <v>743</v>
      </c>
      <c r="C390" s="36" t="s">
        <v>63</v>
      </c>
      <c r="D390" s="34" t="s">
        <v>561</v>
      </c>
      <c r="E390" s="34"/>
      <c r="F390" s="37">
        <v>99760</v>
      </c>
      <c r="G390" s="37">
        <v>99760</v>
      </c>
      <c r="H390" s="38">
        <v>45991</v>
      </c>
      <c r="I390" s="38" t="s">
        <v>1798</v>
      </c>
      <c r="J390" s="42">
        <v>90</v>
      </c>
      <c r="K390" s="43">
        <v>99760</v>
      </c>
    </row>
    <row r="391" spans="1:11" x14ac:dyDescent="0.25">
      <c r="A391" s="38">
        <v>45991</v>
      </c>
      <c r="B391" s="33" t="s">
        <v>744</v>
      </c>
      <c r="C391" s="36" t="s">
        <v>63</v>
      </c>
      <c r="D391" s="34" t="s">
        <v>561</v>
      </c>
      <c r="E391" s="34"/>
      <c r="F391" s="37">
        <v>97440</v>
      </c>
      <c r="G391" s="37">
        <v>97440</v>
      </c>
      <c r="H391" s="38">
        <v>45991</v>
      </c>
      <c r="I391" s="38" t="s">
        <v>1798</v>
      </c>
      <c r="J391" s="42">
        <v>90</v>
      </c>
      <c r="K391" s="43">
        <v>97440</v>
      </c>
    </row>
    <row r="392" spans="1:11" x14ac:dyDescent="0.25">
      <c r="A392" s="38">
        <v>45991</v>
      </c>
      <c r="B392" s="33" t="s">
        <v>745</v>
      </c>
      <c r="C392" s="36" t="s">
        <v>63</v>
      </c>
      <c r="D392" s="34" t="s">
        <v>8</v>
      </c>
      <c r="E392" s="34"/>
      <c r="F392" s="37">
        <v>150240</v>
      </c>
      <c r="G392" s="37">
        <v>150240</v>
      </c>
      <c r="H392" s="38">
        <v>45991</v>
      </c>
      <c r="I392" s="38" t="s">
        <v>1798</v>
      </c>
      <c r="J392" s="42">
        <v>90</v>
      </c>
      <c r="K392" s="43">
        <v>150240</v>
      </c>
    </row>
    <row r="393" spans="1:11" x14ac:dyDescent="0.25">
      <c r="A393" s="38">
        <v>45991</v>
      </c>
      <c r="B393" s="33" t="s">
        <v>746</v>
      </c>
      <c r="C393" s="36" t="s">
        <v>85</v>
      </c>
      <c r="D393" s="34" t="s">
        <v>412</v>
      </c>
      <c r="E393" s="34"/>
      <c r="F393" s="37">
        <v>19604</v>
      </c>
      <c r="G393" s="37">
        <v>19604</v>
      </c>
      <c r="H393" s="38">
        <v>45991</v>
      </c>
      <c r="I393" s="38" t="s">
        <v>1798</v>
      </c>
      <c r="J393" s="42">
        <v>90</v>
      </c>
      <c r="K393" s="43">
        <v>19604</v>
      </c>
    </row>
    <row r="394" spans="1:11" x14ac:dyDescent="0.25">
      <c r="A394" s="38">
        <v>45991</v>
      </c>
      <c r="B394" s="33" t="s">
        <v>747</v>
      </c>
      <c r="C394" s="36" t="s">
        <v>134</v>
      </c>
      <c r="D394" s="34" t="s">
        <v>323</v>
      </c>
      <c r="E394" s="34"/>
      <c r="F394" s="37">
        <v>12016.44</v>
      </c>
      <c r="G394" s="37">
        <v>12016.44</v>
      </c>
      <c r="H394" s="38">
        <v>45991</v>
      </c>
      <c r="I394" s="38" t="s">
        <v>1798</v>
      </c>
      <c r="J394" s="42">
        <v>90</v>
      </c>
      <c r="K394" s="43">
        <v>12016.44</v>
      </c>
    </row>
    <row r="395" spans="1:11" x14ac:dyDescent="0.25">
      <c r="A395" s="38">
        <v>45991</v>
      </c>
      <c r="B395" s="33" t="s">
        <v>748</v>
      </c>
      <c r="C395" s="36" t="s">
        <v>144</v>
      </c>
      <c r="D395" s="34" t="s">
        <v>373</v>
      </c>
      <c r="E395" s="34"/>
      <c r="F395" s="37">
        <v>199500.07</v>
      </c>
      <c r="G395" s="37">
        <v>199500.07</v>
      </c>
      <c r="H395" s="38">
        <v>45991</v>
      </c>
      <c r="I395" s="38" t="s">
        <v>1798</v>
      </c>
      <c r="J395" s="42">
        <v>90</v>
      </c>
      <c r="K395" s="43">
        <v>199500.07</v>
      </c>
    </row>
    <row r="396" spans="1:11" x14ac:dyDescent="0.25">
      <c r="A396" s="38">
        <v>45991</v>
      </c>
      <c r="B396" s="33" t="s">
        <v>749</v>
      </c>
      <c r="C396" s="36" t="s">
        <v>144</v>
      </c>
      <c r="D396" s="34" t="s">
        <v>341</v>
      </c>
      <c r="E396" s="34"/>
      <c r="F396" s="37">
        <v>165200</v>
      </c>
      <c r="G396" s="37">
        <v>165200</v>
      </c>
      <c r="H396" s="38">
        <v>45991</v>
      </c>
      <c r="I396" s="38" t="s">
        <v>1798</v>
      </c>
      <c r="J396" s="42">
        <v>90</v>
      </c>
      <c r="K396" s="43">
        <v>165200</v>
      </c>
    </row>
    <row r="397" spans="1:11" x14ac:dyDescent="0.25">
      <c r="A397" s="38">
        <v>45991</v>
      </c>
      <c r="B397" s="33" t="s">
        <v>750</v>
      </c>
      <c r="C397" s="36" t="s">
        <v>154</v>
      </c>
      <c r="D397" s="34" t="s">
        <v>373</v>
      </c>
      <c r="E397" s="34"/>
      <c r="F397" s="37">
        <v>87715.06</v>
      </c>
      <c r="G397" s="37">
        <v>87715.06</v>
      </c>
      <c r="H397" s="38">
        <v>46051</v>
      </c>
      <c r="I397" s="38" t="s">
        <v>1796</v>
      </c>
      <c r="J397" s="42">
        <v>30</v>
      </c>
      <c r="K397" s="43">
        <v>87715.06</v>
      </c>
    </row>
    <row r="398" spans="1:11" x14ac:dyDescent="0.25">
      <c r="A398" s="38">
        <v>45991</v>
      </c>
      <c r="B398" s="33" t="s">
        <v>751</v>
      </c>
      <c r="C398" s="36" t="s">
        <v>163</v>
      </c>
      <c r="D398" s="34" t="s">
        <v>402</v>
      </c>
      <c r="E398" s="34"/>
      <c r="F398" s="37">
        <v>230100</v>
      </c>
      <c r="G398" s="37">
        <v>230100</v>
      </c>
      <c r="H398" s="38">
        <v>46021</v>
      </c>
      <c r="I398" s="38" t="s">
        <v>1797</v>
      </c>
      <c r="J398" s="42">
        <v>60</v>
      </c>
      <c r="K398" s="43">
        <v>230100</v>
      </c>
    </row>
    <row r="399" spans="1:11" x14ac:dyDescent="0.25">
      <c r="A399" s="38">
        <v>45991</v>
      </c>
      <c r="B399" s="33" t="s">
        <v>752</v>
      </c>
      <c r="C399" s="36" t="s">
        <v>163</v>
      </c>
      <c r="D399" s="34" t="s">
        <v>433</v>
      </c>
      <c r="E399" s="34"/>
      <c r="F399" s="37">
        <v>230100</v>
      </c>
      <c r="G399" s="37">
        <v>230100</v>
      </c>
      <c r="H399" s="38">
        <v>46021</v>
      </c>
      <c r="I399" s="38" t="s">
        <v>1797</v>
      </c>
      <c r="J399" s="42">
        <v>60</v>
      </c>
      <c r="K399" s="43">
        <v>230100</v>
      </c>
    </row>
    <row r="400" spans="1:11" x14ac:dyDescent="0.25">
      <c r="A400" s="38">
        <v>45991</v>
      </c>
      <c r="B400" s="33" t="s">
        <v>753</v>
      </c>
      <c r="C400" s="36" t="s">
        <v>172</v>
      </c>
      <c r="D400" s="34" t="s">
        <v>373</v>
      </c>
      <c r="E400" s="34"/>
      <c r="F400" s="37">
        <v>64904.72</v>
      </c>
      <c r="G400" s="37">
        <v>64904.72</v>
      </c>
      <c r="H400" s="38">
        <v>45991</v>
      </c>
      <c r="I400" s="38" t="s">
        <v>1798</v>
      </c>
      <c r="J400" s="42">
        <v>90</v>
      </c>
      <c r="K400" s="43">
        <v>64904.72</v>
      </c>
    </row>
    <row r="401" spans="1:11" x14ac:dyDescent="0.25">
      <c r="A401" s="38">
        <v>45991</v>
      </c>
      <c r="B401" s="33" t="s">
        <v>754</v>
      </c>
      <c r="C401" s="36" t="s">
        <v>172</v>
      </c>
      <c r="D401" s="34" t="s">
        <v>341</v>
      </c>
      <c r="E401" s="34"/>
      <c r="F401" s="37">
        <v>29168.26</v>
      </c>
      <c r="G401" s="37">
        <v>29168.26</v>
      </c>
      <c r="H401" s="38">
        <v>45991</v>
      </c>
      <c r="I401" s="38" t="s">
        <v>1798</v>
      </c>
      <c r="J401" s="42">
        <v>90</v>
      </c>
      <c r="K401" s="43">
        <v>29168.26</v>
      </c>
    </row>
    <row r="402" spans="1:11" x14ac:dyDescent="0.25">
      <c r="A402" s="38">
        <v>45991</v>
      </c>
      <c r="B402" s="33" t="s">
        <v>755</v>
      </c>
      <c r="C402" s="36" t="s">
        <v>187</v>
      </c>
      <c r="D402" s="34" t="s">
        <v>412</v>
      </c>
      <c r="E402" s="34"/>
      <c r="F402" s="37">
        <v>10049</v>
      </c>
      <c r="G402" s="37">
        <v>10049</v>
      </c>
      <c r="H402" s="38">
        <v>45991</v>
      </c>
      <c r="I402" s="38" t="s">
        <v>1798</v>
      </c>
      <c r="J402" s="42">
        <v>90</v>
      </c>
      <c r="K402" s="43">
        <v>10049</v>
      </c>
    </row>
    <row r="403" spans="1:11" x14ac:dyDescent="0.25">
      <c r="A403" s="38">
        <v>45991</v>
      </c>
      <c r="B403" s="33" t="s">
        <v>756</v>
      </c>
      <c r="C403" s="36" t="s">
        <v>187</v>
      </c>
      <c r="D403" s="34" t="s">
        <v>373</v>
      </c>
      <c r="E403" s="34"/>
      <c r="F403" s="37">
        <v>57201.71</v>
      </c>
      <c r="G403" s="37">
        <v>57201.71</v>
      </c>
      <c r="H403" s="38">
        <v>45991</v>
      </c>
      <c r="I403" s="38" t="s">
        <v>1798</v>
      </c>
      <c r="J403" s="42">
        <v>90</v>
      </c>
      <c r="K403" s="43">
        <v>57201.71</v>
      </c>
    </row>
    <row r="404" spans="1:11" x14ac:dyDescent="0.25">
      <c r="A404" s="38">
        <v>45991</v>
      </c>
      <c r="B404" s="33" t="s">
        <v>757</v>
      </c>
      <c r="C404" s="36" t="s">
        <v>198</v>
      </c>
      <c r="D404" s="34" t="s">
        <v>323</v>
      </c>
      <c r="E404" s="34"/>
      <c r="F404" s="37">
        <v>215334</v>
      </c>
      <c r="G404" s="37">
        <v>215334</v>
      </c>
      <c r="H404" s="38">
        <v>45991</v>
      </c>
      <c r="I404" s="38" t="s">
        <v>1798</v>
      </c>
      <c r="J404" s="42">
        <v>90</v>
      </c>
      <c r="K404" s="43">
        <v>215334</v>
      </c>
    </row>
    <row r="405" spans="1:11" x14ac:dyDescent="0.25">
      <c r="A405" s="38">
        <v>45991</v>
      </c>
      <c r="B405" s="33" t="s">
        <v>758</v>
      </c>
      <c r="C405" s="36" t="s">
        <v>202</v>
      </c>
      <c r="D405" s="34" t="s">
        <v>449</v>
      </c>
      <c r="E405" s="34"/>
      <c r="F405" s="37">
        <v>942269</v>
      </c>
      <c r="G405" s="37">
        <v>942269</v>
      </c>
      <c r="H405" s="38">
        <v>45991</v>
      </c>
      <c r="I405" s="38" t="s">
        <v>1798</v>
      </c>
      <c r="J405" s="42">
        <v>90</v>
      </c>
      <c r="K405" s="43">
        <v>942269</v>
      </c>
    </row>
    <row r="406" spans="1:11" x14ac:dyDescent="0.25">
      <c r="A406" s="38">
        <v>45991</v>
      </c>
      <c r="B406" s="33" t="s">
        <v>759</v>
      </c>
      <c r="C406" s="36" t="s">
        <v>203</v>
      </c>
      <c r="D406" s="34" t="s">
        <v>435</v>
      </c>
      <c r="E406" s="34"/>
      <c r="F406" s="37">
        <v>262684</v>
      </c>
      <c r="G406" s="37">
        <v>262684</v>
      </c>
      <c r="H406" s="38">
        <v>46021</v>
      </c>
      <c r="I406" s="38" t="s">
        <v>1797</v>
      </c>
      <c r="J406" s="42">
        <v>60</v>
      </c>
      <c r="K406" s="43">
        <v>262684</v>
      </c>
    </row>
    <row r="407" spans="1:11" x14ac:dyDescent="0.25">
      <c r="A407" s="38">
        <v>45991</v>
      </c>
      <c r="B407" s="33" t="s">
        <v>760</v>
      </c>
      <c r="C407" s="36" t="s">
        <v>214</v>
      </c>
      <c r="D407" s="34" t="s">
        <v>412</v>
      </c>
      <c r="E407" s="34"/>
      <c r="F407" s="37">
        <v>21270</v>
      </c>
      <c r="G407" s="37">
        <v>21270</v>
      </c>
      <c r="H407" s="38">
        <v>45991</v>
      </c>
      <c r="I407" s="38" t="s">
        <v>1798</v>
      </c>
      <c r="J407" s="42">
        <v>90</v>
      </c>
      <c r="K407" s="43">
        <v>21270</v>
      </c>
    </row>
    <row r="408" spans="1:11" x14ac:dyDescent="0.25">
      <c r="A408" s="38">
        <v>45991</v>
      </c>
      <c r="B408" s="33" t="s">
        <v>761</v>
      </c>
      <c r="C408" s="36" t="s">
        <v>218</v>
      </c>
      <c r="D408" s="34" t="s">
        <v>565</v>
      </c>
      <c r="E408" s="34"/>
      <c r="F408" s="37">
        <v>93960</v>
      </c>
      <c r="G408" s="37">
        <v>93960</v>
      </c>
      <c r="H408" s="38">
        <v>45991</v>
      </c>
      <c r="I408" s="38" t="s">
        <v>1798</v>
      </c>
      <c r="J408" s="42">
        <v>90</v>
      </c>
      <c r="K408" s="43">
        <v>93960</v>
      </c>
    </row>
    <row r="409" spans="1:11" x14ac:dyDescent="0.25">
      <c r="A409" s="38">
        <v>45991</v>
      </c>
      <c r="B409" s="33" t="s">
        <v>762</v>
      </c>
      <c r="C409" s="36" t="s">
        <v>218</v>
      </c>
      <c r="D409" s="34" t="s">
        <v>565</v>
      </c>
      <c r="E409" s="34"/>
      <c r="F409" s="37">
        <v>222788.21</v>
      </c>
      <c r="G409" s="37">
        <v>222788.21</v>
      </c>
      <c r="H409" s="38">
        <v>45991</v>
      </c>
      <c r="I409" s="38" t="s">
        <v>1798</v>
      </c>
      <c r="J409" s="42">
        <v>90</v>
      </c>
      <c r="K409" s="43">
        <v>222788.21</v>
      </c>
    </row>
    <row r="410" spans="1:11" x14ac:dyDescent="0.25">
      <c r="A410" s="38">
        <v>45991</v>
      </c>
      <c r="B410" s="33" t="s">
        <v>763</v>
      </c>
      <c r="C410" s="36" t="s">
        <v>227</v>
      </c>
      <c r="D410" s="34" t="s">
        <v>341</v>
      </c>
      <c r="E410" s="34"/>
      <c r="F410" s="37">
        <v>406508.08</v>
      </c>
      <c r="G410" s="37">
        <v>63079.08</v>
      </c>
      <c r="H410" s="38">
        <v>45991</v>
      </c>
      <c r="I410" s="38" t="s">
        <v>1798</v>
      </c>
      <c r="J410" s="42">
        <v>90</v>
      </c>
      <c r="K410" s="43">
        <v>63079.08</v>
      </c>
    </row>
    <row r="411" spans="1:11" x14ac:dyDescent="0.25">
      <c r="A411" s="38">
        <v>45991</v>
      </c>
      <c r="B411" s="33" t="s">
        <v>764</v>
      </c>
      <c r="C411" s="36" t="s">
        <v>229</v>
      </c>
      <c r="D411" s="34" t="s">
        <v>561</v>
      </c>
      <c r="E411" s="34"/>
      <c r="F411" s="37">
        <v>39200</v>
      </c>
      <c r="G411" s="37">
        <v>39200</v>
      </c>
      <c r="H411" s="38">
        <v>45991</v>
      </c>
      <c r="I411" s="38" t="s">
        <v>1798</v>
      </c>
      <c r="J411" s="42">
        <v>90</v>
      </c>
      <c r="K411" s="43">
        <v>39200</v>
      </c>
    </row>
    <row r="412" spans="1:11" x14ac:dyDescent="0.25">
      <c r="A412" s="38">
        <v>45991</v>
      </c>
      <c r="B412" s="33" t="s">
        <v>765</v>
      </c>
      <c r="C412" s="36" t="s">
        <v>229</v>
      </c>
      <c r="D412" s="34" t="s">
        <v>561</v>
      </c>
      <c r="E412" s="34"/>
      <c r="F412" s="37">
        <v>1056195</v>
      </c>
      <c r="G412" s="37">
        <v>1056195</v>
      </c>
      <c r="H412" s="38">
        <v>45991</v>
      </c>
      <c r="I412" s="38" t="s">
        <v>1798</v>
      </c>
      <c r="J412" s="42">
        <v>90</v>
      </c>
      <c r="K412" s="43">
        <v>1056195</v>
      </c>
    </row>
    <row r="413" spans="1:11" x14ac:dyDescent="0.25">
      <c r="A413" s="38">
        <v>45991</v>
      </c>
      <c r="B413" s="33" t="s">
        <v>766</v>
      </c>
      <c r="C413" s="36" t="s">
        <v>229</v>
      </c>
      <c r="D413" s="34" t="s">
        <v>561</v>
      </c>
      <c r="E413" s="34"/>
      <c r="F413" s="37">
        <v>109760</v>
      </c>
      <c r="G413" s="37">
        <v>109760</v>
      </c>
      <c r="H413" s="38">
        <v>45991</v>
      </c>
      <c r="I413" s="38" t="s">
        <v>1798</v>
      </c>
      <c r="J413" s="42">
        <v>90</v>
      </c>
      <c r="K413" s="43">
        <v>109760</v>
      </c>
    </row>
    <row r="414" spans="1:11" x14ac:dyDescent="0.25">
      <c r="A414" s="38">
        <v>45991</v>
      </c>
      <c r="B414" s="33" t="s">
        <v>767</v>
      </c>
      <c r="C414" s="36" t="s">
        <v>229</v>
      </c>
      <c r="D414" s="34" t="s">
        <v>600</v>
      </c>
      <c r="E414" s="34"/>
      <c r="F414" s="37">
        <v>57330</v>
      </c>
      <c r="G414" s="37">
        <v>57330</v>
      </c>
      <c r="H414" s="38">
        <v>45991</v>
      </c>
      <c r="I414" s="38" t="s">
        <v>1798</v>
      </c>
      <c r="J414" s="42">
        <v>90</v>
      </c>
      <c r="K414" s="43">
        <v>57330</v>
      </c>
    </row>
    <row r="415" spans="1:11" x14ac:dyDescent="0.25">
      <c r="A415" s="38">
        <v>45991</v>
      </c>
      <c r="B415" s="33" t="s">
        <v>768</v>
      </c>
      <c r="C415" s="36" t="s">
        <v>229</v>
      </c>
      <c r="D415" s="34" t="s">
        <v>600</v>
      </c>
      <c r="E415" s="34"/>
      <c r="F415" s="37">
        <v>105840</v>
      </c>
      <c r="G415" s="37">
        <v>105840</v>
      </c>
      <c r="H415" s="38">
        <v>45991</v>
      </c>
      <c r="I415" s="38" t="s">
        <v>1798</v>
      </c>
      <c r="J415" s="42">
        <v>90</v>
      </c>
      <c r="K415" s="43">
        <v>105840</v>
      </c>
    </row>
    <row r="416" spans="1:11" x14ac:dyDescent="0.25">
      <c r="A416" s="38">
        <v>45991</v>
      </c>
      <c r="B416" s="33" t="s">
        <v>769</v>
      </c>
      <c r="C416" s="36" t="s">
        <v>229</v>
      </c>
      <c r="D416" s="34" t="s">
        <v>341</v>
      </c>
      <c r="E416" s="34"/>
      <c r="F416" s="37">
        <v>67000</v>
      </c>
      <c r="G416" s="37">
        <v>65660</v>
      </c>
      <c r="H416" s="38">
        <v>45991</v>
      </c>
      <c r="I416" s="38" t="s">
        <v>1798</v>
      </c>
      <c r="J416" s="42">
        <v>90</v>
      </c>
      <c r="K416" s="43">
        <v>65660</v>
      </c>
    </row>
    <row r="417" spans="1:11" x14ac:dyDescent="0.25">
      <c r="A417" s="38">
        <v>45991</v>
      </c>
      <c r="B417" s="33" t="s">
        <v>770</v>
      </c>
      <c r="C417" s="36" t="s">
        <v>229</v>
      </c>
      <c r="D417" s="34" t="s">
        <v>373</v>
      </c>
      <c r="E417" s="34"/>
      <c r="F417" s="37">
        <v>12740</v>
      </c>
      <c r="G417" s="37">
        <v>12740</v>
      </c>
      <c r="H417" s="38">
        <v>45991</v>
      </c>
      <c r="I417" s="38" t="s">
        <v>1798</v>
      </c>
      <c r="J417" s="42">
        <v>90</v>
      </c>
      <c r="K417" s="43">
        <v>12740</v>
      </c>
    </row>
    <row r="418" spans="1:11" x14ac:dyDescent="0.25">
      <c r="A418" s="38">
        <v>45991</v>
      </c>
      <c r="B418" s="33" t="s">
        <v>771</v>
      </c>
      <c r="C418" s="36" t="s">
        <v>229</v>
      </c>
      <c r="D418" s="34" t="s">
        <v>323</v>
      </c>
      <c r="E418" s="34"/>
      <c r="F418" s="37">
        <v>22540</v>
      </c>
      <c r="G418" s="37">
        <v>22540</v>
      </c>
      <c r="H418" s="38">
        <v>45991</v>
      </c>
      <c r="I418" s="38" t="s">
        <v>1798</v>
      </c>
      <c r="J418" s="42">
        <v>90</v>
      </c>
      <c r="K418" s="43">
        <v>22540</v>
      </c>
    </row>
    <row r="419" spans="1:11" x14ac:dyDescent="0.25">
      <c r="A419" s="38">
        <v>45991</v>
      </c>
      <c r="B419" s="33" t="s">
        <v>772</v>
      </c>
      <c r="C419" s="36" t="s">
        <v>271</v>
      </c>
      <c r="D419" s="34" t="s">
        <v>402</v>
      </c>
      <c r="E419" s="34"/>
      <c r="F419" s="37">
        <v>54520</v>
      </c>
      <c r="G419" s="39">
        <v>830</v>
      </c>
      <c r="H419" s="38">
        <v>45992</v>
      </c>
      <c r="I419" s="38" t="s">
        <v>1798</v>
      </c>
      <c r="J419" s="42">
        <v>89</v>
      </c>
      <c r="K419" s="43">
        <v>-830</v>
      </c>
    </row>
    <row r="420" spans="1:11" x14ac:dyDescent="0.25">
      <c r="A420" s="38">
        <v>45991</v>
      </c>
      <c r="B420" s="33" t="s">
        <v>773</v>
      </c>
      <c r="C420" s="36" t="s">
        <v>278</v>
      </c>
      <c r="D420" s="34" t="s">
        <v>642</v>
      </c>
      <c r="E420" s="34"/>
      <c r="F420" s="37">
        <v>919590</v>
      </c>
      <c r="G420" s="37">
        <v>147999.20000000001</v>
      </c>
      <c r="H420" s="38">
        <v>45991</v>
      </c>
      <c r="I420" s="38" t="s">
        <v>1798</v>
      </c>
      <c r="J420" s="42">
        <v>90</v>
      </c>
      <c r="K420" s="43">
        <v>147999.20000000001</v>
      </c>
    </row>
    <row r="421" spans="1:11" x14ac:dyDescent="0.25">
      <c r="A421" s="38">
        <v>45991</v>
      </c>
      <c r="B421" s="33" t="s">
        <v>774</v>
      </c>
      <c r="C421" s="36" t="s">
        <v>282</v>
      </c>
      <c r="D421" s="34" t="s">
        <v>341</v>
      </c>
      <c r="E421" s="34"/>
      <c r="F421" s="37">
        <v>393263.2</v>
      </c>
      <c r="G421" s="37">
        <v>61023.199999999997</v>
      </c>
      <c r="H421" s="38">
        <v>45991</v>
      </c>
      <c r="I421" s="38" t="s">
        <v>1798</v>
      </c>
      <c r="J421" s="42">
        <v>90</v>
      </c>
      <c r="K421" s="43">
        <v>61023.199999999997</v>
      </c>
    </row>
    <row r="422" spans="1:11" x14ac:dyDescent="0.25">
      <c r="A422" s="38">
        <v>45991</v>
      </c>
      <c r="B422" s="33" t="s">
        <v>775</v>
      </c>
      <c r="C422" s="36" t="s">
        <v>289</v>
      </c>
      <c r="D422" s="34" t="s">
        <v>435</v>
      </c>
      <c r="E422" s="34"/>
      <c r="F422" s="37">
        <v>537530</v>
      </c>
      <c r="G422" s="37">
        <v>537530</v>
      </c>
      <c r="H422" s="38">
        <v>46021</v>
      </c>
      <c r="I422" s="38" t="s">
        <v>1797</v>
      </c>
      <c r="J422" s="42">
        <v>60</v>
      </c>
      <c r="K422" s="43">
        <v>537530</v>
      </c>
    </row>
    <row r="423" spans="1:11" x14ac:dyDescent="0.25">
      <c r="A423" s="38">
        <v>45991</v>
      </c>
      <c r="B423" s="33" t="s">
        <v>776</v>
      </c>
      <c r="C423" s="36" t="s">
        <v>293</v>
      </c>
      <c r="D423" s="34" t="s">
        <v>8</v>
      </c>
      <c r="E423" s="34"/>
      <c r="F423" s="39">
        <v>9481609.8000000007</v>
      </c>
      <c r="G423" s="39">
        <v>9481609.8000000007</v>
      </c>
      <c r="H423" s="38">
        <v>45991</v>
      </c>
      <c r="I423" s="38" t="s">
        <v>1798</v>
      </c>
      <c r="J423" s="42">
        <v>90</v>
      </c>
      <c r="K423" s="43">
        <v>-9481609.8000000007</v>
      </c>
    </row>
    <row r="424" spans="1:11" x14ac:dyDescent="0.25">
      <c r="A424" s="38">
        <v>45991</v>
      </c>
      <c r="B424" s="33" t="s">
        <v>777</v>
      </c>
      <c r="C424" s="36" t="s">
        <v>308</v>
      </c>
      <c r="D424" s="34" t="s">
        <v>553</v>
      </c>
      <c r="E424" s="34"/>
      <c r="F424" s="37">
        <v>783282</v>
      </c>
      <c r="G424" s="37">
        <v>783282</v>
      </c>
      <c r="H424" s="38">
        <v>46081</v>
      </c>
      <c r="I424" s="38" t="s">
        <v>1796</v>
      </c>
      <c r="J424" s="42">
        <v>0</v>
      </c>
      <c r="K424" s="43">
        <v>783282</v>
      </c>
    </row>
    <row r="425" spans="1:11" x14ac:dyDescent="0.25">
      <c r="A425" s="38">
        <v>45991</v>
      </c>
      <c r="B425" s="33" t="s">
        <v>778</v>
      </c>
      <c r="C425" s="36" t="s">
        <v>308</v>
      </c>
      <c r="D425" s="34" t="s">
        <v>553</v>
      </c>
      <c r="E425" s="34"/>
      <c r="F425" s="37">
        <v>706973</v>
      </c>
      <c r="G425" s="37">
        <v>706973</v>
      </c>
      <c r="H425" s="38">
        <v>46081</v>
      </c>
      <c r="I425" s="38" t="s">
        <v>1796</v>
      </c>
      <c r="J425" s="42">
        <v>0</v>
      </c>
      <c r="K425" s="43">
        <v>706973</v>
      </c>
    </row>
    <row r="426" spans="1:11" x14ac:dyDescent="0.25">
      <c r="A426" s="38">
        <v>45992</v>
      </c>
      <c r="B426" s="33" t="s">
        <v>779</v>
      </c>
      <c r="C426" s="36" t="s">
        <v>167</v>
      </c>
      <c r="D426" s="34" t="s">
        <v>393</v>
      </c>
      <c r="E426" s="34"/>
      <c r="F426" s="39">
        <v>76000</v>
      </c>
      <c r="G426" s="39">
        <v>76000</v>
      </c>
      <c r="H426" s="38">
        <v>45992</v>
      </c>
      <c r="I426" s="38" t="s">
        <v>1798</v>
      </c>
      <c r="J426" s="42">
        <v>89</v>
      </c>
      <c r="K426" s="43">
        <v>-76000</v>
      </c>
    </row>
    <row r="427" spans="1:11" x14ac:dyDescent="0.25">
      <c r="A427" s="38">
        <v>45993</v>
      </c>
      <c r="B427" s="33" t="s">
        <v>780</v>
      </c>
      <c r="C427" s="36" t="s">
        <v>40</v>
      </c>
      <c r="D427" s="34" t="s">
        <v>402</v>
      </c>
      <c r="E427" s="34"/>
      <c r="F427" s="37">
        <v>322293</v>
      </c>
      <c r="G427" s="37">
        <v>322293</v>
      </c>
      <c r="H427" s="38">
        <v>46023</v>
      </c>
      <c r="I427" s="38" t="s">
        <v>1797</v>
      </c>
      <c r="J427" s="42">
        <v>58</v>
      </c>
      <c r="K427" s="43">
        <v>322293</v>
      </c>
    </row>
    <row r="428" spans="1:11" x14ac:dyDescent="0.25">
      <c r="A428" s="38">
        <v>45994</v>
      </c>
      <c r="B428" s="33" t="s">
        <v>781</v>
      </c>
      <c r="C428" s="36" t="s">
        <v>262</v>
      </c>
      <c r="D428" s="34" t="s">
        <v>412</v>
      </c>
      <c r="E428" s="34"/>
      <c r="F428" s="37">
        <v>880</v>
      </c>
      <c r="G428" s="37">
        <v>880</v>
      </c>
      <c r="H428" s="38">
        <v>45994</v>
      </c>
      <c r="I428" s="38" t="s">
        <v>1798</v>
      </c>
      <c r="J428" s="42">
        <v>87</v>
      </c>
      <c r="K428" s="43">
        <v>880</v>
      </c>
    </row>
    <row r="429" spans="1:11" x14ac:dyDescent="0.25">
      <c r="A429" s="38">
        <v>45994</v>
      </c>
      <c r="B429" s="33" t="s">
        <v>782</v>
      </c>
      <c r="C429" s="36" t="s">
        <v>290</v>
      </c>
      <c r="D429" s="34" t="s">
        <v>402</v>
      </c>
      <c r="E429" s="34"/>
      <c r="F429" s="39">
        <v>500000</v>
      </c>
      <c r="G429" s="39">
        <v>500000</v>
      </c>
      <c r="H429" s="38">
        <v>45994</v>
      </c>
      <c r="I429" s="38" t="s">
        <v>1798</v>
      </c>
      <c r="J429" s="42">
        <v>87</v>
      </c>
      <c r="K429" s="43">
        <v>-500000</v>
      </c>
    </row>
    <row r="430" spans="1:11" x14ac:dyDescent="0.25">
      <c r="A430" s="38">
        <v>45996</v>
      </c>
      <c r="B430" s="33" t="s">
        <v>783</v>
      </c>
      <c r="C430" s="36" t="s">
        <v>17</v>
      </c>
      <c r="D430" s="34" t="s">
        <v>561</v>
      </c>
      <c r="E430" s="34"/>
      <c r="F430" s="37">
        <v>110920</v>
      </c>
      <c r="G430" s="37">
        <v>110920</v>
      </c>
      <c r="H430" s="38">
        <v>46026</v>
      </c>
      <c r="I430" s="38" t="s">
        <v>1797</v>
      </c>
      <c r="J430" s="42">
        <v>55</v>
      </c>
      <c r="K430" s="43">
        <v>110920</v>
      </c>
    </row>
    <row r="431" spans="1:11" x14ac:dyDescent="0.25">
      <c r="A431" s="38">
        <v>45999</v>
      </c>
      <c r="B431" s="33" t="s">
        <v>784</v>
      </c>
      <c r="C431" s="36" t="s">
        <v>173</v>
      </c>
      <c r="D431" s="34" t="s">
        <v>393</v>
      </c>
      <c r="E431" s="34"/>
      <c r="F431" s="39">
        <v>74000</v>
      </c>
      <c r="G431" s="39">
        <v>74000</v>
      </c>
      <c r="H431" s="38">
        <v>45999</v>
      </c>
      <c r="I431" s="38" t="s">
        <v>1798</v>
      </c>
      <c r="J431" s="42">
        <v>82</v>
      </c>
      <c r="K431" s="43">
        <v>-74000</v>
      </c>
    </row>
    <row r="432" spans="1:11" x14ac:dyDescent="0.25">
      <c r="A432" s="38">
        <v>46000</v>
      </c>
      <c r="B432" s="33" t="s">
        <v>785</v>
      </c>
      <c r="C432" s="36" t="s">
        <v>174</v>
      </c>
      <c r="D432" s="34" t="s">
        <v>402</v>
      </c>
      <c r="E432" s="34"/>
      <c r="F432" s="37">
        <v>1031733</v>
      </c>
      <c r="G432" s="37">
        <v>1031733</v>
      </c>
      <c r="H432" s="38">
        <v>46030</v>
      </c>
      <c r="I432" s="38" t="s">
        <v>1797</v>
      </c>
      <c r="J432" s="42">
        <v>51</v>
      </c>
      <c r="K432" s="43">
        <v>1031733</v>
      </c>
    </row>
    <row r="433" spans="1:11" x14ac:dyDescent="0.25">
      <c r="A433" s="38">
        <v>46000</v>
      </c>
      <c r="B433" s="33" t="s">
        <v>786</v>
      </c>
      <c r="C433" s="36" t="s">
        <v>207</v>
      </c>
      <c r="D433" s="34" t="s">
        <v>379</v>
      </c>
      <c r="E433" s="34"/>
      <c r="F433" s="37">
        <v>78487.5</v>
      </c>
      <c r="G433" s="37">
        <v>78487.5</v>
      </c>
      <c r="H433" s="38">
        <v>46030</v>
      </c>
      <c r="I433" s="38" t="s">
        <v>1797</v>
      </c>
      <c r="J433" s="42">
        <v>51</v>
      </c>
      <c r="K433" s="43">
        <v>78487.5</v>
      </c>
    </row>
    <row r="434" spans="1:11" x14ac:dyDescent="0.25">
      <c r="A434" s="38">
        <v>46002</v>
      </c>
      <c r="B434" s="33" t="s">
        <v>787</v>
      </c>
      <c r="C434" s="36" t="s">
        <v>40</v>
      </c>
      <c r="D434" s="34" t="s">
        <v>402</v>
      </c>
      <c r="E434" s="34"/>
      <c r="F434" s="37">
        <v>334624</v>
      </c>
      <c r="G434" s="37">
        <v>334624</v>
      </c>
      <c r="H434" s="38">
        <v>46002</v>
      </c>
      <c r="I434" s="38" t="s">
        <v>1798</v>
      </c>
      <c r="J434" s="42">
        <v>79</v>
      </c>
      <c r="K434" s="43">
        <v>334624</v>
      </c>
    </row>
    <row r="435" spans="1:11" x14ac:dyDescent="0.25">
      <c r="A435" s="38">
        <v>46003</v>
      </c>
      <c r="B435" s="33" t="s">
        <v>788</v>
      </c>
      <c r="C435" s="36" t="s">
        <v>187</v>
      </c>
      <c r="D435" s="34" t="s">
        <v>373</v>
      </c>
      <c r="E435" s="34"/>
      <c r="F435" s="37">
        <v>92995.54</v>
      </c>
      <c r="G435" s="37">
        <v>92995.54</v>
      </c>
      <c r="H435" s="38">
        <v>46003</v>
      </c>
      <c r="I435" s="38" t="s">
        <v>1798</v>
      </c>
      <c r="J435" s="42">
        <v>78</v>
      </c>
      <c r="K435" s="43">
        <v>92995.54</v>
      </c>
    </row>
    <row r="436" spans="1:11" x14ac:dyDescent="0.25">
      <c r="A436" s="38">
        <v>46003</v>
      </c>
      <c r="B436" s="33" t="s">
        <v>789</v>
      </c>
      <c r="C436" s="36" t="s">
        <v>213</v>
      </c>
      <c r="D436" s="34" t="s">
        <v>341</v>
      </c>
      <c r="E436" s="34"/>
      <c r="F436" s="37">
        <v>54523.92</v>
      </c>
      <c r="G436" s="37">
        <v>54523.92</v>
      </c>
      <c r="H436" s="38">
        <v>46003</v>
      </c>
      <c r="I436" s="38" t="s">
        <v>1798</v>
      </c>
      <c r="J436" s="42">
        <v>78</v>
      </c>
      <c r="K436" s="43">
        <v>54523.92</v>
      </c>
    </row>
    <row r="437" spans="1:11" x14ac:dyDescent="0.25">
      <c r="A437" s="38">
        <v>46006</v>
      </c>
      <c r="B437" s="33" t="s">
        <v>790</v>
      </c>
      <c r="C437" s="36" t="s">
        <v>36</v>
      </c>
      <c r="D437" s="34" t="s">
        <v>402</v>
      </c>
      <c r="E437" s="34"/>
      <c r="F437" s="37">
        <v>163749.93</v>
      </c>
      <c r="G437" s="37">
        <v>163749.93</v>
      </c>
      <c r="H437" s="38">
        <v>46006</v>
      </c>
      <c r="I437" s="38" t="s">
        <v>1798</v>
      </c>
      <c r="J437" s="42">
        <v>75</v>
      </c>
      <c r="K437" s="43">
        <v>163749.93</v>
      </c>
    </row>
    <row r="438" spans="1:11" x14ac:dyDescent="0.25">
      <c r="A438" s="38">
        <v>46006</v>
      </c>
      <c r="B438" s="33" t="s">
        <v>791</v>
      </c>
      <c r="C438" s="36" t="s">
        <v>92</v>
      </c>
      <c r="D438" s="34" t="s">
        <v>449</v>
      </c>
      <c r="E438" s="34"/>
      <c r="F438" s="39">
        <v>635583</v>
      </c>
      <c r="G438" s="39">
        <v>635583</v>
      </c>
      <c r="H438" s="38">
        <v>46006</v>
      </c>
      <c r="I438" s="38" t="s">
        <v>1798</v>
      </c>
      <c r="J438" s="42">
        <v>75</v>
      </c>
      <c r="K438" s="43">
        <v>-635583</v>
      </c>
    </row>
    <row r="439" spans="1:11" x14ac:dyDescent="0.25">
      <c r="A439" s="38">
        <v>46007</v>
      </c>
      <c r="B439" s="33" t="s">
        <v>792</v>
      </c>
      <c r="C439" s="36" t="s">
        <v>207</v>
      </c>
      <c r="D439" s="34" t="s">
        <v>379</v>
      </c>
      <c r="E439" s="34"/>
      <c r="F439" s="37">
        <v>78487.5</v>
      </c>
      <c r="G439" s="37">
        <v>78487.5</v>
      </c>
      <c r="H439" s="38">
        <v>46037</v>
      </c>
      <c r="I439" s="38" t="s">
        <v>1797</v>
      </c>
      <c r="J439" s="42">
        <v>44</v>
      </c>
      <c r="K439" s="43">
        <v>78487.5</v>
      </c>
    </row>
    <row r="440" spans="1:11" x14ac:dyDescent="0.25">
      <c r="A440" s="38">
        <v>46008</v>
      </c>
      <c r="B440" s="33" t="s">
        <v>793</v>
      </c>
      <c r="C440" s="36" t="s">
        <v>135</v>
      </c>
      <c r="D440" s="34" t="s">
        <v>412</v>
      </c>
      <c r="E440" s="34"/>
      <c r="F440" s="37">
        <v>13806</v>
      </c>
      <c r="G440" s="37">
        <v>13806</v>
      </c>
      <c r="H440" s="38">
        <v>46008</v>
      </c>
      <c r="I440" s="38" t="s">
        <v>1798</v>
      </c>
      <c r="J440" s="42">
        <v>73</v>
      </c>
      <c r="K440" s="43">
        <v>13806</v>
      </c>
    </row>
    <row r="441" spans="1:11" x14ac:dyDescent="0.25">
      <c r="A441" s="38">
        <v>46008</v>
      </c>
      <c r="B441" s="33" t="s">
        <v>794</v>
      </c>
      <c r="C441" s="36" t="s">
        <v>172</v>
      </c>
      <c r="D441" s="34" t="s">
        <v>412</v>
      </c>
      <c r="E441" s="34"/>
      <c r="F441" s="37">
        <v>41715</v>
      </c>
      <c r="G441" s="37">
        <v>41715</v>
      </c>
      <c r="H441" s="38">
        <v>46008</v>
      </c>
      <c r="I441" s="38" t="s">
        <v>1798</v>
      </c>
      <c r="J441" s="42">
        <v>73</v>
      </c>
      <c r="K441" s="43">
        <v>41715</v>
      </c>
    </row>
    <row r="442" spans="1:11" x14ac:dyDescent="0.25">
      <c r="A442" s="38">
        <v>46008</v>
      </c>
      <c r="B442" s="33" t="s">
        <v>795</v>
      </c>
      <c r="C442" s="36" t="s">
        <v>289</v>
      </c>
      <c r="D442" s="34" t="s">
        <v>435</v>
      </c>
      <c r="E442" s="34"/>
      <c r="F442" s="37">
        <v>464520</v>
      </c>
      <c r="G442" s="37">
        <v>464520</v>
      </c>
      <c r="H442" s="38">
        <v>46038</v>
      </c>
      <c r="I442" s="38" t="s">
        <v>1797</v>
      </c>
      <c r="J442" s="42">
        <v>43</v>
      </c>
      <c r="K442" s="43">
        <v>464520</v>
      </c>
    </row>
    <row r="443" spans="1:11" x14ac:dyDescent="0.25">
      <c r="A443" s="38">
        <v>46009</v>
      </c>
      <c r="B443" s="33" t="s">
        <v>796</v>
      </c>
      <c r="C443" s="36" t="s">
        <v>40</v>
      </c>
      <c r="D443" s="34" t="s">
        <v>323</v>
      </c>
      <c r="E443" s="34"/>
      <c r="F443" s="37">
        <v>329432</v>
      </c>
      <c r="G443" s="37">
        <v>329432</v>
      </c>
      <c r="H443" s="38">
        <v>46039</v>
      </c>
      <c r="I443" s="38" t="s">
        <v>1797</v>
      </c>
      <c r="J443" s="42">
        <v>42</v>
      </c>
      <c r="K443" s="43">
        <v>329432</v>
      </c>
    </row>
    <row r="444" spans="1:11" x14ac:dyDescent="0.25">
      <c r="A444" s="38">
        <v>46009</v>
      </c>
      <c r="B444" s="33" t="s">
        <v>797</v>
      </c>
      <c r="C444" s="36" t="s">
        <v>172</v>
      </c>
      <c r="D444" s="34" t="s">
        <v>341</v>
      </c>
      <c r="E444" s="34"/>
      <c r="F444" s="37">
        <v>56280.1</v>
      </c>
      <c r="G444" s="37">
        <v>56280.1</v>
      </c>
      <c r="H444" s="38">
        <v>46009</v>
      </c>
      <c r="I444" s="38" t="s">
        <v>1798</v>
      </c>
      <c r="J444" s="42">
        <v>72</v>
      </c>
      <c r="K444" s="43">
        <v>56280.1</v>
      </c>
    </row>
    <row r="445" spans="1:11" x14ac:dyDescent="0.25">
      <c r="A445" s="38">
        <v>46011</v>
      </c>
      <c r="B445" s="33" t="s">
        <v>798</v>
      </c>
      <c r="C445" s="36" t="s">
        <v>207</v>
      </c>
      <c r="D445" s="34" t="s">
        <v>379</v>
      </c>
      <c r="E445" s="34"/>
      <c r="F445" s="37">
        <v>47092.5</v>
      </c>
      <c r="G445" s="37">
        <v>47092.5</v>
      </c>
      <c r="H445" s="38">
        <v>46041</v>
      </c>
      <c r="I445" s="38" t="s">
        <v>1797</v>
      </c>
      <c r="J445" s="42">
        <v>40</v>
      </c>
      <c r="K445" s="43">
        <v>47092.5</v>
      </c>
    </row>
    <row r="446" spans="1:11" x14ac:dyDescent="0.25">
      <c r="A446" s="38">
        <v>46013</v>
      </c>
      <c r="B446" s="33" t="s">
        <v>799</v>
      </c>
      <c r="C446" s="36" t="s">
        <v>258</v>
      </c>
      <c r="D446" s="34" t="s">
        <v>561</v>
      </c>
      <c r="E446" s="34"/>
      <c r="F446" s="37">
        <v>234990</v>
      </c>
      <c r="G446" s="37">
        <v>234990</v>
      </c>
      <c r="H446" s="38">
        <v>46013</v>
      </c>
      <c r="I446" s="38" t="s">
        <v>1798</v>
      </c>
      <c r="J446" s="42">
        <v>68</v>
      </c>
      <c r="K446" s="43">
        <v>234990</v>
      </c>
    </row>
    <row r="447" spans="1:11" x14ac:dyDescent="0.25">
      <c r="A447" s="38">
        <v>46014</v>
      </c>
      <c r="B447" s="33" t="s">
        <v>800</v>
      </c>
      <c r="C447" s="36" t="s">
        <v>49</v>
      </c>
      <c r="D447" s="34" t="s">
        <v>412</v>
      </c>
      <c r="E447" s="34"/>
      <c r="F447" s="37">
        <v>340592.98</v>
      </c>
      <c r="G447" s="37">
        <v>340592.98</v>
      </c>
      <c r="H447" s="38">
        <v>46014</v>
      </c>
      <c r="I447" s="38" t="s">
        <v>1798</v>
      </c>
      <c r="J447" s="42">
        <v>67</v>
      </c>
      <c r="K447" s="43">
        <v>340592.98</v>
      </c>
    </row>
    <row r="448" spans="1:11" x14ac:dyDescent="0.25">
      <c r="A448" s="38">
        <v>46014</v>
      </c>
      <c r="B448" s="33" t="s">
        <v>801</v>
      </c>
      <c r="C448" s="36" t="s">
        <v>197</v>
      </c>
      <c r="D448" s="34" t="s">
        <v>8</v>
      </c>
      <c r="E448" s="34"/>
      <c r="F448" s="39">
        <v>25000</v>
      </c>
      <c r="G448" s="39">
        <v>25000</v>
      </c>
      <c r="H448" s="38">
        <v>46014</v>
      </c>
      <c r="I448" s="38" t="s">
        <v>1798</v>
      </c>
      <c r="J448" s="42">
        <v>67</v>
      </c>
      <c r="K448" s="43">
        <v>-25000</v>
      </c>
    </row>
    <row r="449" spans="1:11" x14ac:dyDescent="0.25">
      <c r="A449" s="38">
        <v>46014</v>
      </c>
      <c r="B449" s="33" t="s">
        <v>802</v>
      </c>
      <c r="C449" s="36" t="s">
        <v>231</v>
      </c>
      <c r="D449" s="34" t="s">
        <v>8</v>
      </c>
      <c r="E449" s="34"/>
      <c r="F449" s="39">
        <v>30000</v>
      </c>
      <c r="G449" s="39">
        <v>30000</v>
      </c>
      <c r="H449" s="38">
        <v>46014</v>
      </c>
      <c r="I449" s="38" t="s">
        <v>1798</v>
      </c>
      <c r="J449" s="42">
        <v>67</v>
      </c>
      <c r="K449" s="43">
        <v>-30000</v>
      </c>
    </row>
    <row r="450" spans="1:11" x14ac:dyDescent="0.25">
      <c r="A450" s="38">
        <v>46014</v>
      </c>
      <c r="B450" s="33" t="s">
        <v>803</v>
      </c>
      <c r="C450" s="36" t="s">
        <v>258</v>
      </c>
      <c r="D450" s="34" t="s">
        <v>561</v>
      </c>
      <c r="E450" s="34"/>
      <c r="F450" s="37">
        <v>201420</v>
      </c>
      <c r="G450" s="37">
        <v>201420</v>
      </c>
      <c r="H450" s="38">
        <v>46014</v>
      </c>
      <c r="I450" s="38" t="s">
        <v>1798</v>
      </c>
      <c r="J450" s="42">
        <v>67</v>
      </c>
      <c r="K450" s="43">
        <v>201420</v>
      </c>
    </row>
    <row r="451" spans="1:11" x14ac:dyDescent="0.25">
      <c r="A451" s="38">
        <v>46014</v>
      </c>
      <c r="B451" s="33" t="s">
        <v>804</v>
      </c>
      <c r="C451" s="36" t="s">
        <v>258</v>
      </c>
      <c r="D451" s="34" t="s">
        <v>561</v>
      </c>
      <c r="E451" s="34"/>
      <c r="F451" s="37">
        <v>201420</v>
      </c>
      <c r="G451" s="37">
        <v>201420</v>
      </c>
      <c r="H451" s="38">
        <v>46014</v>
      </c>
      <c r="I451" s="38" t="s">
        <v>1798</v>
      </c>
      <c r="J451" s="42">
        <v>67</v>
      </c>
      <c r="K451" s="43">
        <v>201420</v>
      </c>
    </row>
    <row r="452" spans="1:11" x14ac:dyDescent="0.25">
      <c r="A452" s="38">
        <v>46014</v>
      </c>
      <c r="B452" s="33" t="s">
        <v>805</v>
      </c>
      <c r="C452" s="36" t="s">
        <v>258</v>
      </c>
      <c r="D452" s="34" t="s">
        <v>561</v>
      </c>
      <c r="E452" s="34"/>
      <c r="F452" s="37">
        <v>234990</v>
      </c>
      <c r="G452" s="37">
        <v>234990</v>
      </c>
      <c r="H452" s="38">
        <v>46014</v>
      </c>
      <c r="I452" s="38" t="s">
        <v>1798</v>
      </c>
      <c r="J452" s="42">
        <v>67</v>
      </c>
      <c r="K452" s="43">
        <v>234990</v>
      </c>
    </row>
    <row r="453" spans="1:11" x14ac:dyDescent="0.25">
      <c r="A453" s="38">
        <v>46014</v>
      </c>
      <c r="B453" s="33" t="s">
        <v>806</v>
      </c>
      <c r="C453" s="36" t="s">
        <v>289</v>
      </c>
      <c r="D453" s="34" t="s">
        <v>435</v>
      </c>
      <c r="E453" s="34"/>
      <c r="F453" s="37">
        <v>471870</v>
      </c>
      <c r="G453" s="37">
        <v>471870</v>
      </c>
      <c r="H453" s="38">
        <v>46044</v>
      </c>
      <c r="I453" s="38" t="s">
        <v>1797</v>
      </c>
      <c r="J453" s="42">
        <v>37</v>
      </c>
      <c r="K453" s="43">
        <v>471870</v>
      </c>
    </row>
    <row r="454" spans="1:11" x14ac:dyDescent="0.25">
      <c r="A454" s="38">
        <v>46015</v>
      </c>
      <c r="B454" s="33" t="s">
        <v>808</v>
      </c>
      <c r="C454" s="36" t="s">
        <v>62</v>
      </c>
      <c r="D454" s="34" t="s">
        <v>561</v>
      </c>
      <c r="E454" s="34"/>
      <c r="F454" s="37">
        <v>92914</v>
      </c>
      <c r="G454" s="37">
        <v>92914</v>
      </c>
      <c r="H454" s="38">
        <v>46075</v>
      </c>
      <c r="I454" s="38" t="s">
        <v>1796</v>
      </c>
      <c r="J454" s="42">
        <v>6</v>
      </c>
      <c r="K454" s="43">
        <v>92914</v>
      </c>
    </row>
    <row r="455" spans="1:11" x14ac:dyDescent="0.25">
      <c r="A455" s="38">
        <v>46015</v>
      </c>
      <c r="B455" s="33" t="s">
        <v>809</v>
      </c>
      <c r="C455" s="36" t="s">
        <v>62</v>
      </c>
      <c r="D455" s="34" t="s">
        <v>561</v>
      </c>
      <c r="E455" s="34"/>
      <c r="F455" s="37">
        <v>76671</v>
      </c>
      <c r="G455" s="37">
        <v>76671</v>
      </c>
      <c r="H455" s="38">
        <v>46075</v>
      </c>
      <c r="I455" s="38" t="s">
        <v>1796</v>
      </c>
      <c r="J455" s="42">
        <v>6</v>
      </c>
      <c r="K455" s="43">
        <v>76671</v>
      </c>
    </row>
    <row r="456" spans="1:11" x14ac:dyDescent="0.25">
      <c r="A456" s="38">
        <v>46015</v>
      </c>
      <c r="B456" s="33" t="s">
        <v>810</v>
      </c>
      <c r="C456" s="36" t="s">
        <v>258</v>
      </c>
      <c r="D456" s="34" t="s">
        <v>561</v>
      </c>
      <c r="E456" s="34"/>
      <c r="F456" s="37">
        <v>201420</v>
      </c>
      <c r="G456" s="37">
        <v>201420</v>
      </c>
      <c r="H456" s="38">
        <v>46015</v>
      </c>
      <c r="I456" s="38" t="s">
        <v>1798</v>
      </c>
      <c r="J456" s="42">
        <v>66</v>
      </c>
      <c r="K456" s="43">
        <v>201420</v>
      </c>
    </row>
    <row r="457" spans="1:11" x14ac:dyDescent="0.25">
      <c r="A457" s="38">
        <v>46015</v>
      </c>
      <c r="B457" s="33" t="s">
        <v>811</v>
      </c>
      <c r="C457" s="36" t="s">
        <v>258</v>
      </c>
      <c r="D457" s="34" t="s">
        <v>561</v>
      </c>
      <c r="E457" s="34"/>
      <c r="F457" s="37">
        <v>198734</v>
      </c>
      <c r="G457" s="37">
        <v>198734</v>
      </c>
      <c r="H457" s="38">
        <v>46015</v>
      </c>
      <c r="I457" s="38" t="s">
        <v>1798</v>
      </c>
      <c r="J457" s="42">
        <v>66</v>
      </c>
      <c r="K457" s="43">
        <v>198734</v>
      </c>
    </row>
    <row r="458" spans="1:11" x14ac:dyDescent="0.25">
      <c r="A458" s="38">
        <v>46015</v>
      </c>
      <c r="B458" s="33" t="s">
        <v>812</v>
      </c>
      <c r="C458" s="36" t="s">
        <v>258</v>
      </c>
      <c r="D458" s="34" t="s">
        <v>561</v>
      </c>
      <c r="E458" s="34"/>
      <c r="F458" s="37">
        <v>201420</v>
      </c>
      <c r="G458" s="37">
        <v>201420</v>
      </c>
      <c r="H458" s="38">
        <v>46015</v>
      </c>
      <c r="I458" s="38" t="s">
        <v>1798</v>
      </c>
      <c r="J458" s="42">
        <v>66</v>
      </c>
      <c r="K458" s="43">
        <v>201420</v>
      </c>
    </row>
    <row r="459" spans="1:11" x14ac:dyDescent="0.25">
      <c r="A459" s="38">
        <v>46015</v>
      </c>
      <c r="B459" s="33" t="s">
        <v>813</v>
      </c>
      <c r="C459" s="36" t="s">
        <v>258</v>
      </c>
      <c r="D459" s="34" t="s">
        <v>561</v>
      </c>
      <c r="E459" s="34"/>
      <c r="F459" s="37">
        <v>201420</v>
      </c>
      <c r="G459" s="37">
        <v>201420</v>
      </c>
      <c r="H459" s="38">
        <v>46015</v>
      </c>
      <c r="I459" s="38" t="s">
        <v>1798</v>
      </c>
      <c r="J459" s="42">
        <v>66</v>
      </c>
      <c r="K459" s="43">
        <v>201420</v>
      </c>
    </row>
    <row r="460" spans="1:11" x14ac:dyDescent="0.25">
      <c r="A460" s="38">
        <v>46016</v>
      </c>
      <c r="B460" s="33" t="s">
        <v>814</v>
      </c>
      <c r="C460" s="36" t="s">
        <v>62</v>
      </c>
      <c r="D460" s="34" t="s">
        <v>561</v>
      </c>
      <c r="E460" s="34"/>
      <c r="F460" s="37">
        <v>76436</v>
      </c>
      <c r="G460" s="37">
        <v>76436</v>
      </c>
      <c r="H460" s="38">
        <v>46076</v>
      </c>
      <c r="I460" s="38" t="s">
        <v>1796</v>
      </c>
      <c r="J460" s="42">
        <v>5</v>
      </c>
      <c r="K460" s="43">
        <v>76436</v>
      </c>
    </row>
    <row r="461" spans="1:11" x14ac:dyDescent="0.25">
      <c r="A461" s="38">
        <v>46016</v>
      </c>
      <c r="B461" s="33" t="s">
        <v>815</v>
      </c>
      <c r="C461" s="36" t="s">
        <v>62</v>
      </c>
      <c r="D461" s="34" t="s">
        <v>561</v>
      </c>
      <c r="E461" s="34"/>
      <c r="F461" s="37">
        <v>77768</v>
      </c>
      <c r="G461" s="37">
        <v>77768</v>
      </c>
      <c r="H461" s="38">
        <v>46076</v>
      </c>
      <c r="I461" s="38" t="s">
        <v>1796</v>
      </c>
      <c r="J461" s="42">
        <v>5</v>
      </c>
      <c r="K461" s="43">
        <v>77768</v>
      </c>
    </row>
    <row r="462" spans="1:11" x14ac:dyDescent="0.25">
      <c r="A462" s="38">
        <v>46016</v>
      </c>
      <c r="B462" s="33" t="s">
        <v>816</v>
      </c>
      <c r="C462" s="36" t="s">
        <v>62</v>
      </c>
      <c r="D462" s="34" t="s">
        <v>561</v>
      </c>
      <c r="E462" s="34"/>
      <c r="F462" s="37">
        <v>76514</v>
      </c>
      <c r="G462" s="37">
        <v>76514</v>
      </c>
      <c r="H462" s="38">
        <v>46076</v>
      </c>
      <c r="I462" s="38" t="s">
        <v>1796</v>
      </c>
      <c r="J462" s="42">
        <v>5</v>
      </c>
      <c r="K462" s="43">
        <v>76514</v>
      </c>
    </row>
    <row r="463" spans="1:11" x14ac:dyDescent="0.25">
      <c r="A463" s="38">
        <v>46016</v>
      </c>
      <c r="B463" s="33" t="s">
        <v>817</v>
      </c>
      <c r="C463" s="36" t="s">
        <v>62</v>
      </c>
      <c r="D463" s="34" t="s">
        <v>561</v>
      </c>
      <c r="E463" s="34"/>
      <c r="F463" s="37">
        <v>78525</v>
      </c>
      <c r="G463" s="37">
        <v>78525</v>
      </c>
      <c r="H463" s="38">
        <v>46076</v>
      </c>
      <c r="I463" s="38" t="s">
        <v>1796</v>
      </c>
      <c r="J463" s="42">
        <v>5</v>
      </c>
      <c r="K463" s="43">
        <v>78525</v>
      </c>
    </row>
    <row r="464" spans="1:11" x14ac:dyDescent="0.25">
      <c r="A464" s="38">
        <v>46016</v>
      </c>
      <c r="B464" s="33" t="s">
        <v>818</v>
      </c>
      <c r="C464" s="36" t="s">
        <v>244</v>
      </c>
      <c r="D464" s="34" t="s">
        <v>412</v>
      </c>
      <c r="E464" s="34"/>
      <c r="F464" s="37">
        <v>264600</v>
      </c>
      <c r="G464" s="37">
        <v>264600</v>
      </c>
      <c r="H464" s="38">
        <v>46046</v>
      </c>
      <c r="I464" s="38" t="s">
        <v>1797</v>
      </c>
      <c r="J464" s="42">
        <v>35</v>
      </c>
      <c r="K464" s="43">
        <v>264600</v>
      </c>
    </row>
    <row r="465" spans="1:11" x14ac:dyDescent="0.25">
      <c r="A465" s="38">
        <v>46016</v>
      </c>
      <c r="B465" s="33" t="s">
        <v>819</v>
      </c>
      <c r="C465" s="36" t="s">
        <v>258</v>
      </c>
      <c r="D465" s="34" t="s">
        <v>561</v>
      </c>
      <c r="E465" s="34"/>
      <c r="F465" s="37">
        <v>234990</v>
      </c>
      <c r="G465" s="37">
        <v>234990</v>
      </c>
      <c r="H465" s="38">
        <v>46016</v>
      </c>
      <c r="I465" s="38" t="s">
        <v>1798</v>
      </c>
      <c r="J465" s="42">
        <v>65</v>
      </c>
      <c r="K465" s="43">
        <v>234990</v>
      </c>
    </row>
    <row r="466" spans="1:11" x14ac:dyDescent="0.25">
      <c r="A466" s="38">
        <v>46016</v>
      </c>
      <c r="B466" s="33" t="s">
        <v>821</v>
      </c>
      <c r="C466" s="36" t="s">
        <v>258</v>
      </c>
      <c r="D466" s="34" t="s">
        <v>561</v>
      </c>
      <c r="E466" s="34"/>
      <c r="F466" s="37">
        <v>67140</v>
      </c>
      <c r="G466" s="37">
        <v>67140</v>
      </c>
      <c r="H466" s="38">
        <v>46016</v>
      </c>
      <c r="I466" s="38" t="s">
        <v>1798</v>
      </c>
      <c r="J466" s="42">
        <v>65</v>
      </c>
      <c r="K466" s="43">
        <v>67140</v>
      </c>
    </row>
    <row r="467" spans="1:11" x14ac:dyDescent="0.25">
      <c r="A467" s="38">
        <v>46017</v>
      </c>
      <c r="B467" s="33" t="s">
        <v>822</v>
      </c>
      <c r="C467" s="36" t="s">
        <v>17</v>
      </c>
      <c r="D467" s="34" t="s">
        <v>402</v>
      </c>
      <c r="E467" s="34"/>
      <c r="F467" s="37">
        <v>53082</v>
      </c>
      <c r="G467" s="37">
        <v>53082</v>
      </c>
      <c r="H467" s="38">
        <v>46047</v>
      </c>
      <c r="I467" s="38" t="s">
        <v>1797</v>
      </c>
      <c r="J467" s="42">
        <v>34</v>
      </c>
      <c r="K467" s="43">
        <v>53082</v>
      </c>
    </row>
    <row r="468" spans="1:11" x14ac:dyDescent="0.25">
      <c r="A468" s="38">
        <v>46017</v>
      </c>
      <c r="B468" s="33" t="s">
        <v>823</v>
      </c>
      <c r="C468" s="36" t="s">
        <v>171</v>
      </c>
      <c r="D468" s="34" t="s">
        <v>373</v>
      </c>
      <c r="E468" s="34"/>
      <c r="F468" s="39">
        <v>363440</v>
      </c>
      <c r="G468" s="37">
        <v>2</v>
      </c>
      <c r="H468" s="38">
        <v>46017</v>
      </c>
      <c r="I468" s="38" t="s">
        <v>1798</v>
      </c>
      <c r="J468" s="42">
        <v>64</v>
      </c>
      <c r="K468" s="43">
        <v>2</v>
      </c>
    </row>
    <row r="469" spans="1:11" x14ac:dyDescent="0.25">
      <c r="A469" s="38">
        <v>46017</v>
      </c>
      <c r="B469" s="33" t="s">
        <v>824</v>
      </c>
      <c r="C469" s="36" t="s">
        <v>233</v>
      </c>
      <c r="D469" s="34" t="s">
        <v>373</v>
      </c>
      <c r="E469" s="34"/>
      <c r="F469" s="37">
        <v>12841.2</v>
      </c>
      <c r="G469" s="37">
        <v>12841.2</v>
      </c>
      <c r="H469" s="38">
        <v>46017</v>
      </c>
      <c r="I469" s="38" t="s">
        <v>1798</v>
      </c>
      <c r="J469" s="42">
        <v>64</v>
      </c>
      <c r="K469" s="43">
        <v>12841.2</v>
      </c>
    </row>
    <row r="470" spans="1:11" x14ac:dyDescent="0.25">
      <c r="A470" s="38">
        <v>46017</v>
      </c>
      <c r="B470" s="33" t="s">
        <v>825</v>
      </c>
      <c r="C470" s="36" t="s">
        <v>258</v>
      </c>
      <c r="D470" s="34" t="s">
        <v>561</v>
      </c>
      <c r="E470" s="34"/>
      <c r="F470" s="37">
        <v>201420</v>
      </c>
      <c r="G470" s="37">
        <v>201420</v>
      </c>
      <c r="H470" s="38">
        <v>46017</v>
      </c>
      <c r="I470" s="38" t="s">
        <v>1798</v>
      </c>
      <c r="J470" s="42">
        <v>64</v>
      </c>
      <c r="K470" s="43">
        <v>201420</v>
      </c>
    </row>
    <row r="471" spans="1:11" x14ac:dyDescent="0.25">
      <c r="A471" s="38">
        <v>46018</v>
      </c>
      <c r="B471" s="33" t="s">
        <v>826</v>
      </c>
      <c r="C471" s="36" t="s">
        <v>62</v>
      </c>
      <c r="D471" s="34" t="s">
        <v>561</v>
      </c>
      <c r="E471" s="34"/>
      <c r="F471" s="37">
        <v>76331</v>
      </c>
      <c r="G471" s="37">
        <v>76331</v>
      </c>
      <c r="H471" s="38">
        <v>46078</v>
      </c>
      <c r="I471" s="38" t="s">
        <v>1796</v>
      </c>
      <c r="J471" s="42">
        <v>3</v>
      </c>
      <c r="K471" s="43">
        <v>76331</v>
      </c>
    </row>
    <row r="472" spans="1:11" x14ac:dyDescent="0.25">
      <c r="A472" s="38">
        <v>46018</v>
      </c>
      <c r="B472" s="33" t="s">
        <v>827</v>
      </c>
      <c r="C472" s="36" t="s">
        <v>62</v>
      </c>
      <c r="D472" s="34" t="s">
        <v>561</v>
      </c>
      <c r="E472" s="34"/>
      <c r="F472" s="37">
        <v>77350</v>
      </c>
      <c r="G472" s="37">
        <v>77350</v>
      </c>
      <c r="H472" s="38">
        <v>46078</v>
      </c>
      <c r="I472" s="38" t="s">
        <v>1796</v>
      </c>
      <c r="J472" s="42">
        <v>3</v>
      </c>
      <c r="K472" s="43">
        <v>77350</v>
      </c>
    </row>
    <row r="473" spans="1:11" x14ac:dyDescent="0.25">
      <c r="A473" s="38">
        <v>46018</v>
      </c>
      <c r="B473" s="33" t="s">
        <v>828</v>
      </c>
      <c r="C473" s="36" t="s">
        <v>258</v>
      </c>
      <c r="D473" s="34" t="s">
        <v>561</v>
      </c>
      <c r="E473" s="34"/>
      <c r="F473" s="37">
        <v>198734</v>
      </c>
      <c r="G473" s="37">
        <v>198734</v>
      </c>
      <c r="H473" s="38">
        <v>46018</v>
      </c>
      <c r="I473" s="38" t="s">
        <v>1798</v>
      </c>
      <c r="J473" s="42">
        <v>63</v>
      </c>
      <c r="K473" s="43">
        <v>198734</v>
      </c>
    </row>
    <row r="474" spans="1:11" x14ac:dyDescent="0.25">
      <c r="A474" s="38">
        <v>46018</v>
      </c>
      <c r="B474" s="33" t="s">
        <v>829</v>
      </c>
      <c r="C474" s="36" t="s">
        <v>258</v>
      </c>
      <c r="D474" s="34" t="s">
        <v>561</v>
      </c>
      <c r="E474" s="34"/>
      <c r="F474" s="37">
        <v>67140</v>
      </c>
      <c r="G474" s="37">
        <v>67140</v>
      </c>
      <c r="H474" s="38">
        <v>46018</v>
      </c>
      <c r="I474" s="38" t="s">
        <v>1798</v>
      </c>
      <c r="J474" s="42">
        <v>63</v>
      </c>
      <c r="K474" s="43">
        <v>67140</v>
      </c>
    </row>
    <row r="475" spans="1:11" x14ac:dyDescent="0.25">
      <c r="A475" s="38">
        <v>46018</v>
      </c>
      <c r="B475" s="33" t="s">
        <v>830</v>
      </c>
      <c r="C475" s="36" t="s">
        <v>289</v>
      </c>
      <c r="D475" s="34" t="s">
        <v>412</v>
      </c>
      <c r="E475" s="34"/>
      <c r="F475" s="37">
        <v>681835</v>
      </c>
      <c r="G475" s="37">
        <v>681835</v>
      </c>
      <c r="H475" s="38">
        <v>46048</v>
      </c>
      <c r="I475" s="38" t="s">
        <v>1797</v>
      </c>
      <c r="J475" s="42">
        <v>33</v>
      </c>
      <c r="K475" s="43">
        <v>681835</v>
      </c>
    </row>
    <row r="476" spans="1:11" x14ac:dyDescent="0.25">
      <c r="A476" s="38">
        <v>46019</v>
      </c>
      <c r="B476" s="33" t="s">
        <v>831</v>
      </c>
      <c r="C476" s="36" t="s">
        <v>62</v>
      </c>
      <c r="D476" s="34" t="s">
        <v>561</v>
      </c>
      <c r="E476" s="34"/>
      <c r="F476" s="37">
        <v>76749</v>
      </c>
      <c r="G476" s="37">
        <v>76749</v>
      </c>
      <c r="H476" s="38">
        <v>46079</v>
      </c>
      <c r="I476" s="38" t="s">
        <v>1796</v>
      </c>
      <c r="J476" s="42">
        <v>2</v>
      </c>
      <c r="K476" s="43">
        <v>76749</v>
      </c>
    </row>
    <row r="477" spans="1:11" x14ac:dyDescent="0.25">
      <c r="A477" s="38">
        <v>46019</v>
      </c>
      <c r="B477" s="33" t="s">
        <v>832</v>
      </c>
      <c r="C477" s="36" t="s">
        <v>62</v>
      </c>
      <c r="D477" s="34" t="s">
        <v>561</v>
      </c>
      <c r="E477" s="34"/>
      <c r="F477" s="37">
        <v>81058</v>
      </c>
      <c r="G477" s="37">
        <v>81058</v>
      </c>
      <c r="H477" s="38">
        <v>46079</v>
      </c>
      <c r="I477" s="38" t="s">
        <v>1796</v>
      </c>
      <c r="J477" s="42">
        <v>2</v>
      </c>
      <c r="K477" s="43">
        <v>81058</v>
      </c>
    </row>
    <row r="478" spans="1:11" x14ac:dyDescent="0.25">
      <c r="A478" s="38">
        <v>46019</v>
      </c>
      <c r="B478" s="33" t="s">
        <v>833</v>
      </c>
      <c r="C478" s="36" t="s">
        <v>62</v>
      </c>
      <c r="D478" s="34" t="s">
        <v>561</v>
      </c>
      <c r="E478" s="34"/>
      <c r="F478" s="37">
        <v>79778</v>
      </c>
      <c r="G478" s="37">
        <v>79778</v>
      </c>
      <c r="H478" s="38">
        <v>46079</v>
      </c>
      <c r="I478" s="38" t="s">
        <v>1796</v>
      </c>
      <c r="J478" s="42">
        <v>2</v>
      </c>
      <c r="K478" s="43">
        <v>79778</v>
      </c>
    </row>
    <row r="479" spans="1:11" x14ac:dyDescent="0.25">
      <c r="A479" s="38">
        <v>46019</v>
      </c>
      <c r="B479" s="33" t="s">
        <v>834</v>
      </c>
      <c r="C479" s="36" t="s">
        <v>62</v>
      </c>
      <c r="D479" s="34" t="s">
        <v>561</v>
      </c>
      <c r="E479" s="34"/>
      <c r="F479" s="37">
        <v>82573</v>
      </c>
      <c r="G479" s="37">
        <v>82573</v>
      </c>
      <c r="H479" s="38">
        <v>46079</v>
      </c>
      <c r="I479" s="38" t="s">
        <v>1796</v>
      </c>
      <c r="J479" s="42">
        <v>2</v>
      </c>
      <c r="K479" s="43">
        <v>82573</v>
      </c>
    </row>
    <row r="480" spans="1:11" x14ac:dyDescent="0.25">
      <c r="A480" s="38">
        <v>46019</v>
      </c>
      <c r="B480" s="33" t="s">
        <v>835</v>
      </c>
      <c r="C480" s="36" t="s">
        <v>258</v>
      </c>
      <c r="D480" s="34" t="s">
        <v>561</v>
      </c>
      <c r="E480" s="34"/>
      <c r="F480" s="37">
        <v>231633</v>
      </c>
      <c r="G480" s="37">
        <v>231633</v>
      </c>
      <c r="H480" s="38">
        <v>46019</v>
      </c>
      <c r="I480" s="38" t="s">
        <v>1798</v>
      </c>
      <c r="J480" s="42">
        <v>62</v>
      </c>
      <c r="K480" s="43">
        <v>231633</v>
      </c>
    </row>
    <row r="481" spans="1:11" x14ac:dyDescent="0.25">
      <c r="A481" s="38">
        <v>46020</v>
      </c>
      <c r="B481" s="33" t="s">
        <v>836</v>
      </c>
      <c r="C481" s="36" t="s">
        <v>40</v>
      </c>
      <c r="D481" s="34" t="s">
        <v>402</v>
      </c>
      <c r="E481" s="34"/>
      <c r="F481" s="37">
        <v>403418</v>
      </c>
      <c r="G481" s="37">
        <v>403418</v>
      </c>
      <c r="H481" s="38">
        <v>46020</v>
      </c>
      <c r="I481" s="38" t="s">
        <v>1798</v>
      </c>
      <c r="J481" s="42">
        <v>61</v>
      </c>
      <c r="K481" s="43">
        <v>403418</v>
      </c>
    </row>
    <row r="482" spans="1:11" x14ac:dyDescent="0.25">
      <c r="A482" s="38">
        <v>46020</v>
      </c>
      <c r="B482" s="33" t="s">
        <v>837</v>
      </c>
      <c r="C482" s="36" t="s">
        <v>202</v>
      </c>
      <c r="D482" s="34" t="s">
        <v>449</v>
      </c>
      <c r="E482" s="34"/>
      <c r="F482" s="37">
        <v>5000000</v>
      </c>
      <c r="G482" s="37">
        <v>5000000</v>
      </c>
      <c r="H482" s="38">
        <v>46020</v>
      </c>
      <c r="I482" s="38" t="s">
        <v>1798</v>
      </c>
      <c r="J482" s="42">
        <v>61</v>
      </c>
      <c r="K482" s="43">
        <v>5000000</v>
      </c>
    </row>
    <row r="483" spans="1:11" x14ac:dyDescent="0.25">
      <c r="A483" s="38">
        <v>46020</v>
      </c>
      <c r="B483" s="33" t="s">
        <v>838</v>
      </c>
      <c r="C483" s="36" t="s">
        <v>207</v>
      </c>
      <c r="D483" s="34" t="s">
        <v>379</v>
      </c>
      <c r="E483" s="34"/>
      <c r="F483" s="37">
        <v>156975</v>
      </c>
      <c r="G483" s="37">
        <v>156975</v>
      </c>
      <c r="H483" s="38">
        <v>46050</v>
      </c>
      <c r="I483" s="38" t="s">
        <v>1797</v>
      </c>
      <c r="J483" s="42">
        <v>31</v>
      </c>
      <c r="K483" s="43">
        <v>156975</v>
      </c>
    </row>
    <row r="484" spans="1:11" x14ac:dyDescent="0.25">
      <c r="A484" s="38">
        <v>46020</v>
      </c>
      <c r="B484" s="33" t="s">
        <v>839</v>
      </c>
      <c r="C484" s="36" t="s">
        <v>207</v>
      </c>
      <c r="D484" s="34" t="s">
        <v>379</v>
      </c>
      <c r="E484" s="34"/>
      <c r="F484" s="37">
        <v>78487.5</v>
      </c>
      <c r="G484" s="37">
        <v>78487.5</v>
      </c>
      <c r="H484" s="38">
        <v>46050</v>
      </c>
      <c r="I484" s="38" t="s">
        <v>1797</v>
      </c>
      <c r="J484" s="42">
        <v>31</v>
      </c>
      <c r="K484" s="43">
        <v>78487.5</v>
      </c>
    </row>
    <row r="485" spans="1:11" x14ac:dyDescent="0.25">
      <c r="A485" s="38">
        <v>46020</v>
      </c>
      <c r="B485" s="33" t="s">
        <v>840</v>
      </c>
      <c r="C485" s="36" t="s">
        <v>258</v>
      </c>
      <c r="D485" s="34" t="s">
        <v>561</v>
      </c>
      <c r="E485" s="34"/>
      <c r="F485" s="37">
        <v>234990</v>
      </c>
      <c r="G485" s="37">
        <v>234990</v>
      </c>
      <c r="H485" s="38">
        <v>46020</v>
      </c>
      <c r="I485" s="38" t="s">
        <v>1798</v>
      </c>
      <c r="J485" s="42">
        <v>61</v>
      </c>
      <c r="K485" s="43">
        <v>234990</v>
      </c>
    </row>
    <row r="486" spans="1:11" x14ac:dyDescent="0.25">
      <c r="A486" s="38">
        <v>46020</v>
      </c>
      <c r="B486" s="33" t="s">
        <v>841</v>
      </c>
      <c r="C486" s="36" t="s">
        <v>258</v>
      </c>
      <c r="D486" s="34" t="s">
        <v>561</v>
      </c>
      <c r="E486" s="34"/>
      <c r="F486" s="37">
        <v>234990</v>
      </c>
      <c r="G486" s="37">
        <v>234990</v>
      </c>
      <c r="H486" s="38">
        <v>46020</v>
      </c>
      <c r="I486" s="38" t="s">
        <v>1798</v>
      </c>
      <c r="J486" s="42">
        <v>61</v>
      </c>
      <c r="K486" s="43">
        <v>234990</v>
      </c>
    </row>
    <row r="487" spans="1:11" x14ac:dyDescent="0.25">
      <c r="A487" s="38">
        <v>46021</v>
      </c>
      <c r="B487" s="33" t="s">
        <v>842</v>
      </c>
      <c r="C487" s="36" t="s">
        <v>62</v>
      </c>
      <c r="D487" s="34" t="s">
        <v>561</v>
      </c>
      <c r="E487" s="34"/>
      <c r="F487" s="37">
        <v>79387</v>
      </c>
      <c r="G487" s="37">
        <v>79387</v>
      </c>
      <c r="H487" s="38">
        <v>46081</v>
      </c>
      <c r="I487" s="38" t="s">
        <v>1796</v>
      </c>
      <c r="J487" s="42">
        <v>0</v>
      </c>
      <c r="K487" s="43">
        <v>79387</v>
      </c>
    </row>
    <row r="488" spans="1:11" x14ac:dyDescent="0.25">
      <c r="A488" s="38">
        <v>46021</v>
      </c>
      <c r="B488" s="33" t="s">
        <v>843</v>
      </c>
      <c r="C488" s="36" t="s">
        <v>62</v>
      </c>
      <c r="D488" s="34" t="s">
        <v>561</v>
      </c>
      <c r="E488" s="34"/>
      <c r="F488" s="37">
        <v>80353</v>
      </c>
      <c r="G488" s="37">
        <v>80353</v>
      </c>
      <c r="H488" s="38">
        <v>46081</v>
      </c>
      <c r="I488" s="38" t="s">
        <v>1796</v>
      </c>
      <c r="J488" s="42">
        <v>0</v>
      </c>
      <c r="K488" s="43">
        <v>80353</v>
      </c>
    </row>
    <row r="489" spans="1:11" x14ac:dyDescent="0.25">
      <c r="A489" s="38">
        <v>46021</v>
      </c>
      <c r="B489" s="33" t="s">
        <v>844</v>
      </c>
      <c r="C489" s="36" t="s">
        <v>63</v>
      </c>
      <c r="D489" s="34" t="s">
        <v>561</v>
      </c>
      <c r="E489" s="34"/>
      <c r="F489" s="37">
        <v>72570</v>
      </c>
      <c r="G489" s="37">
        <v>71340</v>
      </c>
      <c r="H489" s="38">
        <v>46021</v>
      </c>
      <c r="I489" s="38" t="s">
        <v>1797</v>
      </c>
      <c r="J489" s="42">
        <v>60</v>
      </c>
      <c r="K489" s="43">
        <v>71340</v>
      </c>
    </row>
    <row r="490" spans="1:11" x14ac:dyDescent="0.25">
      <c r="A490" s="38">
        <v>46021</v>
      </c>
      <c r="B490" s="33" t="s">
        <v>845</v>
      </c>
      <c r="C490" s="36" t="s">
        <v>63</v>
      </c>
      <c r="D490" s="34" t="s">
        <v>561</v>
      </c>
      <c r="E490" s="34"/>
      <c r="F490" s="37">
        <v>84665</v>
      </c>
      <c r="G490" s="37">
        <v>83230</v>
      </c>
      <c r="H490" s="38">
        <v>46021</v>
      </c>
      <c r="I490" s="38" t="s">
        <v>1797</v>
      </c>
      <c r="J490" s="42">
        <v>60</v>
      </c>
      <c r="K490" s="43">
        <v>83230</v>
      </c>
    </row>
    <row r="491" spans="1:11" x14ac:dyDescent="0.25">
      <c r="A491" s="38">
        <v>46021</v>
      </c>
      <c r="B491" s="33" t="s">
        <v>846</v>
      </c>
      <c r="C491" s="36" t="s">
        <v>63</v>
      </c>
      <c r="D491" s="34" t="s">
        <v>561</v>
      </c>
      <c r="E491" s="34"/>
      <c r="F491" s="37">
        <v>72570</v>
      </c>
      <c r="G491" s="37">
        <v>71340</v>
      </c>
      <c r="H491" s="38">
        <v>46021</v>
      </c>
      <c r="I491" s="38" t="s">
        <v>1797</v>
      </c>
      <c r="J491" s="42">
        <v>60</v>
      </c>
      <c r="K491" s="43">
        <v>71340</v>
      </c>
    </row>
    <row r="492" spans="1:11" x14ac:dyDescent="0.25">
      <c r="A492" s="38">
        <v>46021</v>
      </c>
      <c r="B492" s="33" t="s">
        <v>847</v>
      </c>
      <c r="C492" s="36" t="s">
        <v>63</v>
      </c>
      <c r="D492" s="34" t="s">
        <v>561</v>
      </c>
      <c r="E492" s="34"/>
      <c r="F492" s="37">
        <v>84665</v>
      </c>
      <c r="G492" s="37">
        <v>83230</v>
      </c>
      <c r="H492" s="38">
        <v>46021</v>
      </c>
      <c r="I492" s="38" t="s">
        <v>1797</v>
      </c>
      <c r="J492" s="42">
        <v>60</v>
      </c>
      <c r="K492" s="43">
        <v>83230</v>
      </c>
    </row>
    <row r="493" spans="1:11" x14ac:dyDescent="0.25">
      <c r="A493" s="38">
        <v>46021</v>
      </c>
      <c r="B493" s="33" t="s">
        <v>848</v>
      </c>
      <c r="C493" s="36" t="s">
        <v>63</v>
      </c>
      <c r="D493" s="34" t="s">
        <v>561</v>
      </c>
      <c r="E493" s="34"/>
      <c r="F493" s="37">
        <v>84665</v>
      </c>
      <c r="G493" s="37">
        <v>83230</v>
      </c>
      <c r="H493" s="38">
        <v>46021</v>
      </c>
      <c r="I493" s="38" t="s">
        <v>1797</v>
      </c>
      <c r="J493" s="42">
        <v>60</v>
      </c>
      <c r="K493" s="43">
        <v>83230</v>
      </c>
    </row>
    <row r="494" spans="1:11" x14ac:dyDescent="0.25">
      <c r="A494" s="38">
        <v>46021</v>
      </c>
      <c r="B494" s="33" t="s">
        <v>849</v>
      </c>
      <c r="C494" s="36" t="s">
        <v>63</v>
      </c>
      <c r="D494" s="34" t="s">
        <v>561</v>
      </c>
      <c r="E494" s="34"/>
      <c r="F494" s="37">
        <v>72570</v>
      </c>
      <c r="G494" s="37">
        <v>71340</v>
      </c>
      <c r="H494" s="38">
        <v>46021</v>
      </c>
      <c r="I494" s="38" t="s">
        <v>1797</v>
      </c>
      <c r="J494" s="42">
        <v>60</v>
      </c>
      <c r="K494" s="43">
        <v>71340</v>
      </c>
    </row>
    <row r="495" spans="1:11" x14ac:dyDescent="0.25">
      <c r="A495" s="38">
        <v>46021</v>
      </c>
      <c r="B495" s="33" t="s">
        <v>850</v>
      </c>
      <c r="C495" s="36" t="s">
        <v>63</v>
      </c>
      <c r="D495" s="34" t="s">
        <v>561</v>
      </c>
      <c r="E495" s="34"/>
      <c r="F495" s="37">
        <v>84665</v>
      </c>
      <c r="G495" s="37">
        <v>83230</v>
      </c>
      <c r="H495" s="38">
        <v>46021</v>
      </c>
      <c r="I495" s="38" t="s">
        <v>1797</v>
      </c>
      <c r="J495" s="42">
        <v>60</v>
      </c>
      <c r="K495" s="43">
        <v>83230</v>
      </c>
    </row>
    <row r="496" spans="1:11" x14ac:dyDescent="0.25">
      <c r="A496" s="38">
        <v>46021</v>
      </c>
      <c r="B496" s="33" t="s">
        <v>851</v>
      </c>
      <c r="C496" s="36" t="s">
        <v>63</v>
      </c>
      <c r="D496" s="34" t="s">
        <v>412</v>
      </c>
      <c r="E496" s="34"/>
      <c r="F496" s="37">
        <v>107880</v>
      </c>
      <c r="G496" s="37">
        <v>107880</v>
      </c>
      <c r="H496" s="38">
        <v>46021</v>
      </c>
      <c r="I496" s="38" t="s">
        <v>1797</v>
      </c>
      <c r="J496" s="42">
        <v>60</v>
      </c>
      <c r="K496" s="43">
        <v>107880</v>
      </c>
    </row>
    <row r="497" spans="1:11" x14ac:dyDescent="0.25">
      <c r="A497" s="38">
        <v>46021</v>
      </c>
      <c r="B497" s="33" t="s">
        <v>852</v>
      </c>
      <c r="C497" s="36" t="s">
        <v>209</v>
      </c>
      <c r="D497" s="34" t="s">
        <v>561</v>
      </c>
      <c r="E497" s="34"/>
      <c r="F497" s="37">
        <v>76258.2</v>
      </c>
      <c r="G497" s="37">
        <v>76258.2</v>
      </c>
      <c r="H497" s="38">
        <v>46051</v>
      </c>
      <c r="I497" s="38" t="s">
        <v>1796</v>
      </c>
      <c r="J497" s="42">
        <v>30</v>
      </c>
      <c r="K497" s="43">
        <v>76258.2</v>
      </c>
    </row>
    <row r="498" spans="1:11" x14ac:dyDescent="0.25">
      <c r="A498" s="38">
        <v>46021</v>
      </c>
      <c r="B498" s="33" t="s">
        <v>853</v>
      </c>
      <c r="C498" s="36" t="s">
        <v>258</v>
      </c>
      <c r="D498" s="34" t="s">
        <v>561</v>
      </c>
      <c r="E498" s="34"/>
      <c r="F498" s="37">
        <v>234990</v>
      </c>
      <c r="G498" s="37">
        <v>234990</v>
      </c>
      <c r="H498" s="38">
        <v>46021</v>
      </c>
      <c r="I498" s="38" t="s">
        <v>1797</v>
      </c>
      <c r="J498" s="42">
        <v>60</v>
      </c>
      <c r="K498" s="43">
        <v>234990</v>
      </c>
    </row>
    <row r="499" spans="1:11" x14ac:dyDescent="0.25">
      <c r="A499" s="38">
        <v>46021</v>
      </c>
      <c r="B499" s="33" t="s">
        <v>854</v>
      </c>
      <c r="C499" s="36" t="s">
        <v>258</v>
      </c>
      <c r="D499" s="34" t="s">
        <v>561</v>
      </c>
      <c r="E499" s="34"/>
      <c r="F499" s="37">
        <v>268560</v>
      </c>
      <c r="G499" s="37">
        <v>268560</v>
      </c>
      <c r="H499" s="38">
        <v>46021</v>
      </c>
      <c r="I499" s="38" t="s">
        <v>1797</v>
      </c>
      <c r="J499" s="42">
        <v>60</v>
      </c>
      <c r="K499" s="43">
        <v>268560</v>
      </c>
    </row>
    <row r="500" spans="1:11" x14ac:dyDescent="0.25">
      <c r="A500" s="38">
        <v>46021</v>
      </c>
      <c r="B500" s="33" t="s">
        <v>855</v>
      </c>
      <c r="C500" s="36" t="s">
        <v>289</v>
      </c>
      <c r="D500" s="34" t="s">
        <v>412</v>
      </c>
      <c r="E500" s="34"/>
      <c r="F500" s="37">
        <v>895426</v>
      </c>
      <c r="G500" s="37">
        <v>895426</v>
      </c>
      <c r="H500" s="38">
        <v>46051</v>
      </c>
      <c r="I500" s="38" t="s">
        <v>1796</v>
      </c>
      <c r="J500" s="42">
        <v>30</v>
      </c>
      <c r="K500" s="43">
        <v>895426</v>
      </c>
    </row>
    <row r="501" spans="1:11" x14ac:dyDescent="0.25">
      <c r="A501" s="38">
        <v>46022</v>
      </c>
      <c r="B501" s="33" t="s">
        <v>856</v>
      </c>
      <c r="C501" s="36" t="s">
        <v>17</v>
      </c>
      <c r="D501" s="34" t="s">
        <v>373</v>
      </c>
      <c r="E501" s="34"/>
      <c r="F501" s="37">
        <v>114362.06</v>
      </c>
      <c r="G501" s="37">
        <v>114362.06</v>
      </c>
      <c r="H501" s="38">
        <v>46022</v>
      </c>
      <c r="I501" s="38" t="s">
        <v>1797</v>
      </c>
      <c r="J501" s="42">
        <v>59</v>
      </c>
      <c r="K501" s="43">
        <v>114362.06</v>
      </c>
    </row>
    <row r="502" spans="1:11" x14ac:dyDescent="0.25">
      <c r="A502" s="38">
        <v>46022</v>
      </c>
      <c r="B502" s="33" t="s">
        <v>857</v>
      </c>
      <c r="C502" s="36" t="s">
        <v>18</v>
      </c>
      <c r="D502" s="34" t="s">
        <v>373</v>
      </c>
      <c r="E502" s="34"/>
      <c r="F502" s="37">
        <v>8779</v>
      </c>
      <c r="G502" s="37">
        <v>8779</v>
      </c>
      <c r="H502" s="38">
        <v>46022</v>
      </c>
      <c r="I502" s="38" t="s">
        <v>1797</v>
      </c>
      <c r="J502" s="42">
        <v>59</v>
      </c>
      <c r="K502" s="43">
        <v>8779</v>
      </c>
    </row>
    <row r="503" spans="1:11" x14ac:dyDescent="0.25">
      <c r="A503" s="38">
        <v>46022</v>
      </c>
      <c r="B503" s="33" t="s">
        <v>858</v>
      </c>
      <c r="C503" s="36" t="s">
        <v>32</v>
      </c>
      <c r="D503" s="34" t="s">
        <v>426</v>
      </c>
      <c r="E503" s="34"/>
      <c r="F503" s="37">
        <v>413287.38</v>
      </c>
      <c r="G503" s="37">
        <v>413287.38</v>
      </c>
      <c r="H503" s="38">
        <v>46029</v>
      </c>
      <c r="I503" s="38" t="s">
        <v>1797</v>
      </c>
      <c r="J503" s="42">
        <v>52</v>
      </c>
      <c r="K503" s="43">
        <v>413287.38</v>
      </c>
    </row>
    <row r="504" spans="1:11" x14ac:dyDescent="0.25">
      <c r="A504" s="38">
        <v>46022</v>
      </c>
      <c r="B504" s="33" t="s">
        <v>859</v>
      </c>
      <c r="C504" s="36" t="s">
        <v>32</v>
      </c>
      <c r="D504" s="34" t="s">
        <v>426</v>
      </c>
      <c r="E504" s="34"/>
      <c r="F504" s="37">
        <v>258691.14</v>
      </c>
      <c r="G504" s="37">
        <v>258691.14</v>
      </c>
      <c r="H504" s="38">
        <v>46029</v>
      </c>
      <c r="I504" s="38" t="s">
        <v>1797</v>
      </c>
      <c r="J504" s="42">
        <v>52</v>
      </c>
      <c r="K504" s="43">
        <v>258691.14</v>
      </c>
    </row>
    <row r="505" spans="1:11" x14ac:dyDescent="0.25">
      <c r="A505" s="38">
        <v>46022</v>
      </c>
      <c r="B505" s="33" t="s">
        <v>860</v>
      </c>
      <c r="C505" s="36" t="s">
        <v>34</v>
      </c>
      <c r="D505" s="34" t="s">
        <v>8</v>
      </c>
      <c r="E505" s="34"/>
      <c r="F505" s="37">
        <v>1289</v>
      </c>
      <c r="G505" s="37">
        <v>1289</v>
      </c>
      <c r="H505" s="38">
        <v>46022</v>
      </c>
      <c r="I505" s="38" t="s">
        <v>1797</v>
      </c>
      <c r="J505" s="42">
        <v>59</v>
      </c>
      <c r="K505" s="43">
        <v>1289</v>
      </c>
    </row>
    <row r="506" spans="1:11" x14ac:dyDescent="0.25">
      <c r="A506" s="38">
        <v>46022</v>
      </c>
      <c r="B506" s="33" t="s">
        <v>861</v>
      </c>
      <c r="C506" s="36" t="s">
        <v>36</v>
      </c>
      <c r="D506" s="34" t="s">
        <v>402</v>
      </c>
      <c r="E506" s="34"/>
      <c r="F506" s="37">
        <v>289963.24</v>
      </c>
      <c r="G506" s="37">
        <v>289963.24</v>
      </c>
      <c r="H506" s="38">
        <v>46022</v>
      </c>
      <c r="I506" s="38" t="s">
        <v>1797</v>
      </c>
      <c r="J506" s="42">
        <v>59</v>
      </c>
      <c r="K506" s="43">
        <v>289963.24</v>
      </c>
    </row>
    <row r="507" spans="1:11" x14ac:dyDescent="0.25">
      <c r="A507" s="38">
        <v>46022</v>
      </c>
      <c r="B507" s="33" t="s">
        <v>862</v>
      </c>
      <c r="C507" s="36" t="s">
        <v>39</v>
      </c>
      <c r="D507" s="34" t="s">
        <v>616</v>
      </c>
      <c r="E507" s="34"/>
      <c r="F507" s="37">
        <v>284882</v>
      </c>
      <c r="G507" s="37">
        <v>284882</v>
      </c>
      <c r="H507" s="38">
        <v>46022</v>
      </c>
      <c r="I507" s="38" t="s">
        <v>1797</v>
      </c>
      <c r="J507" s="42">
        <v>59</v>
      </c>
      <c r="K507" s="43">
        <v>284882</v>
      </c>
    </row>
    <row r="508" spans="1:11" x14ac:dyDescent="0.25">
      <c r="A508" s="38">
        <v>46022</v>
      </c>
      <c r="B508" s="33" t="s">
        <v>863</v>
      </c>
      <c r="C508" s="36" t="s">
        <v>41</v>
      </c>
      <c r="D508" s="34" t="s">
        <v>449</v>
      </c>
      <c r="E508" s="34"/>
      <c r="F508" s="37">
        <v>324000</v>
      </c>
      <c r="G508" s="37">
        <v>60912</v>
      </c>
      <c r="H508" s="38">
        <v>46022</v>
      </c>
      <c r="I508" s="38" t="s">
        <v>1797</v>
      </c>
      <c r="J508" s="42">
        <v>59</v>
      </c>
      <c r="K508" s="43">
        <v>60912</v>
      </c>
    </row>
    <row r="509" spans="1:11" x14ac:dyDescent="0.25">
      <c r="A509" s="38">
        <v>46022</v>
      </c>
      <c r="B509" s="33" t="s">
        <v>864</v>
      </c>
      <c r="C509" s="36" t="s">
        <v>51</v>
      </c>
      <c r="D509" s="34" t="s">
        <v>412</v>
      </c>
      <c r="E509" s="34"/>
      <c r="F509" s="37">
        <v>117068.62</v>
      </c>
      <c r="G509" s="37">
        <v>117068.62</v>
      </c>
      <c r="H509" s="38">
        <v>46022</v>
      </c>
      <c r="I509" s="38" t="s">
        <v>1797</v>
      </c>
      <c r="J509" s="42">
        <v>59</v>
      </c>
      <c r="K509" s="43">
        <v>117068.62</v>
      </c>
    </row>
    <row r="510" spans="1:11" x14ac:dyDescent="0.25">
      <c r="A510" s="38">
        <v>46022</v>
      </c>
      <c r="B510" s="33" t="s">
        <v>865</v>
      </c>
      <c r="C510" s="36" t="s">
        <v>51</v>
      </c>
      <c r="D510" s="34" t="s">
        <v>412</v>
      </c>
      <c r="E510" s="34"/>
      <c r="F510" s="37">
        <v>190588.73</v>
      </c>
      <c r="G510" s="37">
        <v>190588.73</v>
      </c>
      <c r="H510" s="38">
        <v>46022</v>
      </c>
      <c r="I510" s="38" t="s">
        <v>1797</v>
      </c>
      <c r="J510" s="42">
        <v>59</v>
      </c>
      <c r="K510" s="43">
        <v>190588.73</v>
      </c>
    </row>
    <row r="511" spans="1:11" x14ac:dyDescent="0.25">
      <c r="A511" s="38">
        <v>46022</v>
      </c>
      <c r="B511" s="33" t="s">
        <v>866</v>
      </c>
      <c r="C511" s="36" t="s">
        <v>51</v>
      </c>
      <c r="D511" s="34" t="s">
        <v>412</v>
      </c>
      <c r="E511" s="34"/>
      <c r="F511" s="37">
        <v>134638.42000000001</v>
      </c>
      <c r="G511" s="37">
        <v>134638.42000000001</v>
      </c>
      <c r="H511" s="38">
        <v>46022</v>
      </c>
      <c r="I511" s="38" t="s">
        <v>1797</v>
      </c>
      <c r="J511" s="42">
        <v>59</v>
      </c>
      <c r="K511" s="43">
        <v>134638.42000000001</v>
      </c>
    </row>
    <row r="512" spans="1:11" x14ac:dyDescent="0.25">
      <c r="A512" s="38">
        <v>46022</v>
      </c>
      <c r="B512" s="33" t="s">
        <v>867</v>
      </c>
      <c r="C512" s="36" t="s">
        <v>62</v>
      </c>
      <c r="D512" s="34" t="s">
        <v>561</v>
      </c>
      <c r="E512" s="34"/>
      <c r="F512" s="37">
        <v>78447</v>
      </c>
      <c r="G512" s="37">
        <v>78447</v>
      </c>
      <c r="H512" s="38">
        <v>46082</v>
      </c>
      <c r="I512" s="38" t="s">
        <v>1797</v>
      </c>
      <c r="J512" s="42">
        <f>$I$1-A512</f>
        <v>59</v>
      </c>
      <c r="K512" s="43">
        <v>78447</v>
      </c>
    </row>
    <row r="513" spans="1:11" x14ac:dyDescent="0.25">
      <c r="A513" s="38">
        <v>46022</v>
      </c>
      <c r="B513" s="33" t="s">
        <v>868</v>
      </c>
      <c r="C513" s="36" t="s">
        <v>62</v>
      </c>
      <c r="D513" s="34" t="s">
        <v>561</v>
      </c>
      <c r="E513" s="34"/>
      <c r="F513" s="37">
        <v>77193</v>
      </c>
      <c r="G513" s="37">
        <v>77193</v>
      </c>
      <c r="H513" s="38">
        <v>46082</v>
      </c>
      <c r="I513" s="38" t="s">
        <v>1797</v>
      </c>
      <c r="J513" s="42">
        <f t="shared" ref="J513" si="0">$I$1-A513</f>
        <v>59</v>
      </c>
      <c r="K513" s="43">
        <v>77193</v>
      </c>
    </row>
    <row r="514" spans="1:11" x14ac:dyDescent="0.25">
      <c r="A514" s="38">
        <v>46022</v>
      </c>
      <c r="B514" s="33" t="s">
        <v>869</v>
      </c>
      <c r="C514" s="36" t="s">
        <v>63</v>
      </c>
      <c r="D514" s="34" t="s">
        <v>561</v>
      </c>
      <c r="E514" s="34"/>
      <c r="F514" s="37">
        <v>99120</v>
      </c>
      <c r="G514" s="37">
        <v>97440</v>
      </c>
      <c r="H514" s="38">
        <v>46022</v>
      </c>
      <c r="I514" s="38" t="s">
        <v>1797</v>
      </c>
      <c r="J514" s="42">
        <v>59</v>
      </c>
      <c r="K514" s="43">
        <v>97440</v>
      </c>
    </row>
    <row r="515" spans="1:11" x14ac:dyDescent="0.25">
      <c r="A515" s="38">
        <v>46022</v>
      </c>
      <c r="B515" s="33" t="s">
        <v>870</v>
      </c>
      <c r="C515" s="36" t="s">
        <v>63</v>
      </c>
      <c r="D515" s="34" t="s">
        <v>642</v>
      </c>
      <c r="E515" s="34"/>
      <c r="F515" s="37">
        <v>113100</v>
      </c>
      <c r="G515" s="37">
        <v>113100</v>
      </c>
      <c r="H515" s="38">
        <v>46022</v>
      </c>
      <c r="I515" s="38" t="s">
        <v>1797</v>
      </c>
      <c r="J515" s="42">
        <v>59</v>
      </c>
      <c r="K515" s="43">
        <v>113100</v>
      </c>
    </row>
    <row r="516" spans="1:11" x14ac:dyDescent="0.25">
      <c r="A516" s="38">
        <v>46022</v>
      </c>
      <c r="B516" s="33" t="s">
        <v>871</v>
      </c>
      <c r="C516" s="36" t="s">
        <v>63</v>
      </c>
      <c r="D516" s="34" t="s">
        <v>561</v>
      </c>
      <c r="E516" s="34"/>
      <c r="F516" s="37">
        <v>113280</v>
      </c>
      <c r="G516" s="37">
        <v>111360</v>
      </c>
      <c r="H516" s="38">
        <v>46022</v>
      </c>
      <c r="I516" s="38" t="s">
        <v>1797</v>
      </c>
      <c r="J516" s="42">
        <v>59</v>
      </c>
      <c r="K516" s="43">
        <v>111360</v>
      </c>
    </row>
    <row r="517" spans="1:11" x14ac:dyDescent="0.25">
      <c r="A517" s="38">
        <v>46022</v>
      </c>
      <c r="B517" s="33" t="s">
        <v>872</v>
      </c>
      <c r="C517" s="36" t="s">
        <v>63</v>
      </c>
      <c r="D517" s="34" t="s">
        <v>373</v>
      </c>
      <c r="E517" s="34"/>
      <c r="F517" s="37">
        <v>170520</v>
      </c>
      <c r="G517" s="37">
        <v>511560</v>
      </c>
      <c r="H517" s="38">
        <v>46022</v>
      </c>
      <c r="I517" s="38" t="s">
        <v>1797</v>
      </c>
      <c r="J517" s="42">
        <v>59</v>
      </c>
      <c r="K517" s="43">
        <v>511560</v>
      </c>
    </row>
    <row r="518" spans="1:11" x14ac:dyDescent="0.25">
      <c r="A518" s="38">
        <v>46022</v>
      </c>
      <c r="B518" s="33" t="s">
        <v>873</v>
      </c>
      <c r="C518" s="36" t="s">
        <v>63</v>
      </c>
      <c r="D518" s="34" t="s">
        <v>373</v>
      </c>
      <c r="E518" s="34"/>
      <c r="F518" s="37">
        <v>170520</v>
      </c>
      <c r="G518" s="37">
        <v>170520</v>
      </c>
      <c r="H518" s="38">
        <v>46022</v>
      </c>
      <c r="I518" s="38" t="s">
        <v>1797</v>
      </c>
      <c r="J518" s="42">
        <v>59</v>
      </c>
      <c r="K518" s="43">
        <v>170520</v>
      </c>
    </row>
    <row r="519" spans="1:11" x14ac:dyDescent="0.25">
      <c r="A519" s="38">
        <v>46022</v>
      </c>
      <c r="B519" s="33" t="s">
        <v>874</v>
      </c>
      <c r="C519" s="36" t="s">
        <v>63</v>
      </c>
      <c r="D519" s="34" t="s">
        <v>373</v>
      </c>
      <c r="E519" s="34"/>
      <c r="F519" s="37">
        <v>121800</v>
      </c>
      <c r="G519" s="37">
        <v>121800</v>
      </c>
      <c r="H519" s="38">
        <v>46022</v>
      </c>
      <c r="I519" s="38" t="s">
        <v>1797</v>
      </c>
      <c r="J519" s="42">
        <v>59</v>
      </c>
      <c r="K519" s="43">
        <v>121800</v>
      </c>
    </row>
    <row r="520" spans="1:11" x14ac:dyDescent="0.25">
      <c r="A520" s="38">
        <v>46022</v>
      </c>
      <c r="B520" s="33" t="s">
        <v>875</v>
      </c>
      <c r="C520" s="36" t="s">
        <v>63</v>
      </c>
      <c r="D520" s="34" t="s">
        <v>373</v>
      </c>
      <c r="E520" s="34"/>
      <c r="F520" s="37">
        <v>146160</v>
      </c>
      <c r="G520" s="37">
        <v>146160</v>
      </c>
      <c r="H520" s="38">
        <v>46022</v>
      </c>
      <c r="I520" s="38" t="s">
        <v>1797</v>
      </c>
      <c r="J520" s="42">
        <v>59</v>
      </c>
      <c r="K520" s="43">
        <v>146160</v>
      </c>
    </row>
    <row r="521" spans="1:11" x14ac:dyDescent="0.25">
      <c r="A521" s="38">
        <v>46022</v>
      </c>
      <c r="B521" s="33" t="s">
        <v>876</v>
      </c>
      <c r="C521" s="36" t="s">
        <v>63</v>
      </c>
      <c r="D521" s="34" t="s">
        <v>373</v>
      </c>
      <c r="E521" s="34"/>
      <c r="F521" s="37">
        <v>22040</v>
      </c>
      <c r="G521" s="37">
        <v>22040</v>
      </c>
      <c r="H521" s="38">
        <v>46022</v>
      </c>
      <c r="I521" s="38" t="s">
        <v>1797</v>
      </c>
      <c r="J521" s="42">
        <v>59</v>
      </c>
      <c r="K521" s="43">
        <v>22040</v>
      </c>
    </row>
    <row r="522" spans="1:11" x14ac:dyDescent="0.25">
      <c r="A522" s="38">
        <v>46022</v>
      </c>
      <c r="B522" s="33" t="s">
        <v>877</v>
      </c>
      <c r="C522" s="36" t="s">
        <v>63</v>
      </c>
      <c r="D522" s="34" t="s">
        <v>373</v>
      </c>
      <c r="E522" s="34"/>
      <c r="F522" s="37">
        <v>125860</v>
      </c>
      <c r="G522" s="37">
        <v>125860</v>
      </c>
      <c r="H522" s="38">
        <v>46022</v>
      </c>
      <c r="I522" s="38" t="s">
        <v>1797</v>
      </c>
      <c r="J522" s="42">
        <v>59</v>
      </c>
      <c r="K522" s="43">
        <v>125860</v>
      </c>
    </row>
    <row r="523" spans="1:11" x14ac:dyDescent="0.25">
      <c r="A523" s="38">
        <v>46022</v>
      </c>
      <c r="B523" s="33" t="s">
        <v>878</v>
      </c>
      <c r="C523" s="36" t="s">
        <v>75</v>
      </c>
      <c r="D523" s="34" t="s">
        <v>373</v>
      </c>
      <c r="E523" s="34"/>
      <c r="F523" s="37">
        <v>6090</v>
      </c>
      <c r="G523" s="37">
        <v>6090</v>
      </c>
      <c r="H523" s="38">
        <v>46022</v>
      </c>
      <c r="I523" s="38" t="s">
        <v>1797</v>
      </c>
      <c r="J523" s="42">
        <v>59</v>
      </c>
      <c r="K523" s="43">
        <v>6090</v>
      </c>
    </row>
    <row r="524" spans="1:11" x14ac:dyDescent="0.25">
      <c r="A524" s="38">
        <v>46022</v>
      </c>
      <c r="B524" s="33" t="s">
        <v>879</v>
      </c>
      <c r="C524" s="36" t="s">
        <v>85</v>
      </c>
      <c r="D524" s="34" t="s">
        <v>412</v>
      </c>
      <c r="E524" s="34"/>
      <c r="F524" s="37">
        <v>10530</v>
      </c>
      <c r="G524" s="37">
        <v>10530</v>
      </c>
      <c r="H524" s="38">
        <v>46022</v>
      </c>
      <c r="I524" s="38" t="s">
        <v>1797</v>
      </c>
      <c r="J524" s="42">
        <v>59</v>
      </c>
      <c r="K524" s="43">
        <v>10530</v>
      </c>
    </row>
    <row r="525" spans="1:11" x14ac:dyDescent="0.25">
      <c r="A525" s="38">
        <v>46022</v>
      </c>
      <c r="B525" s="33" t="s">
        <v>880</v>
      </c>
      <c r="C525" s="36" t="s">
        <v>85</v>
      </c>
      <c r="D525" s="34" t="s">
        <v>433</v>
      </c>
      <c r="E525" s="34"/>
      <c r="F525" s="37">
        <v>96280</v>
      </c>
      <c r="G525" s="37">
        <v>87094</v>
      </c>
      <c r="H525" s="38">
        <v>46022</v>
      </c>
      <c r="I525" s="38" t="s">
        <v>1797</v>
      </c>
      <c r="J525" s="42">
        <v>59</v>
      </c>
      <c r="K525" s="43">
        <v>87094</v>
      </c>
    </row>
    <row r="526" spans="1:11" x14ac:dyDescent="0.25">
      <c r="A526" s="38">
        <v>46022</v>
      </c>
      <c r="B526" s="33" t="s">
        <v>881</v>
      </c>
      <c r="C526" s="36" t="s">
        <v>101</v>
      </c>
      <c r="D526" s="34" t="s">
        <v>373</v>
      </c>
      <c r="E526" s="34"/>
      <c r="F526" s="37">
        <v>710360</v>
      </c>
      <c r="G526" s="37">
        <v>710360</v>
      </c>
      <c r="H526" s="38">
        <v>46022</v>
      </c>
      <c r="I526" s="38" t="s">
        <v>1797</v>
      </c>
      <c r="J526" s="42">
        <v>59</v>
      </c>
      <c r="K526" s="43">
        <v>710360</v>
      </c>
    </row>
    <row r="527" spans="1:11" x14ac:dyDescent="0.25">
      <c r="A527" s="38">
        <v>46022</v>
      </c>
      <c r="B527" s="33" t="s">
        <v>882</v>
      </c>
      <c r="C527" s="36" t="s">
        <v>145</v>
      </c>
      <c r="D527" s="34" t="s">
        <v>373</v>
      </c>
      <c r="E527" s="34"/>
      <c r="F527" s="37">
        <v>212400</v>
      </c>
      <c r="G527" s="37">
        <v>212400</v>
      </c>
      <c r="H527" s="38">
        <v>46022</v>
      </c>
      <c r="I527" s="38" t="s">
        <v>1797</v>
      </c>
      <c r="J527" s="42">
        <v>59</v>
      </c>
      <c r="K527" s="43">
        <v>212400</v>
      </c>
    </row>
    <row r="528" spans="1:11" x14ac:dyDescent="0.25">
      <c r="A528" s="38">
        <v>46022</v>
      </c>
      <c r="B528" s="33" t="s">
        <v>883</v>
      </c>
      <c r="C528" s="36" t="s">
        <v>154</v>
      </c>
      <c r="D528" s="34" t="s">
        <v>402</v>
      </c>
      <c r="E528" s="34"/>
      <c r="F528" s="37">
        <v>94867.13</v>
      </c>
      <c r="G528" s="37">
        <v>94867.13</v>
      </c>
      <c r="H528" s="38">
        <v>46082</v>
      </c>
      <c r="I528" s="38" t="s">
        <v>1797</v>
      </c>
      <c r="J528" s="42">
        <f>$I$1-A528</f>
        <v>59</v>
      </c>
      <c r="K528" s="43">
        <v>94867.13</v>
      </c>
    </row>
    <row r="529" spans="1:11" x14ac:dyDescent="0.25">
      <c r="A529" s="38">
        <v>46022</v>
      </c>
      <c r="B529" s="33" t="s">
        <v>884</v>
      </c>
      <c r="C529" s="36" t="s">
        <v>154</v>
      </c>
      <c r="D529" s="34" t="s">
        <v>426</v>
      </c>
      <c r="E529" s="34"/>
      <c r="F529" s="37">
        <v>83153.960000000006</v>
      </c>
      <c r="G529" s="37">
        <v>83153.960000000006</v>
      </c>
      <c r="H529" s="38">
        <v>46022</v>
      </c>
      <c r="I529" s="38" t="s">
        <v>1797</v>
      </c>
      <c r="J529" s="42">
        <v>59</v>
      </c>
      <c r="K529" s="43">
        <v>83153.960000000006</v>
      </c>
    </row>
    <row r="530" spans="1:11" x14ac:dyDescent="0.25">
      <c r="A530" s="38">
        <v>46022</v>
      </c>
      <c r="B530" s="33" t="s">
        <v>885</v>
      </c>
      <c r="C530" s="36" t="s">
        <v>154</v>
      </c>
      <c r="D530" s="34" t="s">
        <v>373</v>
      </c>
      <c r="E530" s="34"/>
      <c r="F530" s="37">
        <v>29900.17</v>
      </c>
      <c r="G530" s="37">
        <v>29900.17</v>
      </c>
      <c r="H530" s="38">
        <v>46082</v>
      </c>
      <c r="I530" s="38" t="s">
        <v>1797</v>
      </c>
      <c r="J530" s="42">
        <f>$I$1-A530</f>
        <v>59</v>
      </c>
      <c r="K530" s="43">
        <v>29900.17</v>
      </c>
    </row>
    <row r="531" spans="1:11" x14ac:dyDescent="0.25">
      <c r="A531" s="38">
        <v>46022</v>
      </c>
      <c r="B531" s="33" t="s">
        <v>886</v>
      </c>
      <c r="C531" s="36" t="s">
        <v>163</v>
      </c>
      <c r="D531" s="34" t="s">
        <v>433</v>
      </c>
      <c r="E531" s="34"/>
      <c r="F531" s="37">
        <v>230100</v>
      </c>
      <c r="G531" s="37">
        <v>230100</v>
      </c>
      <c r="H531" s="38">
        <v>46052</v>
      </c>
      <c r="I531" s="38" t="s">
        <v>1796</v>
      </c>
      <c r="J531" s="42">
        <v>29</v>
      </c>
      <c r="K531" s="43">
        <v>230100</v>
      </c>
    </row>
    <row r="532" spans="1:11" x14ac:dyDescent="0.25">
      <c r="A532" s="38">
        <v>46022</v>
      </c>
      <c r="B532" s="33" t="s">
        <v>543</v>
      </c>
      <c r="C532" s="36" t="s">
        <v>163</v>
      </c>
      <c r="D532" s="34" t="s">
        <v>433</v>
      </c>
      <c r="E532" s="34"/>
      <c r="F532" s="37">
        <v>230100</v>
      </c>
      <c r="G532" s="37">
        <v>230100</v>
      </c>
      <c r="H532" s="38">
        <v>46052</v>
      </c>
      <c r="I532" s="38" t="s">
        <v>1796</v>
      </c>
      <c r="J532" s="42">
        <v>29</v>
      </c>
      <c r="K532" s="43">
        <v>230100</v>
      </c>
    </row>
    <row r="533" spans="1:11" x14ac:dyDescent="0.25">
      <c r="A533" s="38">
        <v>46022</v>
      </c>
      <c r="B533" s="33" t="s">
        <v>887</v>
      </c>
      <c r="C533" s="36" t="s">
        <v>168</v>
      </c>
      <c r="D533" s="34" t="s">
        <v>412</v>
      </c>
      <c r="E533" s="34"/>
      <c r="F533" s="37">
        <v>67341</v>
      </c>
      <c r="G533" s="37">
        <v>67341</v>
      </c>
      <c r="H533" s="38">
        <v>46022</v>
      </c>
      <c r="I533" s="38" t="s">
        <v>1797</v>
      </c>
      <c r="J533" s="42">
        <v>59</v>
      </c>
      <c r="K533" s="43">
        <v>67341</v>
      </c>
    </row>
    <row r="534" spans="1:11" x14ac:dyDescent="0.25">
      <c r="A534" s="38">
        <v>46022</v>
      </c>
      <c r="B534" s="33" t="s">
        <v>888</v>
      </c>
      <c r="C534" s="36" t="s">
        <v>172</v>
      </c>
      <c r="D534" s="34" t="s">
        <v>412</v>
      </c>
      <c r="E534" s="34"/>
      <c r="F534" s="37">
        <v>14671</v>
      </c>
      <c r="G534" s="37">
        <v>14671</v>
      </c>
      <c r="H534" s="38">
        <v>46022</v>
      </c>
      <c r="I534" s="38" t="s">
        <v>1797</v>
      </c>
      <c r="J534" s="42">
        <v>59</v>
      </c>
      <c r="K534" s="43">
        <v>14671</v>
      </c>
    </row>
    <row r="535" spans="1:11" x14ac:dyDescent="0.25">
      <c r="A535" s="38">
        <v>46022</v>
      </c>
      <c r="B535" s="33" t="s">
        <v>889</v>
      </c>
      <c r="C535" s="36" t="s">
        <v>172</v>
      </c>
      <c r="D535" s="34" t="s">
        <v>412</v>
      </c>
      <c r="E535" s="34"/>
      <c r="F535" s="37">
        <v>4775</v>
      </c>
      <c r="G535" s="37">
        <v>4775</v>
      </c>
      <c r="H535" s="38">
        <v>46022</v>
      </c>
      <c r="I535" s="38" t="s">
        <v>1797</v>
      </c>
      <c r="J535" s="42">
        <v>59</v>
      </c>
      <c r="K535" s="43">
        <v>4775</v>
      </c>
    </row>
    <row r="536" spans="1:11" x14ac:dyDescent="0.25">
      <c r="A536" s="38">
        <v>46022</v>
      </c>
      <c r="B536" s="33" t="s">
        <v>890</v>
      </c>
      <c r="C536" s="36" t="s">
        <v>172</v>
      </c>
      <c r="D536" s="34" t="s">
        <v>373</v>
      </c>
      <c r="E536" s="34"/>
      <c r="F536" s="37">
        <v>53109.440000000002</v>
      </c>
      <c r="G536" s="37">
        <v>53109.440000000002</v>
      </c>
      <c r="H536" s="38">
        <v>46022</v>
      </c>
      <c r="I536" s="38" t="s">
        <v>1797</v>
      </c>
      <c r="J536" s="42">
        <v>59</v>
      </c>
      <c r="K536" s="43">
        <v>53109.440000000002</v>
      </c>
    </row>
    <row r="537" spans="1:11" x14ac:dyDescent="0.25">
      <c r="A537" s="38">
        <v>46022</v>
      </c>
      <c r="B537" s="33" t="s">
        <v>891</v>
      </c>
      <c r="C537" s="36" t="s">
        <v>172</v>
      </c>
      <c r="D537" s="34" t="s">
        <v>341</v>
      </c>
      <c r="E537" s="34"/>
      <c r="F537" s="37">
        <v>84778</v>
      </c>
      <c r="G537" s="37">
        <v>84778</v>
      </c>
      <c r="H537" s="38">
        <v>46022</v>
      </c>
      <c r="I537" s="38" t="s">
        <v>1797</v>
      </c>
      <c r="J537" s="42">
        <v>59</v>
      </c>
      <c r="K537" s="43">
        <v>84778</v>
      </c>
    </row>
    <row r="538" spans="1:11" x14ac:dyDescent="0.25">
      <c r="A538" s="38">
        <v>46022</v>
      </c>
      <c r="B538" s="33" t="s">
        <v>892</v>
      </c>
      <c r="C538" s="36" t="s">
        <v>172</v>
      </c>
      <c r="D538" s="34" t="s">
        <v>341</v>
      </c>
      <c r="E538" s="34"/>
      <c r="F538" s="37">
        <v>81945.100000000006</v>
      </c>
      <c r="G538" s="37">
        <v>81945.100000000006</v>
      </c>
      <c r="H538" s="38">
        <v>46022</v>
      </c>
      <c r="I538" s="38" t="s">
        <v>1797</v>
      </c>
      <c r="J538" s="42">
        <v>59</v>
      </c>
      <c r="K538" s="43">
        <v>81945.100000000006</v>
      </c>
    </row>
    <row r="539" spans="1:11" x14ac:dyDescent="0.25">
      <c r="A539" s="38">
        <v>46022</v>
      </c>
      <c r="B539" s="33" t="s">
        <v>893</v>
      </c>
      <c r="C539" s="36" t="s">
        <v>183</v>
      </c>
      <c r="D539" s="34" t="s">
        <v>393</v>
      </c>
      <c r="E539" s="34"/>
      <c r="F539" s="37">
        <v>89317</v>
      </c>
      <c r="G539" s="37">
        <v>89317</v>
      </c>
      <c r="H539" s="38">
        <v>46022</v>
      </c>
      <c r="I539" s="38" t="s">
        <v>1797</v>
      </c>
      <c r="J539" s="42">
        <v>59</v>
      </c>
      <c r="K539" s="43">
        <v>89317</v>
      </c>
    </row>
    <row r="540" spans="1:11" x14ac:dyDescent="0.25">
      <c r="A540" s="38">
        <v>46022</v>
      </c>
      <c r="B540" s="33" t="s">
        <v>894</v>
      </c>
      <c r="C540" s="36" t="s">
        <v>200</v>
      </c>
      <c r="D540" s="34" t="s">
        <v>352</v>
      </c>
      <c r="E540" s="34"/>
      <c r="F540" s="37">
        <v>42480</v>
      </c>
      <c r="G540" s="37">
        <v>42480</v>
      </c>
      <c r="H540" s="38">
        <v>46022</v>
      </c>
      <c r="I540" s="38" t="s">
        <v>1797</v>
      </c>
      <c r="J540" s="42">
        <v>59</v>
      </c>
      <c r="K540" s="43">
        <v>42480</v>
      </c>
    </row>
    <row r="541" spans="1:11" x14ac:dyDescent="0.25">
      <c r="A541" s="38">
        <v>46022</v>
      </c>
      <c r="B541" s="33" t="s">
        <v>895</v>
      </c>
      <c r="C541" s="36" t="s">
        <v>200</v>
      </c>
      <c r="D541" s="34" t="s">
        <v>352</v>
      </c>
      <c r="E541" s="34"/>
      <c r="F541" s="37">
        <v>42480</v>
      </c>
      <c r="G541" s="37">
        <v>42480</v>
      </c>
      <c r="H541" s="38">
        <v>46022</v>
      </c>
      <c r="I541" s="38" t="s">
        <v>1797</v>
      </c>
      <c r="J541" s="42">
        <v>59</v>
      </c>
      <c r="K541" s="43">
        <v>42480</v>
      </c>
    </row>
    <row r="542" spans="1:11" x14ac:dyDescent="0.25">
      <c r="A542" s="38">
        <v>46022</v>
      </c>
      <c r="B542" s="33" t="s">
        <v>896</v>
      </c>
      <c r="C542" s="36" t="s">
        <v>200</v>
      </c>
      <c r="D542" s="34" t="s">
        <v>352</v>
      </c>
      <c r="E542" s="34"/>
      <c r="F542" s="37">
        <v>42480</v>
      </c>
      <c r="G542" s="37">
        <v>42480</v>
      </c>
      <c r="H542" s="38">
        <v>46022</v>
      </c>
      <c r="I542" s="38" t="s">
        <v>1797</v>
      </c>
      <c r="J542" s="42">
        <v>59</v>
      </c>
      <c r="K542" s="43">
        <v>42480</v>
      </c>
    </row>
    <row r="543" spans="1:11" x14ac:dyDescent="0.25">
      <c r="A543" s="38">
        <v>46022</v>
      </c>
      <c r="B543" s="33" t="s">
        <v>897</v>
      </c>
      <c r="C543" s="36" t="s">
        <v>202</v>
      </c>
      <c r="D543" s="34" t="s">
        <v>449</v>
      </c>
      <c r="E543" s="34"/>
      <c r="F543" s="37">
        <v>985730</v>
      </c>
      <c r="G543" s="37">
        <v>985730</v>
      </c>
      <c r="H543" s="38">
        <v>46022</v>
      </c>
      <c r="I543" s="38" t="s">
        <v>1797</v>
      </c>
      <c r="J543" s="42">
        <v>59</v>
      </c>
      <c r="K543" s="43">
        <v>985730</v>
      </c>
    </row>
    <row r="544" spans="1:11" x14ac:dyDescent="0.25">
      <c r="A544" s="38">
        <v>46022</v>
      </c>
      <c r="B544" s="33" t="s">
        <v>898</v>
      </c>
      <c r="C544" s="36" t="s">
        <v>203</v>
      </c>
      <c r="D544" s="34" t="s">
        <v>435</v>
      </c>
      <c r="E544" s="34"/>
      <c r="F544" s="37">
        <v>375991.9</v>
      </c>
      <c r="G544" s="37">
        <v>375991.9</v>
      </c>
      <c r="H544" s="38">
        <v>46052</v>
      </c>
      <c r="I544" s="38" t="s">
        <v>1796</v>
      </c>
      <c r="J544" s="42">
        <v>29</v>
      </c>
      <c r="K544" s="43">
        <v>375991.9</v>
      </c>
    </row>
    <row r="545" spans="1:11" x14ac:dyDescent="0.25">
      <c r="A545" s="38">
        <v>46022</v>
      </c>
      <c r="B545" s="33" t="s">
        <v>899</v>
      </c>
      <c r="C545" s="36" t="s">
        <v>203</v>
      </c>
      <c r="D545" s="34" t="s">
        <v>433</v>
      </c>
      <c r="E545" s="34"/>
      <c r="F545" s="37">
        <v>470229.6</v>
      </c>
      <c r="G545" s="37">
        <v>470229.6</v>
      </c>
      <c r="H545" s="38">
        <v>46022</v>
      </c>
      <c r="I545" s="38" t="s">
        <v>1797</v>
      </c>
      <c r="J545" s="42">
        <v>59</v>
      </c>
      <c r="K545" s="43">
        <v>470229.6</v>
      </c>
    </row>
    <row r="546" spans="1:11" x14ac:dyDescent="0.25">
      <c r="A546" s="38">
        <v>46022</v>
      </c>
      <c r="B546" s="33" t="s">
        <v>900</v>
      </c>
      <c r="C546" s="36" t="s">
        <v>203</v>
      </c>
      <c r="D546" s="34" t="s">
        <v>412</v>
      </c>
      <c r="E546" s="34"/>
      <c r="F546" s="37">
        <v>22680</v>
      </c>
      <c r="G546" s="37">
        <v>22680</v>
      </c>
      <c r="H546" s="38">
        <v>46022</v>
      </c>
      <c r="I546" s="38" t="s">
        <v>1797</v>
      </c>
      <c r="J546" s="42">
        <v>59</v>
      </c>
      <c r="K546" s="43">
        <v>22680</v>
      </c>
    </row>
    <row r="547" spans="1:11" x14ac:dyDescent="0.25">
      <c r="A547" s="38">
        <v>46022</v>
      </c>
      <c r="B547" s="33" t="s">
        <v>901</v>
      </c>
      <c r="C547" s="36" t="s">
        <v>207</v>
      </c>
      <c r="D547" s="34" t="s">
        <v>379</v>
      </c>
      <c r="E547" s="34"/>
      <c r="F547" s="37">
        <v>78487.5</v>
      </c>
      <c r="G547" s="37">
        <v>78487.5</v>
      </c>
      <c r="H547" s="38">
        <v>46052</v>
      </c>
      <c r="I547" s="38" t="s">
        <v>1796</v>
      </c>
      <c r="J547" s="42">
        <v>29</v>
      </c>
      <c r="K547" s="43">
        <v>78487.5</v>
      </c>
    </row>
    <row r="548" spans="1:11" x14ac:dyDescent="0.25">
      <c r="A548" s="38">
        <v>46022</v>
      </c>
      <c r="B548" s="33" t="s">
        <v>902</v>
      </c>
      <c r="C548" s="36" t="s">
        <v>207</v>
      </c>
      <c r="D548" s="34" t="s">
        <v>379</v>
      </c>
      <c r="E548" s="34"/>
      <c r="F548" s="37">
        <v>180521.26</v>
      </c>
      <c r="G548" s="37">
        <v>180521.26</v>
      </c>
      <c r="H548" s="38">
        <v>46052</v>
      </c>
      <c r="I548" s="38" t="s">
        <v>1796</v>
      </c>
      <c r="J548" s="42">
        <v>29</v>
      </c>
      <c r="K548" s="43">
        <v>180521.26</v>
      </c>
    </row>
    <row r="549" spans="1:11" x14ac:dyDescent="0.25">
      <c r="A549" s="38">
        <v>46022</v>
      </c>
      <c r="B549" s="33" t="s">
        <v>903</v>
      </c>
      <c r="C549" s="36" t="s">
        <v>207</v>
      </c>
      <c r="D549" s="34" t="s">
        <v>379</v>
      </c>
      <c r="E549" s="34"/>
      <c r="F549" s="37">
        <v>47092.5</v>
      </c>
      <c r="G549" s="37">
        <v>47092.5</v>
      </c>
      <c r="H549" s="38">
        <v>46052</v>
      </c>
      <c r="I549" s="38" t="s">
        <v>1796</v>
      </c>
      <c r="J549" s="42">
        <v>29</v>
      </c>
      <c r="K549" s="43">
        <v>47092.5</v>
      </c>
    </row>
    <row r="550" spans="1:11" x14ac:dyDescent="0.25">
      <c r="A550" s="38">
        <v>46022</v>
      </c>
      <c r="B550" s="33" t="s">
        <v>904</v>
      </c>
      <c r="C550" s="36" t="s">
        <v>207</v>
      </c>
      <c r="D550" s="34" t="s">
        <v>379</v>
      </c>
      <c r="E550" s="34"/>
      <c r="F550" s="37">
        <v>156975</v>
      </c>
      <c r="G550" s="37">
        <v>156975</v>
      </c>
      <c r="H550" s="38">
        <v>46052</v>
      </c>
      <c r="I550" s="38" t="s">
        <v>1796</v>
      </c>
      <c r="J550" s="42">
        <v>29</v>
      </c>
      <c r="K550" s="43">
        <v>156975</v>
      </c>
    </row>
    <row r="551" spans="1:11" x14ac:dyDescent="0.25">
      <c r="A551" s="38">
        <v>46022</v>
      </c>
      <c r="B551" s="33" t="s">
        <v>905</v>
      </c>
      <c r="C551" s="36" t="s">
        <v>207</v>
      </c>
      <c r="D551" s="34" t="s">
        <v>379</v>
      </c>
      <c r="E551" s="34"/>
      <c r="F551" s="37">
        <v>350839.12</v>
      </c>
      <c r="G551" s="37">
        <v>350839.12</v>
      </c>
      <c r="H551" s="38">
        <v>46052</v>
      </c>
      <c r="I551" s="38" t="s">
        <v>1796</v>
      </c>
      <c r="J551" s="42">
        <v>29</v>
      </c>
      <c r="K551" s="43">
        <v>350839.12</v>
      </c>
    </row>
    <row r="552" spans="1:11" x14ac:dyDescent="0.25">
      <c r="A552" s="38">
        <v>46022</v>
      </c>
      <c r="B552" s="33" t="s">
        <v>906</v>
      </c>
      <c r="C552" s="36" t="s">
        <v>213</v>
      </c>
      <c r="D552" s="34" t="s">
        <v>341</v>
      </c>
      <c r="E552" s="34"/>
      <c r="F552" s="37">
        <v>46135.360000000001</v>
      </c>
      <c r="G552" s="37">
        <v>46135.360000000001</v>
      </c>
      <c r="H552" s="38">
        <v>46022</v>
      </c>
      <c r="I552" s="38" t="s">
        <v>1797</v>
      </c>
      <c r="J552" s="42">
        <v>59</v>
      </c>
      <c r="K552" s="43">
        <v>46135.360000000001</v>
      </c>
    </row>
    <row r="553" spans="1:11" x14ac:dyDescent="0.25">
      <c r="A553" s="38">
        <v>46022</v>
      </c>
      <c r="B553" s="33" t="s">
        <v>907</v>
      </c>
      <c r="C553" s="36" t="s">
        <v>216</v>
      </c>
      <c r="D553" s="34" t="s">
        <v>433</v>
      </c>
      <c r="E553" s="34"/>
      <c r="F553" s="37">
        <v>1537000</v>
      </c>
      <c r="G553" s="37">
        <v>1537000</v>
      </c>
      <c r="H553" s="38">
        <v>46022</v>
      </c>
      <c r="I553" s="38" t="s">
        <v>1797</v>
      </c>
      <c r="J553" s="42">
        <v>59</v>
      </c>
      <c r="K553" s="43">
        <v>1537000</v>
      </c>
    </row>
    <row r="554" spans="1:11" x14ac:dyDescent="0.25">
      <c r="A554" s="38">
        <v>46022</v>
      </c>
      <c r="B554" s="33" t="s">
        <v>908</v>
      </c>
      <c r="C554" s="36" t="s">
        <v>216</v>
      </c>
      <c r="D554" s="34" t="s">
        <v>433</v>
      </c>
      <c r="E554" s="34"/>
      <c r="F554" s="37">
        <v>1537000</v>
      </c>
      <c r="G554" s="37">
        <v>1537000</v>
      </c>
      <c r="H554" s="38">
        <v>46022</v>
      </c>
      <c r="I554" s="38" t="s">
        <v>1797</v>
      </c>
      <c r="J554" s="42">
        <v>59</v>
      </c>
      <c r="K554" s="43">
        <v>1537000</v>
      </c>
    </row>
    <row r="555" spans="1:11" x14ac:dyDescent="0.25">
      <c r="A555" s="38">
        <v>46022</v>
      </c>
      <c r="B555" s="33" t="s">
        <v>909</v>
      </c>
      <c r="C555" s="36" t="s">
        <v>218</v>
      </c>
      <c r="D555" s="34" t="s">
        <v>565</v>
      </c>
      <c r="E555" s="34"/>
      <c r="F555" s="37">
        <v>115800.66</v>
      </c>
      <c r="G555" s="37">
        <v>115800.66</v>
      </c>
      <c r="H555" s="38">
        <v>46022</v>
      </c>
      <c r="I555" s="38" t="s">
        <v>1797</v>
      </c>
      <c r="J555" s="42">
        <v>59</v>
      </c>
      <c r="K555" s="43">
        <v>115800.66</v>
      </c>
    </row>
    <row r="556" spans="1:11" x14ac:dyDescent="0.25">
      <c r="A556" s="38">
        <v>46022</v>
      </c>
      <c r="B556" s="33" t="s">
        <v>910</v>
      </c>
      <c r="C556" s="36" t="s">
        <v>218</v>
      </c>
      <c r="D556" s="34" t="s">
        <v>565</v>
      </c>
      <c r="E556" s="34"/>
      <c r="F556" s="37">
        <v>341330.64</v>
      </c>
      <c r="G556" s="37">
        <v>341330.64</v>
      </c>
      <c r="H556" s="38">
        <v>46022</v>
      </c>
      <c r="I556" s="38" t="s">
        <v>1797</v>
      </c>
      <c r="J556" s="42">
        <v>59</v>
      </c>
      <c r="K556" s="43">
        <v>341330.64</v>
      </c>
    </row>
    <row r="557" spans="1:11" x14ac:dyDescent="0.25">
      <c r="A557" s="38">
        <v>46022</v>
      </c>
      <c r="B557" s="33" t="s">
        <v>911</v>
      </c>
      <c r="C557" s="36" t="s">
        <v>220</v>
      </c>
      <c r="D557" s="34" t="s">
        <v>373</v>
      </c>
      <c r="E557" s="34"/>
      <c r="F557" s="37">
        <v>83300</v>
      </c>
      <c r="G557" s="37">
        <v>83300</v>
      </c>
      <c r="H557" s="38">
        <v>46022</v>
      </c>
      <c r="I557" s="38" t="s">
        <v>1797</v>
      </c>
      <c r="J557" s="42">
        <v>59</v>
      </c>
      <c r="K557" s="43">
        <v>83300</v>
      </c>
    </row>
    <row r="558" spans="1:11" x14ac:dyDescent="0.25">
      <c r="A558" s="38">
        <v>46022</v>
      </c>
      <c r="B558" s="33" t="s">
        <v>912</v>
      </c>
      <c r="C558" s="36" t="s">
        <v>221</v>
      </c>
      <c r="D558" s="34" t="s">
        <v>426</v>
      </c>
      <c r="E558" s="34"/>
      <c r="F558" s="37">
        <v>355269.6</v>
      </c>
      <c r="G558" s="37">
        <v>355269.6</v>
      </c>
      <c r="H558" s="38">
        <v>46037</v>
      </c>
      <c r="I558" s="38" t="s">
        <v>1797</v>
      </c>
      <c r="J558" s="42">
        <v>44</v>
      </c>
      <c r="K558" s="43">
        <v>355269.6</v>
      </c>
    </row>
    <row r="559" spans="1:11" x14ac:dyDescent="0.25">
      <c r="A559" s="38">
        <v>46022</v>
      </c>
      <c r="B559" s="33" t="s">
        <v>913</v>
      </c>
      <c r="C559" s="36" t="s">
        <v>221</v>
      </c>
      <c r="D559" s="34" t="s">
        <v>426</v>
      </c>
      <c r="E559" s="34"/>
      <c r="F559" s="37">
        <v>184536.46</v>
      </c>
      <c r="G559" s="37">
        <v>184536.46</v>
      </c>
      <c r="H559" s="38">
        <v>46037</v>
      </c>
      <c r="I559" s="38" t="s">
        <v>1797</v>
      </c>
      <c r="J559" s="42">
        <v>44</v>
      </c>
      <c r="K559" s="43">
        <v>184536.46</v>
      </c>
    </row>
    <row r="560" spans="1:11" x14ac:dyDescent="0.25">
      <c r="A560" s="38">
        <v>46022</v>
      </c>
      <c r="B560" s="33" t="s">
        <v>914</v>
      </c>
      <c r="C560" s="36" t="s">
        <v>227</v>
      </c>
      <c r="D560" s="34" t="s">
        <v>341</v>
      </c>
      <c r="E560" s="34"/>
      <c r="F560" s="37">
        <v>369197.84</v>
      </c>
      <c r="G560" s="39">
        <v>237134.04</v>
      </c>
      <c r="H560" s="38">
        <v>46022</v>
      </c>
      <c r="I560" s="38" t="s">
        <v>1797</v>
      </c>
      <c r="J560" s="42">
        <v>59</v>
      </c>
      <c r="K560" s="43">
        <v>-237134.04</v>
      </c>
    </row>
    <row r="561" spans="1:11" x14ac:dyDescent="0.25">
      <c r="A561" s="38">
        <v>46022</v>
      </c>
      <c r="B561" s="33" t="s">
        <v>915</v>
      </c>
      <c r="C561" s="36" t="s">
        <v>229</v>
      </c>
      <c r="D561" s="34" t="s">
        <v>561</v>
      </c>
      <c r="E561" s="34"/>
      <c r="F561" s="37">
        <v>442000</v>
      </c>
      <c r="G561" s="37">
        <v>433160</v>
      </c>
      <c r="H561" s="38">
        <v>46022</v>
      </c>
      <c r="I561" s="38" t="s">
        <v>1797</v>
      </c>
      <c r="J561" s="42">
        <v>59</v>
      </c>
      <c r="K561" s="43">
        <v>433160</v>
      </c>
    </row>
    <row r="562" spans="1:11" x14ac:dyDescent="0.25">
      <c r="A562" s="38">
        <v>46022</v>
      </c>
      <c r="B562" s="33" t="s">
        <v>916</v>
      </c>
      <c r="C562" s="36" t="s">
        <v>229</v>
      </c>
      <c r="D562" s="34" t="s">
        <v>561</v>
      </c>
      <c r="E562" s="34"/>
      <c r="F562" s="37">
        <v>1257550</v>
      </c>
      <c r="G562" s="37">
        <v>1232399</v>
      </c>
      <c r="H562" s="38">
        <v>46022</v>
      </c>
      <c r="I562" s="38" t="s">
        <v>1797</v>
      </c>
      <c r="J562" s="42">
        <v>59</v>
      </c>
      <c r="K562" s="43">
        <v>1232399</v>
      </c>
    </row>
    <row r="563" spans="1:11" x14ac:dyDescent="0.25">
      <c r="A563" s="38">
        <v>46022</v>
      </c>
      <c r="B563" s="33" t="s">
        <v>917</v>
      </c>
      <c r="C563" s="36" t="s">
        <v>229</v>
      </c>
      <c r="D563" s="34" t="s">
        <v>561</v>
      </c>
      <c r="E563" s="34"/>
      <c r="F563" s="37">
        <v>222400</v>
      </c>
      <c r="G563" s="37">
        <v>217952</v>
      </c>
      <c r="H563" s="38">
        <v>46022</v>
      </c>
      <c r="I563" s="38" t="s">
        <v>1797</v>
      </c>
      <c r="J563" s="42">
        <v>59</v>
      </c>
      <c r="K563" s="43">
        <v>217952</v>
      </c>
    </row>
    <row r="564" spans="1:11" x14ac:dyDescent="0.25">
      <c r="A564" s="38">
        <v>46022</v>
      </c>
      <c r="B564" s="33" t="s">
        <v>918</v>
      </c>
      <c r="C564" s="36" t="s">
        <v>229</v>
      </c>
      <c r="D564" s="34" t="s">
        <v>561</v>
      </c>
      <c r="E564" s="34"/>
      <c r="F564" s="37">
        <v>115500</v>
      </c>
      <c r="G564" s="37">
        <v>113190</v>
      </c>
      <c r="H564" s="38">
        <v>46022</v>
      </c>
      <c r="I564" s="38" t="s">
        <v>1797</v>
      </c>
      <c r="J564" s="42">
        <v>59</v>
      </c>
      <c r="K564" s="43">
        <v>113190</v>
      </c>
    </row>
    <row r="565" spans="1:11" x14ac:dyDescent="0.25">
      <c r="A565" s="38">
        <v>46022</v>
      </c>
      <c r="B565" s="33" t="s">
        <v>919</v>
      </c>
      <c r="C565" s="36" t="s">
        <v>229</v>
      </c>
      <c r="D565" s="34" t="s">
        <v>561</v>
      </c>
      <c r="E565" s="34"/>
      <c r="F565" s="37">
        <v>40000</v>
      </c>
      <c r="G565" s="37">
        <v>39200</v>
      </c>
      <c r="H565" s="38">
        <v>46022</v>
      </c>
      <c r="I565" s="38" t="s">
        <v>1797</v>
      </c>
      <c r="J565" s="42">
        <v>59</v>
      </c>
      <c r="K565" s="43">
        <v>39200</v>
      </c>
    </row>
    <row r="566" spans="1:11" x14ac:dyDescent="0.25">
      <c r="A566" s="38">
        <v>46022</v>
      </c>
      <c r="B566" s="33" t="s">
        <v>920</v>
      </c>
      <c r="C566" s="36" t="s">
        <v>229</v>
      </c>
      <c r="D566" s="34" t="s">
        <v>561</v>
      </c>
      <c r="E566" s="34"/>
      <c r="F566" s="37">
        <v>115000</v>
      </c>
      <c r="G566" s="37">
        <v>112700</v>
      </c>
      <c r="H566" s="38">
        <v>46022</v>
      </c>
      <c r="I566" s="38" t="s">
        <v>1797</v>
      </c>
      <c r="J566" s="42">
        <v>59</v>
      </c>
      <c r="K566" s="43">
        <v>112700</v>
      </c>
    </row>
    <row r="567" spans="1:11" x14ac:dyDescent="0.25">
      <c r="A567" s="38">
        <v>46022</v>
      </c>
      <c r="B567" s="33" t="s">
        <v>921</v>
      </c>
      <c r="C567" s="36" t="s">
        <v>229</v>
      </c>
      <c r="D567" s="34" t="s">
        <v>373</v>
      </c>
      <c r="E567" s="34"/>
      <c r="F567" s="37">
        <v>181500</v>
      </c>
      <c r="G567" s="37">
        <v>177870</v>
      </c>
      <c r="H567" s="38">
        <v>46022</v>
      </c>
      <c r="I567" s="38" t="s">
        <v>1797</v>
      </c>
      <c r="J567" s="42">
        <v>59</v>
      </c>
      <c r="K567" s="43">
        <v>177870</v>
      </c>
    </row>
    <row r="568" spans="1:11" x14ac:dyDescent="0.25">
      <c r="A568" s="38">
        <v>46022</v>
      </c>
      <c r="B568" s="33" t="s">
        <v>922</v>
      </c>
      <c r="C568" s="36" t="s">
        <v>229</v>
      </c>
      <c r="D568" s="34" t="s">
        <v>373</v>
      </c>
      <c r="E568" s="34"/>
      <c r="F568" s="37">
        <v>111000</v>
      </c>
      <c r="G568" s="37">
        <v>108780</v>
      </c>
      <c r="H568" s="38">
        <v>46022</v>
      </c>
      <c r="I568" s="38" t="s">
        <v>1797</v>
      </c>
      <c r="J568" s="42">
        <v>59</v>
      </c>
      <c r="K568" s="43">
        <v>108780</v>
      </c>
    </row>
    <row r="569" spans="1:11" x14ac:dyDescent="0.25">
      <c r="A569" s="38">
        <v>46022</v>
      </c>
      <c r="B569" s="33" t="s">
        <v>923</v>
      </c>
      <c r="C569" s="36" t="s">
        <v>229</v>
      </c>
      <c r="D569" s="34" t="s">
        <v>373</v>
      </c>
      <c r="E569" s="34"/>
      <c r="F569" s="37">
        <v>27000</v>
      </c>
      <c r="G569" s="37">
        <v>26460</v>
      </c>
      <c r="H569" s="38">
        <v>46022</v>
      </c>
      <c r="I569" s="38" t="s">
        <v>1797</v>
      </c>
      <c r="J569" s="42">
        <v>59</v>
      </c>
      <c r="K569" s="43">
        <v>26460</v>
      </c>
    </row>
    <row r="570" spans="1:11" x14ac:dyDescent="0.25">
      <c r="A570" s="38">
        <v>46022</v>
      </c>
      <c r="B570" s="33" t="s">
        <v>924</v>
      </c>
      <c r="C570" s="36" t="s">
        <v>229</v>
      </c>
      <c r="D570" s="34" t="s">
        <v>412</v>
      </c>
      <c r="E570" s="34"/>
      <c r="F570" s="37">
        <v>65000</v>
      </c>
      <c r="G570" s="37">
        <v>63700</v>
      </c>
      <c r="H570" s="38">
        <v>46022</v>
      </c>
      <c r="I570" s="38" t="s">
        <v>1797</v>
      </c>
      <c r="J570" s="42">
        <v>59</v>
      </c>
      <c r="K570" s="43">
        <v>63700</v>
      </c>
    </row>
    <row r="571" spans="1:11" x14ac:dyDescent="0.25">
      <c r="A571" s="38">
        <v>46022</v>
      </c>
      <c r="B571" s="33" t="s">
        <v>925</v>
      </c>
      <c r="C571" s="36" t="s">
        <v>244</v>
      </c>
      <c r="D571" s="34" t="s">
        <v>412</v>
      </c>
      <c r="E571" s="34"/>
      <c r="F571" s="37">
        <v>789635</v>
      </c>
      <c r="G571" s="37">
        <v>789635</v>
      </c>
      <c r="H571" s="38">
        <v>46052</v>
      </c>
      <c r="I571" s="38" t="s">
        <v>1796</v>
      </c>
      <c r="J571" s="42">
        <v>29</v>
      </c>
      <c r="K571" s="43">
        <v>789635</v>
      </c>
    </row>
    <row r="572" spans="1:11" x14ac:dyDescent="0.25">
      <c r="A572" s="38">
        <v>46022</v>
      </c>
      <c r="B572" s="33" t="s">
        <v>926</v>
      </c>
      <c r="C572" s="36" t="s">
        <v>253</v>
      </c>
      <c r="D572" s="34" t="s">
        <v>433</v>
      </c>
      <c r="E572" s="34"/>
      <c r="F572" s="37">
        <v>274661.40000000002</v>
      </c>
      <c r="G572" s="37">
        <v>0.4</v>
      </c>
      <c r="H572" s="38">
        <v>46022</v>
      </c>
      <c r="I572" s="38" t="s">
        <v>1797</v>
      </c>
      <c r="J572" s="42">
        <v>59</v>
      </c>
      <c r="K572" s="43">
        <v>0.4</v>
      </c>
    </row>
    <row r="573" spans="1:11" x14ac:dyDescent="0.25">
      <c r="A573" s="38">
        <v>46022</v>
      </c>
      <c r="B573" s="33" t="s">
        <v>927</v>
      </c>
      <c r="C573" s="36" t="s">
        <v>253</v>
      </c>
      <c r="D573" s="34" t="s">
        <v>433</v>
      </c>
      <c r="E573" s="34"/>
      <c r="F573" s="37">
        <v>187920</v>
      </c>
      <c r="G573" s="37">
        <v>173888.19</v>
      </c>
      <c r="H573" s="38">
        <v>46022</v>
      </c>
      <c r="I573" s="38" t="s">
        <v>1797</v>
      </c>
      <c r="J573" s="42">
        <v>59</v>
      </c>
      <c r="K573" s="43">
        <v>173888.19</v>
      </c>
    </row>
    <row r="574" spans="1:11" x14ac:dyDescent="0.25">
      <c r="A574" s="38">
        <v>46022</v>
      </c>
      <c r="B574" s="33" t="s">
        <v>928</v>
      </c>
      <c r="C574" s="36" t="s">
        <v>255</v>
      </c>
      <c r="D574" s="34" t="s">
        <v>402</v>
      </c>
      <c r="E574" s="34"/>
      <c r="F574" s="37">
        <v>412960</v>
      </c>
      <c r="G574" s="37">
        <v>412960</v>
      </c>
      <c r="H574" s="38">
        <v>46022</v>
      </c>
      <c r="I574" s="38" t="s">
        <v>1797</v>
      </c>
      <c r="J574" s="42">
        <v>59</v>
      </c>
      <c r="K574" s="43">
        <v>412960</v>
      </c>
    </row>
    <row r="575" spans="1:11" x14ac:dyDescent="0.25">
      <c r="A575" s="38">
        <v>46022</v>
      </c>
      <c r="B575" s="33" t="s">
        <v>929</v>
      </c>
      <c r="C575" s="36" t="s">
        <v>258</v>
      </c>
      <c r="D575" s="34" t="s">
        <v>561</v>
      </c>
      <c r="E575" s="34"/>
      <c r="F575" s="37">
        <v>198734</v>
      </c>
      <c r="G575" s="37">
        <v>198734</v>
      </c>
      <c r="H575" s="38">
        <v>46022</v>
      </c>
      <c r="I575" s="38" t="s">
        <v>1797</v>
      </c>
      <c r="J575" s="42">
        <v>59</v>
      </c>
      <c r="K575" s="43">
        <v>198734</v>
      </c>
    </row>
    <row r="576" spans="1:11" x14ac:dyDescent="0.25">
      <c r="A576" s="38">
        <v>46022</v>
      </c>
      <c r="B576" s="33" t="s">
        <v>930</v>
      </c>
      <c r="C576" s="36" t="s">
        <v>258</v>
      </c>
      <c r="D576" s="34" t="s">
        <v>561</v>
      </c>
      <c r="E576" s="34"/>
      <c r="F576" s="37">
        <v>201420</v>
      </c>
      <c r="G576" s="37">
        <v>201420</v>
      </c>
      <c r="H576" s="38">
        <v>46022</v>
      </c>
      <c r="I576" s="38" t="s">
        <v>1797</v>
      </c>
      <c r="J576" s="42">
        <v>59</v>
      </c>
      <c r="K576" s="43">
        <v>201420</v>
      </c>
    </row>
    <row r="577" spans="1:11" x14ac:dyDescent="0.25">
      <c r="A577" s="38">
        <v>46022</v>
      </c>
      <c r="B577" s="33" t="s">
        <v>931</v>
      </c>
      <c r="C577" s="36" t="s">
        <v>265</v>
      </c>
      <c r="D577" s="34" t="s">
        <v>426</v>
      </c>
      <c r="E577" s="34"/>
      <c r="F577" s="37">
        <v>125155.8</v>
      </c>
      <c r="G577" s="37">
        <v>125155.8</v>
      </c>
      <c r="H577" s="38">
        <v>46037</v>
      </c>
      <c r="I577" s="38" t="s">
        <v>1797</v>
      </c>
      <c r="J577" s="42">
        <v>44</v>
      </c>
      <c r="K577" s="43">
        <v>125155.8</v>
      </c>
    </row>
    <row r="578" spans="1:11" x14ac:dyDescent="0.25">
      <c r="A578" s="38">
        <v>46022</v>
      </c>
      <c r="B578" s="33" t="s">
        <v>932</v>
      </c>
      <c r="C578" s="36" t="s">
        <v>271</v>
      </c>
      <c r="D578" s="34" t="s">
        <v>8</v>
      </c>
      <c r="E578" s="34"/>
      <c r="F578" s="39">
        <v>940</v>
      </c>
      <c r="G578" s="39">
        <v>940</v>
      </c>
      <c r="H578" s="38">
        <v>46023</v>
      </c>
      <c r="I578" s="38" t="s">
        <v>1797</v>
      </c>
      <c r="J578" s="42">
        <v>58</v>
      </c>
      <c r="K578" s="43">
        <v>-940</v>
      </c>
    </row>
    <row r="579" spans="1:11" x14ac:dyDescent="0.25">
      <c r="A579" s="38">
        <v>46022</v>
      </c>
      <c r="B579" s="33" t="s">
        <v>933</v>
      </c>
      <c r="C579" s="36" t="s">
        <v>278</v>
      </c>
      <c r="D579" s="34" t="s">
        <v>642</v>
      </c>
      <c r="E579" s="34"/>
      <c r="F579" s="37">
        <v>474004.5</v>
      </c>
      <c r="G579" s="37">
        <v>474004.5</v>
      </c>
      <c r="H579" s="38">
        <v>46022</v>
      </c>
      <c r="I579" s="38" t="s">
        <v>1797</v>
      </c>
      <c r="J579" s="42">
        <v>59</v>
      </c>
      <c r="K579" s="43">
        <v>474004.5</v>
      </c>
    </row>
    <row r="580" spans="1:11" x14ac:dyDescent="0.25">
      <c r="A580" s="38">
        <v>46022</v>
      </c>
      <c r="B580" s="33" t="s">
        <v>934</v>
      </c>
      <c r="C580" s="36" t="s">
        <v>282</v>
      </c>
      <c r="D580" s="34" t="s">
        <v>426</v>
      </c>
      <c r="E580" s="34"/>
      <c r="F580" s="37">
        <v>380669.08</v>
      </c>
      <c r="G580" s="37">
        <v>59069.34</v>
      </c>
      <c r="H580" s="38">
        <v>46022</v>
      </c>
      <c r="I580" s="38" t="s">
        <v>1797</v>
      </c>
      <c r="J580" s="42">
        <v>59</v>
      </c>
      <c r="K580" s="43">
        <v>59069.34</v>
      </c>
    </row>
    <row r="581" spans="1:11" x14ac:dyDescent="0.25">
      <c r="A581" s="38">
        <v>46022</v>
      </c>
      <c r="B581" s="33" t="s">
        <v>935</v>
      </c>
      <c r="C581" s="36" t="s">
        <v>284</v>
      </c>
      <c r="D581" s="34" t="s">
        <v>412</v>
      </c>
      <c r="E581" s="34"/>
      <c r="F581" s="37">
        <v>346176.6</v>
      </c>
      <c r="G581" s="37">
        <v>126460.6</v>
      </c>
      <c r="H581" s="38">
        <v>46022</v>
      </c>
      <c r="I581" s="38" t="s">
        <v>1797</v>
      </c>
      <c r="J581" s="42">
        <v>59</v>
      </c>
      <c r="K581" s="43">
        <v>126460.6</v>
      </c>
    </row>
    <row r="582" spans="1:11" x14ac:dyDescent="0.25">
      <c r="A582" s="38">
        <v>46022</v>
      </c>
      <c r="B582" s="33" t="s">
        <v>936</v>
      </c>
      <c r="C582" s="36" t="s">
        <v>289</v>
      </c>
      <c r="D582" s="34" t="s">
        <v>435</v>
      </c>
      <c r="E582" s="34"/>
      <c r="F582" s="37">
        <v>501809</v>
      </c>
      <c r="G582" s="37">
        <v>501809</v>
      </c>
      <c r="H582" s="38">
        <v>46052</v>
      </c>
      <c r="I582" s="38" t="s">
        <v>1796</v>
      </c>
      <c r="J582" s="42">
        <v>29</v>
      </c>
      <c r="K582" s="43">
        <v>501809</v>
      </c>
    </row>
    <row r="583" spans="1:11" x14ac:dyDescent="0.25">
      <c r="A583" s="38">
        <v>46022</v>
      </c>
      <c r="B583" s="33" t="s">
        <v>937</v>
      </c>
      <c r="C583" s="36" t="s">
        <v>289</v>
      </c>
      <c r="D583" s="34" t="s">
        <v>412</v>
      </c>
      <c r="E583" s="34"/>
      <c r="F583" s="37">
        <v>346920</v>
      </c>
      <c r="G583" s="37">
        <v>346920</v>
      </c>
      <c r="H583" s="38">
        <v>46052</v>
      </c>
      <c r="I583" s="38" t="s">
        <v>1796</v>
      </c>
      <c r="J583" s="42">
        <v>29</v>
      </c>
      <c r="K583" s="43">
        <v>346920</v>
      </c>
    </row>
    <row r="584" spans="1:11" x14ac:dyDescent="0.25">
      <c r="A584" s="38">
        <v>46023</v>
      </c>
      <c r="B584" s="33" t="s">
        <v>938</v>
      </c>
      <c r="C584" s="36" t="s">
        <v>53</v>
      </c>
      <c r="D584" s="34" t="s">
        <v>412</v>
      </c>
      <c r="E584" s="34"/>
      <c r="F584" s="37">
        <v>59247</v>
      </c>
      <c r="G584" s="37">
        <v>36811.81</v>
      </c>
      <c r="H584" s="38">
        <v>46023</v>
      </c>
      <c r="I584" s="38" t="s">
        <v>1797</v>
      </c>
      <c r="J584" s="42">
        <v>58</v>
      </c>
      <c r="K584" s="43">
        <v>36811.81</v>
      </c>
    </row>
    <row r="585" spans="1:11" x14ac:dyDescent="0.25">
      <c r="A585" s="38">
        <v>46023</v>
      </c>
      <c r="B585" s="33" t="s">
        <v>939</v>
      </c>
      <c r="C585" s="36" t="s">
        <v>62</v>
      </c>
      <c r="D585" s="34" t="s">
        <v>561</v>
      </c>
      <c r="E585" s="34"/>
      <c r="F585" s="37">
        <v>79569</v>
      </c>
      <c r="G585" s="37">
        <v>79569</v>
      </c>
      <c r="H585" s="38">
        <v>46083</v>
      </c>
      <c r="I585" s="38" t="s">
        <v>1796</v>
      </c>
      <c r="J585" s="42">
        <f t="shared" ref="J585:J587" si="1">$I$1-A585</f>
        <v>58</v>
      </c>
      <c r="K585" s="43">
        <v>79569</v>
      </c>
    </row>
    <row r="586" spans="1:11" x14ac:dyDescent="0.25">
      <c r="A586" s="38">
        <v>46023</v>
      </c>
      <c r="B586" s="33" t="s">
        <v>940</v>
      </c>
      <c r="C586" s="36" t="s">
        <v>62</v>
      </c>
      <c r="D586" s="34" t="s">
        <v>561</v>
      </c>
      <c r="E586" s="34"/>
      <c r="F586" s="37">
        <v>76984</v>
      </c>
      <c r="G586" s="37">
        <v>76984</v>
      </c>
      <c r="H586" s="38">
        <v>46083</v>
      </c>
      <c r="I586" s="38" t="s">
        <v>1796</v>
      </c>
      <c r="J586" s="42">
        <f t="shared" si="1"/>
        <v>58</v>
      </c>
      <c r="K586" s="43">
        <v>76984</v>
      </c>
    </row>
    <row r="587" spans="1:11" x14ac:dyDescent="0.25">
      <c r="A587" s="38">
        <v>46023</v>
      </c>
      <c r="B587" s="33" t="s">
        <v>941</v>
      </c>
      <c r="C587" s="36" t="s">
        <v>62</v>
      </c>
      <c r="D587" s="34" t="s">
        <v>561</v>
      </c>
      <c r="E587" s="34"/>
      <c r="F587" s="37">
        <v>78368</v>
      </c>
      <c r="G587" s="37">
        <v>78368</v>
      </c>
      <c r="H587" s="38">
        <v>46083</v>
      </c>
      <c r="I587" s="38" t="s">
        <v>1796</v>
      </c>
      <c r="J587" s="42">
        <f t="shared" si="1"/>
        <v>58</v>
      </c>
      <c r="K587" s="43">
        <v>78368</v>
      </c>
    </row>
    <row r="588" spans="1:11" x14ac:dyDescent="0.25">
      <c r="A588" s="38">
        <v>46023</v>
      </c>
      <c r="B588" s="33" t="s">
        <v>942</v>
      </c>
      <c r="C588" s="36" t="s">
        <v>78</v>
      </c>
      <c r="D588" s="34" t="s">
        <v>412</v>
      </c>
      <c r="E588" s="34"/>
      <c r="F588" s="37">
        <v>15387</v>
      </c>
      <c r="G588" s="37">
        <v>15387</v>
      </c>
      <c r="H588" s="38">
        <v>46023</v>
      </c>
      <c r="I588" s="38" t="s">
        <v>1797</v>
      </c>
      <c r="J588" s="42">
        <v>58</v>
      </c>
      <c r="K588" s="43">
        <v>15387</v>
      </c>
    </row>
    <row r="589" spans="1:11" x14ac:dyDescent="0.25">
      <c r="A589" s="38">
        <v>46023</v>
      </c>
      <c r="B589" s="33" t="s">
        <v>943</v>
      </c>
      <c r="C589" s="36" t="s">
        <v>107</v>
      </c>
      <c r="D589" s="34" t="s">
        <v>433</v>
      </c>
      <c r="E589" s="34"/>
      <c r="F589" s="37">
        <v>5664</v>
      </c>
      <c r="G589" s="37">
        <v>5664</v>
      </c>
      <c r="H589" s="38">
        <v>46023</v>
      </c>
      <c r="I589" s="38" t="s">
        <v>1797</v>
      </c>
      <c r="J589" s="42">
        <v>58</v>
      </c>
      <c r="K589" s="43">
        <v>5664</v>
      </c>
    </row>
    <row r="590" spans="1:11" x14ac:dyDescent="0.25">
      <c r="A590" s="38">
        <v>46023</v>
      </c>
      <c r="B590" s="33" t="s">
        <v>944</v>
      </c>
      <c r="C590" s="36" t="s">
        <v>132</v>
      </c>
      <c r="D590" s="34" t="s">
        <v>565</v>
      </c>
      <c r="E590" s="34"/>
      <c r="F590" s="37">
        <v>37000</v>
      </c>
      <c r="G590" s="37">
        <v>37000</v>
      </c>
      <c r="H590" s="38">
        <v>46023</v>
      </c>
      <c r="I590" s="38" t="s">
        <v>1797</v>
      </c>
      <c r="J590" s="42">
        <v>58</v>
      </c>
      <c r="K590" s="43">
        <v>37000</v>
      </c>
    </row>
    <row r="591" spans="1:11" x14ac:dyDescent="0.25">
      <c r="A591" s="38">
        <v>46023</v>
      </c>
      <c r="B591" s="33" t="s">
        <v>945</v>
      </c>
      <c r="C591" s="36" t="s">
        <v>150</v>
      </c>
      <c r="D591" s="34" t="s">
        <v>433</v>
      </c>
      <c r="E591" s="34"/>
      <c r="F591" s="37">
        <v>304087.88</v>
      </c>
      <c r="G591" s="37">
        <v>304087.88</v>
      </c>
      <c r="H591" s="38">
        <v>46053</v>
      </c>
      <c r="I591" s="38" t="s">
        <v>1796</v>
      </c>
      <c r="J591" s="42">
        <v>28</v>
      </c>
      <c r="K591" s="43">
        <v>304087.88</v>
      </c>
    </row>
    <row r="592" spans="1:11" x14ac:dyDescent="0.25">
      <c r="A592" s="38">
        <v>46023</v>
      </c>
      <c r="B592" s="33" t="s">
        <v>946</v>
      </c>
      <c r="C592" s="36" t="s">
        <v>155</v>
      </c>
      <c r="D592" s="34" t="s">
        <v>412</v>
      </c>
      <c r="E592" s="34"/>
      <c r="F592" s="37">
        <v>30420</v>
      </c>
      <c r="G592" s="37">
        <v>111634.8</v>
      </c>
      <c r="H592" s="38">
        <v>46023</v>
      </c>
      <c r="I592" s="38" t="s">
        <v>1797</v>
      </c>
      <c r="J592" s="42">
        <v>58</v>
      </c>
      <c r="K592" s="43">
        <v>111634.8</v>
      </c>
    </row>
    <row r="593" spans="1:11" x14ac:dyDescent="0.25">
      <c r="A593" s="38">
        <v>46023</v>
      </c>
      <c r="B593" s="33" t="s">
        <v>947</v>
      </c>
      <c r="C593" s="36" t="s">
        <v>215</v>
      </c>
      <c r="D593" s="34" t="s">
        <v>412</v>
      </c>
      <c r="E593" s="34"/>
      <c r="F593" s="37">
        <v>48027</v>
      </c>
      <c r="G593" s="37">
        <v>48027</v>
      </c>
      <c r="H593" s="38">
        <v>46023</v>
      </c>
      <c r="I593" s="38" t="s">
        <v>1797</v>
      </c>
      <c r="J593" s="42">
        <v>58</v>
      </c>
      <c r="K593" s="43">
        <v>48027</v>
      </c>
    </row>
    <row r="594" spans="1:11" x14ac:dyDescent="0.25">
      <c r="A594" s="38">
        <v>46023</v>
      </c>
      <c r="B594" s="33" t="s">
        <v>948</v>
      </c>
      <c r="C594" s="36" t="s">
        <v>216</v>
      </c>
      <c r="D594" s="34" t="s">
        <v>341</v>
      </c>
      <c r="E594" s="34"/>
      <c r="F594" s="37">
        <v>31752</v>
      </c>
      <c r="G594" s="37">
        <v>31752</v>
      </c>
      <c r="H594" s="38">
        <v>46023</v>
      </c>
      <c r="I594" s="38" t="s">
        <v>1797</v>
      </c>
      <c r="J594" s="42">
        <v>58</v>
      </c>
      <c r="K594" s="43">
        <v>31752</v>
      </c>
    </row>
    <row r="595" spans="1:11" x14ac:dyDescent="0.25">
      <c r="A595" s="38">
        <v>46023</v>
      </c>
      <c r="B595" s="33" t="s">
        <v>949</v>
      </c>
      <c r="C595" s="36" t="s">
        <v>216</v>
      </c>
      <c r="D595" s="34" t="s">
        <v>341</v>
      </c>
      <c r="E595" s="34"/>
      <c r="F595" s="37">
        <v>16247.58</v>
      </c>
      <c r="G595" s="37">
        <v>16247.58</v>
      </c>
      <c r="H595" s="38">
        <v>46023</v>
      </c>
      <c r="I595" s="38" t="s">
        <v>1797</v>
      </c>
      <c r="J595" s="42">
        <v>58</v>
      </c>
      <c r="K595" s="43">
        <v>16247.58</v>
      </c>
    </row>
    <row r="596" spans="1:11" x14ac:dyDescent="0.25">
      <c r="A596" s="38">
        <v>46023</v>
      </c>
      <c r="B596" s="33" t="s">
        <v>950</v>
      </c>
      <c r="C596" s="36" t="s">
        <v>216</v>
      </c>
      <c r="D596" s="34" t="s">
        <v>341</v>
      </c>
      <c r="E596" s="34"/>
      <c r="F596" s="37">
        <v>17106.96</v>
      </c>
      <c r="G596" s="37">
        <v>17106.96</v>
      </c>
      <c r="H596" s="38">
        <v>46023</v>
      </c>
      <c r="I596" s="38" t="s">
        <v>1797</v>
      </c>
      <c r="J596" s="42">
        <v>58</v>
      </c>
      <c r="K596" s="43">
        <v>17106.96</v>
      </c>
    </row>
    <row r="597" spans="1:11" x14ac:dyDescent="0.25">
      <c r="A597" s="38">
        <v>46023</v>
      </c>
      <c r="B597" s="33" t="s">
        <v>951</v>
      </c>
      <c r="C597" s="36" t="s">
        <v>216</v>
      </c>
      <c r="D597" s="34" t="s">
        <v>341</v>
      </c>
      <c r="E597" s="34"/>
      <c r="F597" s="37">
        <v>26536</v>
      </c>
      <c r="G597" s="37">
        <v>26536</v>
      </c>
      <c r="H597" s="38">
        <v>46023</v>
      </c>
      <c r="I597" s="38" t="s">
        <v>1797</v>
      </c>
      <c r="J597" s="42">
        <v>58</v>
      </c>
      <c r="K597" s="43">
        <v>26536</v>
      </c>
    </row>
    <row r="598" spans="1:11" x14ac:dyDescent="0.25">
      <c r="A598" s="38">
        <v>46023</v>
      </c>
      <c r="B598" s="33" t="s">
        <v>952</v>
      </c>
      <c r="C598" s="36" t="s">
        <v>216</v>
      </c>
      <c r="D598" s="34" t="s">
        <v>341</v>
      </c>
      <c r="E598" s="34"/>
      <c r="F598" s="37">
        <v>28539</v>
      </c>
      <c r="G598" s="37">
        <v>28539</v>
      </c>
      <c r="H598" s="38">
        <v>46023</v>
      </c>
      <c r="I598" s="38" t="s">
        <v>1797</v>
      </c>
      <c r="J598" s="42">
        <v>58</v>
      </c>
      <c r="K598" s="43">
        <v>28539</v>
      </c>
    </row>
    <row r="599" spans="1:11" x14ac:dyDescent="0.25">
      <c r="A599" s="38">
        <v>46023</v>
      </c>
      <c r="B599" s="33" t="s">
        <v>953</v>
      </c>
      <c r="C599" s="36" t="s">
        <v>216</v>
      </c>
      <c r="D599" s="34" t="s">
        <v>341</v>
      </c>
      <c r="E599" s="34"/>
      <c r="F599" s="37">
        <v>31826</v>
      </c>
      <c r="G599" s="37">
        <v>31826</v>
      </c>
      <c r="H599" s="38">
        <v>46023</v>
      </c>
      <c r="I599" s="38" t="s">
        <v>1797</v>
      </c>
      <c r="J599" s="42">
        <v>58</v>
      </c>
      <c r="K599" s="43">
        <v>31826</v>
      </c>
    </row>
    <row r="600" spans="1:11" x14ac:dyDescent="0.25">
      <c r="A600" s="38">
        <v>46023</v>
      </c>
      <c r="B600" s="33" t="s">
        <v>954</v>
      </c>
      <c r="C600" s="36" t="s">
        <v>216</v>
      </c>
      <c r="D600" s="34" t="s">
        <v>341</v>
      </c>
      <c r="E600" s="34"/>
      <c r="F600" s="37">
        <v>30157</v>
      </c>
      <c r="G600" s="37">
        <v>30157</v>
      </c>
      <c r="H600" s="38">
        <v>46023</v>
      </c>
      <c r="I600" s="38" t="s">
        <v>1797</v>
      </c>
      <c r="J600" s="42">
        <v>58</v>
      </c>
      <c r="K600" s="43">
        <v>30157</v>
      </c>
    </row>
    <row r="601" spans="1:11" x14ac:dyDescent="0.25">
      <c r="A601" s="38">
        <v>46023</v>
      </c>
      <c r="B601" s="33" t="s">
        <v>955</v>
      </c>
      <c r="C601" s="36" t="s">
        <v>216</v>
      </c>
      <c r="D601" s="34" t="s">
        <v>341</v>
      </c>
      <c r="E601" s="34"/>
      <c r="F601" s="37">
        <v>34251</v>
      </c>
      <c r="G601" s="37">
        <v>34251</v>
      </c>
      <c r="H601" s="38">
        <v>46023</v>
      </c>
      <c r="I601" s="38" t="s">
        <v>1797</v>
      </c>
      <c r="J601" s="42">
        <v>58</v>
      </c>
      <c r="K601" s="43">
        <v>34251</v>
      </c>
    </row>
    <row r="602" spans="1:11" x14ac:dyDescent="0.25">
      <c r="A602" s="38">
        <v>46023</v>
      </c>
      <c r="B602" s="33" t="s">
        <v>956</v>
      </c>
      <c r="C602" s="36" t="s">
        <v>216</v>
      </c>
      <c r="D602" s="34" t="s">
        <v>341</v>
      </c>
      <c r="E602" s="34"/>
      <c r="F602" s="37">
        <v>26975</v>
      </c>
      <c r="G602" s="37">
        <v>26975</v>
      </c>
      <c r="H602" s="38">
        <v>46023</v>
      </c>
      <c r="I602" s="38" t="s">
        <v>1797</v>
      </c>
      <c r="J602" s="42">
        <v>58</v>
      </c>
      <c r="K602" s="43">
        <v>26975</v>
      </c>
    </row>
    <row r="603" spans="1:11" x14ac:dyDescent="0.25">
      <c r="A603" s="38">
        <v>46023</v>
      </c>
      <c r="B603" s="33" t="s">
        <v>957</v>
      </c>
      <c r="C603" s="36" t="s">
        <v>216</v>
      </c>
      <c r="D603" s="34" t="s">
        <v>341</v>
      </c>
      <c r="E603" s="34"/>
      <c r="F603" s="37">
        <v>30885</v>
      </c>
      <c r="G603" s="37">
        <v>30885</v>
      </c>
      <c r="H603" s="38">
        <v>46023</v>
      </c>
      <c r="I603" s="38" t="s">
        <v>1797</v>
      </c>
      <c r="J603" s="42">
        <v>58</v>
      </c>
      <c r="K603" s="43">
        <v>30885</v>
      </c>
    </row>
    <row r="604" spans="1:11" x14ac:dyDescent="0.25">
      <c r="A604" s="38">
        <v>46023</v>
      </c>
      <c r="B604" s="33" t="s">
        <v>958</v>
      </c>
      <c r="C604" s="36" t="s">
        <v>216</v>
      </c>
      <c r="D604" s="34" t="s">
        <v>341</v>
      </c>
      <c r="E604" s="34"/>
      <c r="F604" s="37">
        <v>16679.740000000002</v>
      </c>
      <c r="G604" s="37">
        <v>16679.740000000002</v>
      </c>
      <c r="H604" s="38">
        <v>46023</v>
      </c>
      <c r="I604" s="38" t="s">
        <v>1797</v>
      </c>
      <c r="J604" s="42">
        <v>58</v>
      </c>
      <c r="K604" s="43">
        <v>16679.740000000002</v>
      </c>
    </row>
    <row r="605" spans="1:11" x14ac:dyDescent="0.25">
      <c r="A605" s="38">
        <v>46023</v>
      </c>
      <c r="B605" s="33" t="s">
        <v>959</v>
      </c>
      <c r="C605" s="36" t="s">
        <v>216</v>
      </c>
      <c r="D605" s="34" t="s">
        <v>341</v>
      </c>
      <c r="E605" s="34"/>
      <c r="F605" s="37">
        <v>17938.84</v>
      </c>
      <c r="G605" s="37">
        <v>17938.84</v>
      </c>
      <c r="H605" s="38">
        <v>46023</v>
      </c>
      <c r="I605" s="38" t="s">
        <v>1797</v>
      </c>
      <c r="J605" s="42">
        <v>58</v>
      </c>
      <c r="K605" s="43">
        <v>17938.84</v>
      </c>
    </row>
    <row r="606" spans="1:11" x14ac:dyDescent="0.25">
      <c r="A606" s="38">
        <v>46023</v>
      </c>
      <c r="B606" s="33" t="s">
        <v>960</v>
      </c>
      <c r="C606" s="36" t="s">
        <v>216</v>
      </c>
      <c r="D606" s="34" t="s">
        <v>341</v>
      </c>
      <c r="E606" s="34"/>
      <c r="F606" s="37">
        <v>17147.240000000002</v>
      </c>
      <c r="G606" s="37">
        <v>17147.240000000002</v>
      </c>
      <c r="H606" s="38">
        <v>46023</v>
      </c>
      <c r="I606" s="38" t="s">
        <v>1797</v>
      </c>
      <c r="J606" s="42">
        <v>58</v>
      </c>
      <c r="K606" s="43">
        <v>17147.240000000002</v>
      </c>
    </row>
    <row r="607" spans="1:11" x14ac:dyDescent="0.25">
      <c r="A607" s="38">
        <v>46023</v>
      </c>
      <c r="B607" s="33" t="s">
        <v>961</v>
      </c>
      <c r="C607" s="36" t="s">
        <v>216</v>
      </c>
      <c r="D607" s="34" t="s">
        <v>341</v>
      </c>
      <c r="E607" s="34"/>
      <c r="F607" s="37">
        <v>18453.48</v>
      </c>
      <c r="G607" s="37">
        <v>18453.48</v>
      </c>
      <c r="H607" s="38">
        <v>46023</v>
      </c>
      <c r="I607" s="38" t="s">
        <v>1797</v>
      </c>
      <c r="J607" s="42">
        <v>58</v>
      </c>
      <c r="K607" s="43">
        <v>18453.48</v>
      </c>
    </row>
    <row r="608" spans="1:11" x14ac:dyDescent="0.25">
      <c r="A608" s="38">
        <v>46023</v>
      </c>
      <c r="B608" s="33" t="s">
        <v>962</v>
      </c>
      <c r="C608" s="36" t="s">
        <v>216</v>
      </c>
      <c r="D608" s="34" t="s">
        <v>341</v>
      </c>
      <c r="E608" s="34"/>
      <c r="F608" s="37">
        <v>14532.76</v>
      </c>
      <c r="G608" s="37">
        <v>14532.76</v>
      </c>
      <c r="H608" s="38">
        <v>46023</v>
      </c>
      <c r="I608" s="38" t="s">
        <v>1797</v>
      </c>
      <c r="J608" s="42">
        <v>58</v>
      </c>
      <c r="K608" s="43">
        <v>14532.76</v>
      </c>
    </row>
    <row r="609" spans="1:11" x14ac:dyDescent="0.25">
      <c r="A609" s="38">
        <v>46023</v>
      </c>
      <c r="B609" s="33" t="s">
        <v>963</v>
      </c>
      <c r="C609" s="36" t="s">
        <v>216</v>
      </c>
      <c r="D609" s="34" t="s">
        <v>341</v>
      </c>
      <c r="E609" s="34"/>
      <c r="F609" s="37">
        <v>16639.46</v>
      </c>
      <c r="G609" s="37">
        <v>16639.46</v>
      </c>
      <c r="H609" s="38">
        <v>46023</v>
      </c>
      <c r="I609" s="38" t="s">
        <v>1797</v>
      </c>
      <c r="J609" s="42">
        <v>58</v>
      </c>
      <c r="K609" s="43">
        <v>16639.46</v>
      </c>
    </row>
    <row r="610" spans="1:11" x14ac:dyDescent="0.25">
      <c r="A610" s="38">
        <v>46023</v>
      </c>
      <c r="B610" s="33" t="s">
        <v>964</v>
      </c>
      <c r="C610" s="36" t="s">
        <v>229</v>
      </c>
      <c r="D610" s="34" t="s">
        <v>412</v>
      </c>
      <c r="E610" s="34"/>
      <c r="F610" s="37">
        <v>112500</v>
      </c>
      <c r="G610" s="37">
        <v>110250</v>
      </c>
      <c r="H610" s="38">
        <v>46023</v>
      </c>
      <c r="I610" s="38" t="s">
        <v>1797</v>
      </c>
      <c r="J610" s="42">
        <v>58</v>
      </c>
      <c r="K610" s="43">
        <v>110250</v>
      </c>
    </row>
    <row r="611" spans="1:11" x14ac:dyDescent="0.25">
      <c r="A611" s="38">
        <v>46023</v>
      </c>
      <c r="B611" s="33" t="s">
        <v>965</v>
      </c>
      <c r="C611" s="36" t="s">
        <v>245</v>
      </c>
      <c r="D611" s="34" t="s">
        <v>642</v>
      </c>
      <c r="E611" s="34"/>
      <c r="F611" s="37">
        <v>60900</v>
      </c>
      <c r="G611" s="37">
        <v>60900</v>
      </c>
      <c r="H611" s="38">
        <v>46023</v>
      </c>
      <c r="I611" s="38" t="s">
        <v>1797</v>
      </c>
      <c r="J611" s="42">
        <v>58</v>
      </c>
      <c r="K611" s="43">
        <v>60900</v>
      </c>
    </row>
    <row r="612" spans="1:11" x14ac:dyDescent="0.25">
      <c r="A612" s="38">
        <v>46023</v>
      </c>
      <c r="B612" s="33" t="s">
        <v>966</v>
      </c>
      <c r="C612" s="36" t="s">
        <v>245</v>
      </c>
      <c r="D612" s="34" t="s">
        <v>642</v>
      </c>
      <c r="E612" s="34"/>
      <c r="F612" s="37">
        <v>60900</v>
      </c>
      <c r="G612" s="37">
        <v>60900</v>
      </c>
      <c r="H612" s="38">
        <v>46023</v>
      </c>
      <c r="I612" s="38" t="s">
        <v>1797</v>
      </c>
      <c r="J612" s="42">
        <v>58</v>
      </c>
      <c r="K612" s="43">
        <v>60900</v>
      </c>
    </row>
    <row r="613" spans="1:11" x14ac:dyDescent="0.25">
      <c r="A613" s="38">
        <v>46023</v>
      </c>
      <c r="B613" s="33" t="s">
        <v>967</v>
      </c>
      <c r="C613" s="36" t="s">
        <v>245</v>
      </c>
      <c r="D613" s="34" t="s">
        <v>642</v>
      </c>
      <c r="E613" s="34"/>
      <c r="F613" s="37">
        <v>60900</v>
      </c>
      <c r="G613" s="37">
        <v>60900</v>
      </c>
      <c r="H613" s="38">
        <v>46023</v>
      </c>
      <c r="I613" s="38" t="s">
        <v>1797</v>
      </c>
      <c r="J613" s="42">
        <v>58</v>
      </c>
      <c r="K613" s="43">
        <v>60900</v>
      </c>
    </row>
    <row r="614" spans="1:11" x14ac:dyDescent="0.25">
      <c r="A614" s="38">
        <v>46023</v>
      </c>
      <c r="B614" s="33" t="s">
        <v>968</v>
      </c>
      <c r="C614" s="36" t="s">
        <v>258</v>
      </c>
      <c r="D614" s="34" t="s">
        <v>561</v>
      </c>
      <c r="E614" s="34"/>
      <c r="F614" s="37">
        <v>198734</v>
      </c>
      <c r="G614" s="37">
        <v>198734</v>
      </c>
      <c r="H614" s="38">
        <v>46023</v>
      </c>
      <c r="I614" s="38" t="s">
        <v>1797</v>
      </c>
      <c r="J614" s="42">
        <v>58</v>
      </c>
      <c r="K614" s="43">
        <v>198734</v>
      </c>
    </row>
    <row r="615" spans="1:11" x14ac:dyDescent="0.25">
      <c r="A615" s="38">
        <v>46023</v>
      </c>
      <c r="B615" s="33" t="s">
        <v>969</v>
      </c>
      <c r="C615" s="36" t="s">
        <v>278</v>
      </c>
      <c r="D615" s="34" t="s">
        <v>642</v>
      </c>
      <c r="E615" s="34"/>
      <c r="F615" s="37">
        <v>994844.5</v>
      </c>
      <c r="G615" s="37">
        <v>994844.5</v>
      </c>
      <c r="H615" s="38">
        <v>46023</v>
      </c>
      <c r="I615" s="38" t="s">
        <v>1797</v>
      </c>
      <c r="J615" s="42">
        <v>58</v>
      </c>
      <c r="K615" s="43">
        <v>994844.5</v>
      </c>
    </row>
    <row r="616" spans="1:11" x14ac:dyDescent="0.25">
      <c r="A616" s="38">
        <v>46023</v>
      </c>
      <c r="B616" s="33" t="s">
        <v>970</v>
      </c>
      <c r="C616" s="36" t="s">
        <v>289</v>
      </c>
      <c r="D616" s="34" t="s">
        <v>412</v>
      </c>
      <c r="E616" s="34"/>
      <c r="F616" s="37">
        <v>506170</v>
      </c>
      <c r="G616" s="37">
        <v>506170</v>
      </c>
      <c r="H616" s="38">
        <v>46053</v>
      </c>
      <c r="I616" s="38" t="s">
        <v>1796</v>
      </c>
      <c r="J616" s="42">
        <v>28</v>
      </c>
      <c r="K616" s="43">
        <v>506170</v>
      </c>
    </row>
    <row r="617" spans="1:11" x14ac:dyDescent="0.25">
      <c r="A617" s="38">
        <v>46024</v>
      </c>
      <c r="B617" s="33" t="s">
        <v>971</v>
      </c>
      <c r="C617" s="36" t="s">
        <v>17</v>
      </c>
      <c r="D617" s="34" t="s">
        <v>561</v>
      </c>
      <c r="E617" s="34"/>
      <c r="F617" s="37">
        <v>77880</v>
      </c>
      <c r="G617" s="37">
        <v>77880</v>
      </c>
      <c r="H617" s="38">
        <v>46054</v>
      </c>
      <c r="I617" s="38" t="s">
        <v>1796</v>
      </c>
      <c r="J617" s="42">
        <v>27</v>
      </c>
      <c r="K617" s="43">
        <v>77880</v>
      </c>
    </row>
    <row r="618" spans="1:11" x14ac:dyDescent="0.25">
      <c r="A618" s="38">
        <v>46024</v>
      </c>
      <c r="B618" s="33" t="s">
        <v>972</v>
      </c>
      <c r="C618" s="36" t="s">
        <v>62</v>
      </c>
      <c r="D618" s="34" t="s">
        <v>561</v>
      </c>
      <c r="E618" s="34"/>
      <c r="F618" s="37">
        <v>83826</v>
      </c>
      <c r="G618" s="37">
        <v>83826</v>
      </c>
      <c r="H618" s="38">
        <v>46084</v>
      </c>
      <c r="I618" s="38" t="s">
        <v>1796</v>
      </c>
      <c r="J618" s="42">
        <f>$I$1-A618</f>
        <v>57</v>
      </c>
      <c r="K618" s="43">
        <v>83826</v>
      </c>
    </row>
    <row r="619" spans="1:11" x14ac:dyDescent="0.25">
      <c r="A619" s="38">
        <v>46024</v>
      </c>
      <c r="B619" s="33" t="s">
        <v>973</v>
      </c>
      <c r="C619" s="36" t="s">
        <v>258</v>
      </c>
      <c r="D619" s="34" t="s">
        <v>561</v>
      </c>
      <c r="E619" s="34"/>
      <c r="F619" s="37">
        <v>234990</v>
      </c>
      <c r="G619" s="37">
        <v>234990</v>
      </c>
      <c r="H619" s="38">
        <v>46024</v>
      </c>
      <c r="I619" s="38" t="s">
        <v>1797</v>
      </c>
      <c r="J619" s="42">
        <v>57</v>
      </c>
      <c r="K619" s="43">
        <v>234990</v>
      </c>
    </row>
    <row r="620" spans="1:11" x14ac:dyDescent="0.25">
      <c r="A620" s="38">
        <v>46024</v>
      </c>
      <c r="B620" s="33" t="s">
        <v>975</v>
      </c>
      <c r="C620" s="36" t="s">
        <v>258</v>
      </c>
      <c r="D620" s="34" t="s">
        <v>561</v>
      </c>
      <c r="E620" s="34"/>
      <c r="F620" s="37">
        <v>234990</v>
      </c>
      <c r="G620" s="37">
        <v>234990</v>
      </c>
      <c r="H620" s="38">
        <v>46024</v>
      </c>
      <c r="I620" s="38" t="s">
        <v>1797</v>
      </c>
      <c r="J620" s="42">
        <v>57</v>
      </c>
      <c r="K620" s="43">
        <v>234990</v>
      </c>
    </row>
    <row r="621" spans="1:11" x14ac:dyDescent="0.25">
      <c r="A621" s="38">
        <v>46025</v>
      </c>
      <c r="B621" s="33" t="s">
        <v>976</v>
      </c>
      <c r="C621" s="36" t="s">
        <v>62</v>
      </c>
      <c r="D621" s="34" t="s">
        <v>561</v>
      </c>
      <c r="E621" s="34"/>
      <c r="F621" s="37">
        <v>82259</v>
      </c>
      <c r="G621" s="37">
        <v>82259</v>
      </c>
      <c r="H621" s="38">
        <v>46085</v>
      </c>
      <c r="I621" s="38" t="s">
        <v>1796</v>
      </c>
      <c r="J621" s="42">
        <f>$I$1-A621</f>
        <v>56</v>
      </c>
      <c r="K621" s="43">
        <v>82259</v>
      </c>
    </row>
    <row r="622" spans="1:11" x14ac:dyDescent="0.25">
      <c r="A622" s="38">
        <v>46025</v>
      </c>
      <c r="B622" s="33" t="s">
        <v>977</v>
      </c>
      <c r="C622" s="36" t="s">
        <v>258</v>
      </c>
      <c r="D622" s="34" t="s">
        <v>561</v>
      </c>
      <c r="E622" s="34"/>
      <c r="F622" s="37">
        <v>201420</v>
      </c>
      <c r="G622" s="37">
        <v>201420</v>
      </c>
      <c r="H622" s="38">
        <v>46025</v>
      </c>
      <c r="I622" s="38" t="s">
        <v>1797</v>
      </c>
      <c r="J622" s="42">
        <v>56</v>
      </c>
      <c r="K622" s="43">
        <v>201420</v>
      </c>
    </row>
    <row r="623" spans="1:11" x14ac:dyDescent="0.25">
      <c r="A623" s="38">
        <v>46026</v>
      </c>
      <c r="B623" s="33" t="s">
        <v>587</v>
      </c>
      <c r="C623" s="36" t="s">
        <v>40</v>
      </c>
      <c r="D623" s="34" t="s">
        <v>323</v>
      </c>
      <c r="E623" s="34"/>
      <c r="F623" s="37">
        <v>358637</v>
      </c>
      <c r="G623" s="37">
        <v>358637</v>
      </c>
      <c r="H623" s="38">
        <v>46026</v>
      </c>
      <c r="I623" s="38" t="s">
        <v>1797</v>
      </c>
      <c r="J623" s="42">
        <v>55</v>
      </c>
      <c r="K623" s="43">
        <v>358637</v>
      </c>
    </row>
    <row r="624" spans="1:11" x14ac:dyDescent="0.25">
      <c r="A624" s="38">
        <v>46026</v>
      </c>
      <c r="B624" s="33" t="s">
        <v>978</v>
      </c>
      <c r="C624" s="36" t="s">
        <v>40</v>
      </c>
      <c r="D624" s="34" t="s">
        <v>373</v>
      </c>
      <c r="E624" s="34"/>
      <c r="F624" s="37">
        <v>462607</v>
      </c>
      <c r="G624" s="37">
        <v>462607</v>
      </c>
      <c r="H624" s="38">
        <v>46026</v>
      </c>
      <c r="I624" s="38" t="s">
        <v>1797</v>
      </c>
      <c r="J624" s="42">
        <v>55</v>
      </c>
      <c r="K624" s="43">
        <v>462607</v>
      </c>
    </row>
    <row r="625" spans="1:11" x14ac:dyDescent="0.25">
      <c r="A625" s="38">
        <v>46026</v>
      </c>
      <c r="B625" s="33" t="s">
        <v>979</v>
      </c>
      <c r="C625" s="36" t="s">
        <v>45</v>
      </c>
      <c r="D625" s="34" t="s">
        <v>433</v>
      </c>
      <c r="E625" s="34"/>
      <c r="F625" s="37">
        <v>5074</v>
      </c>
      <c r="G625" s="37">
        <v>5074</v>
      </c>
      <c r="H625" s="38">
        <v>46026</v>
      </c>
      <c r="I625" s="38" t="s">
        <v>1797</v>
      </c>
      <c r="J625" s="42">
        <v>55</v>
      </c>
      <c r="K625" s="43">
        <v>5074</v>
      </c>
    </row>
    <row r="626" spans="1:11" x14ac:dyDescent="0.25">
      <c r="A626" s="38">
        <v>46026</v>
      </c>
      <c r="B626" s="33" t="s">
        <v>980</v>
      </c>
      <c r="C626" s="36" t="s">
        <v>62</v>
      </c>
      <c r="D626" s="34" t="s">
        <v>561</v>
      </c>
      <c r="E626" s="34"/>
      <c r="F626" s="37">
        <v>77533</v>
      </c>
      <c r="G626" s="37">
        <v>77533</v>
      </c>
      <c r="H626" s="38">
        <v>46086</v>
      </c>
      <c r="I626" s="38" t="s">
        <v>1796</v>
      </c>
      <c r="J626" s="42">
        <f t="shared" ref="J626:J627" si="2">$I$1-A626</f>
        <v>55</v>
      </c>
      <c r="K626" s="43">
        <v>77533</v>
      </c>
    </row>
    <row r="627" spans="1:11" x14ac:dyDescent="0.25">
      <c r="A627" s="38">
        <v>46026</v>
      </c>
      <c r="B627" s="33" t="s">
        <v>981</v>
      </c>
      <c r="C627" s="36" t="s">
        <v>62</v>
      </c>
      <c r="D627" s="34" t="s">
        <v>561</v>
      </c>
      <c r="E627" s="34"/>
      <c r="F627" s="37">
        <v>76906</v>
      </c>
      <c r="G627" s="37">
        <v>76906</v>
      </c>
      <c r="H627" s="38">
        <v>46086</v>
      </c>
      <c r="I627" s="38" t="s">
        <v>1796</v>
      </c>
      <c r="J627" s="42">
        <f t="shared" si="2"/>
        <v>55</v>
      </c>
      <c r="K627" s="43">
        <v>76906</v>
      </c>
    </row>
    <row r="628" spans="1:11" x14ac:dyDescent="0.25">
      <c r="A628" s="38">
        <v>46027</v>
      </c>
      <c r="B628" s="33" t="s">
        <v>982</v>
      </c>
      <c r="C628" s="36" t="s">
        <v>187</v>
      </c>
      <c r="D628" s="34" t="s">
        <v>341</v>
      </c>
      <c r="E628" s="34"/>
      <c r="F628" s="37">
        <v>91698.68</v>
      </c>
      <c r="G628" s="37">
        <v>91698.68</v>
      </c>
      <c r="H628" s="38">
        <v>46027</v>
      </c>
      <c r="I628" s="38" t="s">
        <v>1797</v>
      </c>
      <c r="J628" s="42">
        <v>54</v>
      </c>
      <c r="K628" s="43">
        <v>91698.68</v>
      </c>
    </row>
    <row r="629" spans="1:11" x14ac:dyDescent="0.25">
      <c r="A629" s="38">
        <v>46027</v>
      </c>
      <c r="B629" s="33" t="s">
        <v>983</v>
      </c>
      <c r="C629" s="36" t="s">
        <v>245</v>
      </c>
      <c r="D629" s="34" t="s">
        <v>642</v>
      </c>
      <c r="E629" s="34"/>
      <c r="F629" s="37">
        <v>60900</v>
      </c>
      <c r="G629" s="37">
        <v>60900</v>
      </c>
      <c r="H629" s="38">
        <v>46027</v>
      </c>
      <c r="I629" s="38" t="s">
        <v>1797</v>
      </c>
      <c r="J629" s="42">
        <v>54</v>
      </c>
      <c r="K629" s="43">
        <v>60900</v>
      </c>
    </row>
    <row r="630" spans="1:11" x14ac:dyDescent="0.25">
      <c r="A630" s="38">
        <v>46027</v>
      </c>
      <c r="B630" s="33" t="s">
        <v>984</v>
      </c>
      <c r="C630" s="36" t="s">
        <v>258</v>
      </c>
      <c r="D630" s="34" t="s">
        <v>561</v>
      </c>
      <c r="E630" s="34"/>
      <c r="F630" s="37">
        <v>167850</v>
      </c>
      <c r="G630" s="37">
        <v>167850</v>
      </c>
      <c r="H630" s="38">
        <v>46027</v>
      </c>
      <c r="I630" s="38" t="s">
        <v>1797</v>
      </c>
      <c r="J630" s="42">
        <v>54</v>
      </c>
      <c r="K630" s="43">
        <v>167850</v>
      </c>
    </row>
    <row r="631" spans="1:11" x14ac:dyDescent="0.25">
      <c r="A631" s="38">
        <v>46028</v>
      </c>
      <c r="B631" s="33" t="s">
        <v>985</v>
      </c>
      <c r="C631" s="36" t="s">
        <v>62</v>
      </c>
      <c r="D631" s="34" t="s">
        <v>561</v>
      </c>
      <c r="E631" s="34"/>
      <c r="F631" s="37">
        <v>90433</v>
      </c>
      <c r="G631" s="37">
        <v>90433</v>
      </c>
      <c r="H631" s="38">
        <v>46088</v>
      </c>
      <c r="I631" s="38" t="s">
        <v>1796</v>
      </c>
      <c r="J631" s="42">
        <f t="shared" ref="J631:J632" si="3">$I$1-A631</f>
        <v>53</v>
      </c>
      <c r="K631" s="43">
        <v>90433</v>
      </c>
    </row>
    <row r="632" spans="1:11" x14ac:dyDescent="0.25">
      <c r="A632" s="38">
        <v>46028</v>
      </c>
      <c r="B632" s="33" t="s">
        <v>986</v>
      </c>
      <c r="C632" s="36" t="s">
        <v>62</v>
      </c>
      <c r="D632" s="34" t="s">
        <v>561</v>
      </c>
      <c r="E632" s="34"/>
      <c r="F632" s="37">
        <v>76671</v>
      </c>
      <c r="G632" s="37">
        <v>76671</v>
      </c>
      <c r="H632" s="38">
        <v>46088</v>
      </c>
      <c r="I632" s="38" t="s">
        <v>1796</v>
      </c>
      <c r="J632" s="42">
        <f t="shared" si="3"/>
        <v>53</v>
      </c>
      <c r="K632" s="43">
        <v>76671</v>
      </c>
    </row>
    <row r="633" spans="1:11" x14ac:dyDescent="0.25">
      <c r="A633" s="38">
        <v>46028</v>
      </c>
      <c r="B633" s="33" t="s">
        <v>987</v>
      </c>
      <c r="C633" s="36" t="s">
        <v>91</v>
      </c>
      <c r="D633" s="34" t="s">
        <v>561</v>
      </c>
      <c r="E633" s="34"/>
      <c r="F633" s="37">
        <v>59000</v>
      </c>
      <c r="G633" s="37">
        <v>59000</v>
      </c>
      <c r="H633" s="38">
        <v>46028</v>
      </c>
      <c r="I633" s="38" t="s">
        <v>1797</v>
      </c>
      <c r="J633" s="42">
        <v>53</v>
      </c>
      <c r="K633" s="43">
        <v>59000</v>
      </c>
    </row>
    <row r="634" spans="1:11" x14ac:dyDescent="0.25">
      <c r="A634" s="38">
        <v>46028</v>
      </c>
      <c r="B634" s="33" t="s">
        <v>988</v>
      </c>
      <c r="C634" s="36" t="s">
        <v>172</v>
      </c>
      <c r="D634" s="34" t="s">
        <v>412</v>
      </c>
      <c r="E634" s="34"/>
      <c r="F634" s="37">
        <v>23012</v>
      </c>
      <c r="G634" s="37">
        <v>23012</v>
      </c>
      <c r="H634" s="38">
        <v>46028</v>
      </c>
      <c r="I634" s="38" t="s">
        <v>1797</v>
      </c>
      <c r="J634" s="42">
        <v>53</v>
      </c>
      <c r="K634" s="43">
        <v>23012</v>
      </c>
    </row>
    <row r="635" spans="1:11" x14ac:dyDescent="0.25">
      <c r="A635" s="38">
        <v>46028</v>
      </c>
      <c r="B635" s="33" t="s">
        <v>989</v>
      </c>
      <c r="C635" s="36" t="s">
        <v>188</v>
      </c>
      <c r="D635" s="34" t="s">
        <v>402</v>
      </c>
      <c r="E635" s="34"/>
      <c r="F635" s="37">
        <v>86246</v>
      </c>
      <c r="G635" s="37">
        <v>86246</v>
      </c>
      <c r="H635" s="38">
        <v>46048</v>
      </c>
      <c r="I635" s="38" t="s">
        <v>1797</v>
      </c>
      <c r="J635" s="42">
        <v>33</v>
      </c>
      <c r="K635" s="43">
        <v>86246</v>
      </c>
    </row>
    <row r="636" spans="1:11" x14ac:dyDescent="0.25">
      <c r="A636" s="38">
        <v>46028</v>
      </c>
      <c r="B636" s="33" t="s">
        <v>990</v>
      </c>
      <c r="C636" s="36" t="s">
        <v>258</v>
      </c>
      <c r="D636" s="34" t="s">
        <v>561</v>
      </c>
      <c r="E636" s="34"/>
      <c r="F636" s="37">
        <v>234990</v>
      </c>
      <c r="G636" s="37">
        <v>234990</v>
      </c>
      <c r="H636" s="38">
        <v>46028</v>
      </c>
      <c r="I636" s="38" t="s">
        <v>1797</v>
      </c>
      <c r="J636" s="42">
        <v>53</v>
      </c>
      <c r="K636" s="43">
        <v>234990</v>
      </c>
    </row>
    <row r="637" spans="1:11" x14ac:dyDescent="0.25">
      <c r="A637" s="38">
        <v>46028</v>
      </c>
      <c r="B637" s="33" t="s">
        <v>991</v>
      </c>
      <c r="C637" s="36" t="s">
        <v>258</v>
      </c>
      <c r="D637" s="34" t="s">
        <v>561</v>
      </c>
      <c r="E637" s="34"/>
      <c r="F637" s="37">
        <v>231633</v>
      </c>
      <c r="G637" s="37">
        <v>231633</v>
      </c>
      <c r="H637" s="38">
        <v>46028</v>
      </c>
      <c r="I637" s="38" t="s">
        <v>1797</v>
      </c>
      <c r="J637" s="42">
        <v>53</v>
      </c>
      <c r="K637" s="43">
        <v>231633</v>
      </c>
    </row>
    <row r="638" spans="1:11" x14ac:dyDescent="0.25">
      <c r="A638" s="38">
        <v>46029</v>
      </c>
      <c r="B638" s="33" t="s">
        <v>992</v>
      </c>
      <c r="C638" s="36" t="s">
        <v>97</v>
      </c>
      <c r="D638" s="34" t="s">
        <v>435</v>
      </c>
      <c r="E638" s="34"/>
      <c r="F638" s="39">
        <v>5500</v>
      </c>
      <c r="G638" s="39">
        <v>804</v>
      </c>
      <c r="H638" s="38">
        <v>46029</v>
      </c>
      <c r="I638" s="38" t="s">
        <v>1797</v>
      </c>
      <c r="J638" s="42">
        <v>52</v>
      </c>
      <c r="K638" s="43">
        <v>-804</v>
      </c>
    </row>
    <row r="639" spans="1:11" x14ac:dyDescent="0.25">
      <c r="A639" s="38">
        <v>46029</v>
      </c>
      <c r="B639" s="33" t="s">
        <v>993</v>
      </c>
      <c r="C639" s="36" t="s">
        <v>172</v>
      </c>
      <c r="D639" s="34" t="s">
        <v>412</v>
      </c>
      <c r="E639" s="34"/>
      <c r="F639" s="37">
        <v>43274</v>
      </c>
      <c r="G639" s="37">
        <v>43274</v>
      </c>
      <c r="H639" s="38">
        <v>46029</v>
      </c>
      <c r="I639" s="38" t="s">
        <v>1797</v>
      </c>
      <c r="J639" s="42">
        <v>52</v>
      </c>
      <c r="K639" s="43">
        <v>43274</v>
      </c>
    </row>
    <row r="640" spans="1:11" x14ac:dyDescent="0.25">
      <c r="A640" s="38">
        <v>46030</v>
      </c>
      <c r="B640" s="33" t="s">
        <v>994</v>
      </c>
      <c r="C640" s="36" t="s">
        <v>17</v>
      </c>
      <c r="D640" s="34" t="s">
        <v>561</v>
      </c>
      <c r="E640" s="34"/>
      <c r="F640" s="37">
        <v>45607</v>
      </c>
      <c r="G640" s="37">
        <v>45607</v>
      </c>
      <c r="H640" s="38">
        <v>46060</v>
      </c>
      <c r="I640" s="38" t="s">
        <v>1796</v>
      </c>
      <c r="J640" s="42">
        <v>21</v>
      </c>
      <c r="K640" s="43">
        <v>45607</v>
      </c>
    </row>
    <row r="641" spans="1:11" x14ac:dyDescent="0.25">
      <c r="A641" s="38">
        <v>46030</v>
      </c>
      <c r="B641" s="33" t="s">
        <v>995</v>
      </c>
      <c r="C641" s="36" t="s">
        <v>62</v>
      </c>
      <c r="D641" s="34" t="s">
        <v>561</v>
      </c>
      <c r="E641" s="34"/>
      <c r="F641" s="37">
        <v>95760</v>
      </c>
      <c r="G641" s="37">
        <v>95760</v>
      </c>
      <c r="H641" s="38">
        <v>46090</v>
      </c>
      <c r="I641" s="38" t="s">
        <v>1796</v>
      </c>
      <c r="J641" s="42">
        <f t="shared" ref="J641:J642" si="4">$I$1-A641</f>
        <v>51</v>
      </c>
      <c r="K641" s="43">
        <v>95760</v>
      </c>
    </row>
    <row r="642" spans="1:11" x14ac:dyDescent="0.25">
      <c r="A642" s="38">
        <v>46030</v>
      </c>
      <c r="B642" s="33" t="s">
        <v>996</v>
      </c>
      <c r="C642" s="36" t="s">
        <v>62</v>
      </c>
      <c r="D642" s="34" t="s">
        <v>561</v>
      </c>
      <c r="E642" s="34"/>
      <c r="F642" s="37">
        <v>76697</v>
      </c>
      <c r="G642" s="37">
        <v>76697</v>
      </c>
      <c r="H642" s="38">
        <v>46090</v>
      </c>
      <c r="I642" s="38" t="s">
        <v>1796</v>
      </c>
      <c r="J642" s="42">
        <f t="shared" si="4"/>
        <v>51</v>
      </c>
      <c r="K642" s="43">
        <v>76697</v>
      </c>
    </row>
    <row r="643" spans="1:11" x14ac:dyDescent="0.25">
      <c r="A643" s="38">
        <v>46030</v>
      </c>
      <c r="B643" s="33" t="s">
        <v>997</v>
      </c>
      <c r="C643" s="36" t="s">
        <v>245</v>
      </c>
      <c r="D643" s="34" t="s">
        <v>642</v>
      </c>
      <c r="E643" s="34"/>
      <c r="F643" s="37">
        <v>60900</v>
      </c>
      <c r="G643" s="37">
        <v>60900</v>
      </c>
      <c r="H643" s="38">
        <v>46030</v>
      </c>
      <c r="I643" s="38" t="s">
        <v>1797</v>
      </c>
      <c r="J643" s="42">
        <v>51</v>
      </c>
      <c r="K643" s="43">
        <v>60900</v>
      </c>
    </row>
    <row r="644" spans="1:11" x14ac:dyDescent="0.25">
      <c r="A644" s="38">
        <v>46030</v>
      </c>
      <c r="B644" s="33" t="s">
        <v>998</v>
      </c>
      <c r="C644" s="36" t="s">
        <v>258</v>
      </c>
      <c r="D644" s="34" t="s">
        <v>561</v>
      </c>
      <c r="E644" s="34"/>
      <c r="F644" s="37">
        <v>198734</v>
      </c>
      <c r="G644" s="37">
        <v>198734</v>
      </c>
      <c r="H644" s="38">
        <v>46030</v>
      </c>
      <c r="I644" s="38" t="s">
        <v>1797</v>
      </c>
      <c r="J644" s="42">
        <v>51</v>
      </c>
      <c r="K644" s="43">
        <v>198734</v>
      </c>
    </row>
    <row r="645" spans="1:11" x14ac:dyDescent="0.25">
      <c r="A645" s="38">
        <v>46030</v>
      </c>
      <c r="B645" s="33" t="s">
        <v>999</v>
      </c>
      <c r="C645" s="36" t="s">
        <v>294</v>
      </c>
      <c r="D645" s="34" t="s">
        <v>8</v>
      </c>
      <c r="E645" s="34"/>
      <c r="F645" s="39">
        <v>463190</v>
      </c>
      <c r="G645" s="39">
        <v>463190</v>
      </c>
      <c r="H645" s="38">
        <v>46030</v>
      </c>
      <c r="I645" s="38" t="s">
        <v>1797</v>
      </c>
      <c r="J645" s="42">
        <v>51</v>
      </c>
      <c r="K645" s="43">
        <v>-463190</v>
      </c>
    </row>
    <row r="646" spans="1:11" x14ac:dyDescent="0.25">
      <c r="A646" s="38">
        <v>46031</v>
      </c>
      <c r="B646" s="33" t="s">
        <v>1000</v>
      </c>
      <c r="C646" s="36" t="s">
        <v>17</v>
      </c>
      <c r="D646" s="34" t="s">
        <v>402</v>
      </c>
      <c r="E646" s="34"/>
      <c r="F646" s="37">
        <v>8618</v>
      </c>
      <c r="G646" s="37">
        <v>8618</v>
      </c>
      <c r="H646" s="38">
        <v>46061</v>
      </c>
      <c r="I646" s="38" t="s">
        <v>1796</v>
      </c>
      <c r="J646" s="42">
        <v>20</v>
      </c>
      <c r="K646" s="43">
        <v>8618</v>
      </c>
    </row>
    <row r="647" spans="1:11" x14ac:dyDescent="0.25">
      <c r="A647" s="38">
        <v>46031</v>
      </c>
      <c r="B647" s="33" t="s">
        <v>512</v>
      </c>
      <c r="C647" s="36" t="s">
        <v>40</v>
      </c>
      <c r="D647" s="34" t="s">
        <v>412</v>
      </c>
      <c r="E647" s="34"/>
      <c r="F647" s="37">
        <v>346566</v>
      </c>
      <c r="G647" s="37">
        <v>346566</v>
      </c>
      <c r="H647" s="38">
        <v>46031</v>
      </c>
      <c r="I647" s="38" t="s">
        <v>1797</v>
      </c>
      <c r="J647" s="42">
        <v>50</v>
      </c>
      <c r="K647" s="43">
        <v>346566</v>
      </c>
    </row>
    <row r="648" spans="1:11" x14ac:dyDescent="0.25">
      <c r="A648" s="38">
        <v>46031</v>
      </c>
      <c r="B648" s="33" t="s">
        <v>1001</v>
      </c>
      <c r="C648" s="36" t="s">
        <v>62</v>
      </c>
      <c r="D648" s="34" t="s">
        <v>561</v>
      </c>
      <c r="E648" s="34"/>
      <c r="F648" s="37">
        <v>85915</v>
      </c>
      <c r="G648" s="37">
        <v>85915</v>
      </c>
      <c r="H648" s="38">
        <v>46091</v>
      </c>
      <c r="I648" s="38" t="s">
        <v>1796</v>
      </c>
      <c r="J648" s="42">
        <f t="shared" ref="J648:J649" si="5">$I$1-A648</f>
        <v>50</v>
      </c>
      <c r="K648" s="43">
        <v>85915</v>
      </c>
    </row>
    <row r="649" spans="1:11" x14ac:dyDescent="0.25">
      <c r="A649" s="38">
        <v>46031</v>
      </c>
      <c r="B649" s="33" t="s">
        <v>1002</v>
      </c>
      <c r="C649" s="36" t="s">
        <v>62</v>
      </c>
      <c r="D649" s="34" t="s">
        <v>561</v>
      </c>
      <c r="E649" s="34"/>
      <c r="F649" s="37">
        <v>77428</v>
      </c>
      <c r="G649" s="37">
        <v>77428</v>
      </c>
      <c r="H649" s="38">
        <v>46091</v>
      </c>
      <c r="I649" s="38" t="s">
        <v>1796</v>
      </c>
      <c r="J649" s="42">
        <f t="shared" si="5"/>
        <v>50</v>
      </c>
      <c r="K649" s="43">
        <v>77428</v>
      </c>
    </row>
    <row r="650" spans="1:11" x14ac:dyDescent="0.25">
      <c r="A650" s="38">
        <v>46031</v>
      </c>
      <c r="B650" s="33" t="s">
        <v>1003</v>
      </c>
      <c r="C650" s="36" t="s">
        <v>202</v>
      </c>
      <c r="D650" s="34" t="s">
        <v>449</v>
      </c>
      <c r="E650" s="34"/>
      <c r="F650" s="37">
        <v>9989846.1199999992</v>
      </c>
      <c r="G650" s="37">
        <v>9989846.1199999992</v>
      </c>
      <c r="H650" s="38">
        <v>46031</v>
      </c>
      <c r="I650" s="38" t="s">
        <v>1797</v>
      </c>
      <c r="J650" s="42">
        <v>50</v>
      </c>
      <c r="K650" s="43">
        <v>9989846.1199999992</v>
      </c>
    </row>
    <row r="651" spans="1:11" x14ac:dyDescent="0.25">
      <c r="A651" s="38">
        <v>46031</v>
      </c>
      <c r="B651" s="33" t="s">
        <v>1004</v>
      </c>
      <c r="C651" s="36" t="s">
        <v>202</v>
      </c>
      <c r="D651" s="34" t="s">
        <v>449</v>
      </c>
      <c r="E651" s="34"/>
      <c r="F651" s="37">
        <v>9385681.9800000004</v>
      </c>
      <c r="G651" s="37">
        <v>9385681.9800000004</v>
      </c>
      <c r="H651" s="38">
        <v>46031</v>
      </c>
      <c r="I651" s="38" t="s">
        <v>1797</v>
      </c>
      <c r="J651" s="42">
        <v>50</v>
      </c>
      <c r="K651" s="43">
        <v>9385681.9800000004</v>
      </c>
    </row>
    <row r="652" spans="1:11" x14ac:dyDescent="0.25">
      <c r="A652" s="38">
        <v>46031</v>
      </c>
      <c r="B652" s="33" t="s">
        <v>1005</v>
      </c>
      <c r="C652" s="36" t="s">
        <v>202</v>
      </c>
      <c r="D652" s="34" t="s">
        <v>449</v>
      </c>
      <c r="E652" s="34"/>
      <c r="F652" s="37">
        <v>9323076.9000000004</v>
      </c>
      <c r="G652" s="37">
        <v>9323076.9000000004</v>
      </c>
      <c r="H652" s="38">
        <v>46031</v>
      </c>
      <c r="I652" s="38" t="s">
        <v>1797</v>
      </c>
      <c r="J652" s="42">
        <v>50</v>
      </c>
      <c r="K652" s="43">
        <v>9323076.9000000004</v>
      </c>
    </row>
    <row r="653" spans="1:11" x14ac:dyDescent="0.25">
      <c r="A653" s="38">
        <v>46031</v>
      </c>
      <c r="B653" s="33" t="s">
        <v>1006</v>
      </c>
      <c r="C653" s="36" t="s">
        <v>202</v>
      </c>
      <c r="D653" s="34" t="s">
        <v>449</v>
      </c>
      <c r="E653" s="34"/>
      <c r="F653" s="37">
        <v>8238197.3700000001</v>
      </c>
      <c r="G653" s="37">
        <v>8238197.3700000001</v>
      </c>
      <c r="H653" s="38">
        <v>46031</v>
      </c>
      <c r="I653" s="38" t="s">
        <v>1797</v>
      </c>
      <c r="J653" s="42">
        <v>50</v>
      </c>
      <c r="K653" s="43">
        <v>8238197.3700000001</v>
      </c>
    </row>
    <row r="654" spans="1:11" x14ac:dyDescent="0.25">
      <c r="A654" s="38">
        <v>46031</v>
      </c>
      <c r="B654" s="33" t="s">
        <v>1007</v>
      </c>
      <c r="C654" s="36" t="s">
        <v>202</v>
      </c>
      <c r="D654" s="34" t="s">
        <v>449</v>
      </c>
      <c r="E654" s="34"/>
      <c r="F654" s="37">
        <v>5457289.46</v>
      </c>
      <c r="G654" s="37">
        <v>5457289.46</v>
      </c>
      <c r="H654" s="38">
        <v>46031</v>
      </c>
      <c r="I654" s="38" t="s">
        <v>1797</v>
      </c>
      <c r="J654" s="42">
        <v>50</v>
      </c>
      <c r="K654" s="43">
        <v>5457289.46</v>
      </c>
    </row>
    <row r="655" spans="1:11" x14ac:dyDescent="0.25">
      <c r="A655" s="38">
        <v>46031</v>
      </c>
      <c r="B655" s="33" t="s">
        <v>1008</v>
      </c>
      <c r="C655" s="36" t="s">
        <v>202</v>
      </c>
      <c r="D655" s="34" t="s">
        <v>449</v>
      </c>
      <c r="E655" s="34"/>
      <c r="F655" s="37">
        <v>4544044.5999999996</v>
      </c>
      <c r="G655" s="37">
        <v>4544044.5999999996</v>
      </c>
      <c r="H655" s="38">
        <v>46031</v>
      </c>
      <c r="I655" s="38" t="s">
        <v>1797</v>
      </c>
      <c r="J655" s="42">
        <v>50</v>
      </c>
      <c r="K655" s="43">
        <v>4544044.5999999996</v>
      </c>
    </row>
    <row r="656" spans="1:11" x14ac:dyDescent="0.25">
      <c r="A656" s="38">
        <v>46031</v>
      </c>
      <c r="B656" s="33" t="s">
        <v>1009</v>
      </c>
      <c r="C656" s="36" t="s">
        <v>202</v>
      </c>
      <c r="D656" s="34" t="s">
        <v>449</v>
      </c>
      <c r="E656" s="34"/>
      <c r="F656" s="37">
        <v>3241410.34</v>
      </c>
      <c r="G656" s="37">
        <v>3241410.34</v>
      </c>
      <c r="H656" s="38">
        <v>46031</v>
      </c>
      <c r="I656" s="38" t="s">
        <v>1797</v>
      </c>
      <c r="J656" s="42">
        <v>50</v>
      </c>
      <c r="K656" s="43">
        <v>3241410.34</v>
      </c>
    </row>
    <row r="657" spans="1:11" x14ac:dyDescent="0.25">
      <c r="A657" s="38">
        <v>46031</v>
      </c>
      <c r="B657" s="33" t="s">
        <v>1010</v>
      </c>
      <c r="C657" s="36" t="s">
        <v>202</v>
      </c>
      <c r="D657" s="34" t="s">
        <v>449</v>
      </c>
      <c r="E657" s="34"/>
      <c r="F657" s="37">
        <v>3150540.27</v>
      </c>
      <c r="G657" s="37">
        <v>3150540.27</v>
      </c>
      <c r="H657" s="38">
        <v>46031</v>
      </c>
      <c r="I657" s="38" t="s">
        <v>1797</v>
      </c>
      <c r="J657" s="42">
        <v>50</v>
      </c>
      <c r="K657" s="43">
        <v>3150540.27</v>
      </c>
    </row>
    <row r="658" spans="1:11" x14ac:dyDescent="0.25">
      <c r="A658" s="38">
        <v>46031</v>
      </c>
      <c r="B658" s="33" t="s">
        <v>1011</v>
      </c>
      <c r="C658" s="36" t="s">
        <v>202</v>
      </c>
      <c r="D658" s="34" t="s">
        <v>449</v>
      </c>
      <c r="E658" s="34"/>
      <c r="F658" s="37">
        <v>2821563.17</v>
      </c>
      <c r="G658" s="37">
        <v>2821563.17</v>
      </c>
      <c r="H658" s="38">
        <v>46031</v>
      </c>
      <c r="I658" s="38" t="s">
        <v>1797</v>
      </c>
      <c r="J658" s="42">
        <v>50</v>
      </c>
      <c r="K658" s="43">
        <v>2821563.17</v>
      </c>
    </row>
    <row r="659" spans="1:11" x14ac:dyDescent="0.25">
      <c r="A659" s="38">
        <v>46031</v>
      </c>
      <c r="B659" s="33" t="s">
        <v>1012</v>
      </c>
      <c r="C659" s="36" t="s">
        <v>202</v>
      </c>
      <c r="D659" s="34" t="s">
        <v>449</v>
      </c>
      <c r="E659" s="34"/>
      <c r="F659" s="37">
        <v>2738392.95</v>
      </c>
      <c r="G659" s="37">
        <v>2738392.95</v>
      </c>
      <c r="H659" s="38">
        <v>46031</v>
      </c>
      <c r="I659" s="38" t="s">
        <v>1797</v>
      </c>
      <c r="J659" s="42">
        <v>50</v>
      </c>
      <c r="K659" s="43">
        <v>2738392.95</v>
      </c>
    </row>
    <row r="660" spans="1:11" x14ac:dyDescent="0.25">
      <c r="A660" s="38">
        <v>46031</v>
      </c>
      <c r="B660" s="33" t="s">
        <v>1013</v>
      </c>
      <c r="C660" s="36" t="s">
        <v>241</v>
      </c>
      <c r="D660" s="34" t="s">
        <v>561</v>
      </c>
      <c r="E660" s="34"/>
      <c r="F660" s="37">
        <v>60340</v>
      </c>
      <c r="G660" s="37">
        <v>60340</v>
      </c>
      <c r="H660" s="38">
        <v>46061</v>
      </c>
      <c r="I660" s="38" t="s">
        <v>1796</v>
      </c>
      <c r="J660" s="42">
        <v>20</v>
      </c>
      <c r="K660" s="43">
        <v>60340</v>
      </c>
    </row>
    <row r="661" spans="1:11" x14ac:dyDescent="0.25">
      <c r="A661" s="38">
        <v>46031</v>
      </c>
      <c r="B661" s="33" t="s">
        <v>1014</v>
      </c>
      <c r="C661" s="36" t="s">
        <v>258</v>
      </c>
      <c r="D661" s="34" t="s">
        <v>561</v>
      </c>
      <c r="E661" s="34"/>
      <c r="F661" s="37">
        <v>198734</v>
      </c>
      <c r="G661" s="37">
        <v>198734</v>
      </c>
      <c r="H661" s="38">
        <v>46031</v>
      </c>
      <c r="I661" s="38" t="s">
        <v>1797</v>
      </c>
      <c r="J661" s="42">
        <v>50</v>
      </c>
      <c r="K661" s="43">
        <v>198734</v>
      </c>
    </row>
    <row r="662" spans="1:11" x14ac:dyDescent="0.25">
      <c r="A662" s="38">
        <v>46031</v>
      </c>
      <c r="B662" s="33" t="s">
        <v>1015</v>
      </c>
      <c r="C662" s="36" t="s">
        <v>258</v>
      </c>
      <c r="D662" s="34" t="s">
        <v>561</v>
      </c>
      <c r="E662" s="34"/>
      <c r="F662" s="37">
        <v>201420</v>
      </c>
      <c r="G662" s="37">
        <v>201420</v>
      </c>
      <c r="H662" s="38">
        <v>46031</v>
      </c>
      <c r="I662" s="38" t="s">
        <v>1797</v>
      </c>
      <c r="J662" s="42">
        <v>50</v>
      </c>
      <c r="K662" s="43">
        <v>201420</v>
      </c>
    </row>
    <row r="663" spans="1:11" x14ac:dyDescent="0.25">
      <c r="A663" s="38">
        <v>46031</v>
      </c>
      <c r="B663" s="33" t="s">
        <v>1016</v>
      </c>
      <c r="C663" s="36" t="s">
        <v>258</v>
      </c>
      <c r="D663" s="34" t="s">
        <v>561</v>
      </c>
      <c r="E663" s="34"/>
      <c r="F663" s="37">
        <v>234990</v>
      </c>
      <c r="G663" s="37">
        <v>234990</v>
      </c>
      <c r="H663" s="38">
        <v>46031</v>
      </c>
      <c r="I663" s="38" t="s">
        <v>1797</v>
      </c>
      <c r="J663" s="42">
        <v>50</v>
      </c>
      <c r="K663" s="43">
        <v>234990</v>
      </c>
    </row>
    <row r="664" spans="1:11" x14ac:dyDescent="0.25">
      <c r="A664" s="38">
        <v>46031</v>
      </c>
      <c r="B664" s="33" t="s">
        <v>1017</v>
      </c>
      <c r="C664" s="36" t="s">
        <v>258</v>
      </c>
      <c r="D664" s="34" t="s">
        <v>561</v>
      </c>
      <c r="E664" s="34"/>
      <c r="F664" s="37">
        <v>234990</v>
      </c>
      <c r="G664" s="37">
        <v>234990</v>
      </c>
      <c r="H664" s="38">
        <v>46031</v>
      </c>
      <c r="I664" s="38" t="s">
        <v>1797</v>
      </c>
      <c r="J664" s="42">
        <v>50</v>
      </c>
      <c r="K664" s="43">
        <v>234990</v>
      </c>
    </row>
    <row r="665" spans="1:11" x14ac:dyDescent="0.25">
      <c r="A665" s="38">
        <v>46031</v>
      </c>
      <c r="B665" s="33" t="s">
        <v>1018</v>
      </c>
      <c r="C665" s="36" t="s">
        <v>258</v>
      </c>
      <c r="D665" s="34" t="s">
        <v>561</v>
      </c>
      <c r="E665" s="34"/>
      <c r="F665" s="37">
        <v>67140</v>
      </c>
      <c r="G665" s="37">
        <v>67140</v>
      </c>
      <c r="H665" s="38">
        <v>46031</v>
      </c>
      <c r="I665" s="38" t="s">
        <v>1797</v>
      </c>
      <c r="J665" s="42">
        <v>50</v>
      </c>
      <c r="K665" s="43">
        <v>67140</v>
      </c>
    </row>
    <row r="666" spans="1:11" x14ac:dyDescent="0.25">
      <c r="A666" s="38">
        <v>46032</v>
      </c>
      <c r="B666" s="33" t="s">
        <v>1019</v>
      </c>
      <c r="C666" s="36" t="s">
        <v>49</v>
      </c>
      <c r="D666" s="34" t="s">
        <v>412</v>
      </c>
      <c r="E666" s="34"/>
      <c r="F666" s="37">
        <v>202713.74</v>
      </c>
      <c r="G666" s="37">
        <v>202713.74</v>
      </c>
      <c r="H666" s="38">
        <v>46032</v>
      </c>
      <c r="I666" s="38" t="s">
        <v>1797</v>
      </c>
      <c r="J666" s="42">
        <v>49</v>
      </c>
      <c r="K666" s="43">
        <v>202713.74</v>
      </c>
    </row>
    <row r="667" spans="1:11" x14ac:dyDescent="0.25">
      <c r="A667" s="38">
        <v>46032</v>
      </c>
      <c r="B667" s="33" t="s">
        <v>1020</v>
      </c>
      <c r="C667" s="36" t="s">
        <v>51</v>
      </c>
      <c r="D667" s="34" t="s">
        <v>412</v>
      </c>
      <c r="E667" s="34"/>
      <c r="F667" s="37">
        <v>133678.57999999999</v>
      </c>
      <c r="G667" s="37">
        <v>133678.57999999999</v>
      </c>
      <c r="H667" s="38">
        <v>46032</v>
      </c>
      <c r="I667" s="38" t="s">
        <v>1797</v>
      </c>
      <c r="J667" s="42">
        <v>49</v>
      </c>
      <c r="K667" s="43">
        <v>133678.57999999999</v>
      </c>
    </row>
    <row r="668" spans="1:11" x14ac:dyDescent="0.25">
      <c r="A668" s="38">
        <v>46032</v>
      </c>
      <c r="B668" s="33" t="s">
        <v>1021</v>
      </c>
      <c r="C668" s="36" t="s">
        <v>51</v>
      </c>
      <c r="D668" s="34" t="s">
        <v>412</v>
      </c>
      <c r="E668" s="34"/>
      <c r="F668" s="37">
        <v>202600.01</v>
      </c>
      <c r="G668" s="37">
        <v>202600.01</v>
      </c>
      <c r="H668" s="38">
        <v>46032</v>
      </c>
      <c r="I668" s="38" t="s">
        <v>1797</v>
      </c>
      <c r="J668" s="42">
        <v>49</v>
      </c>
      <c r="K668" s="43">
        <v>202600.01</v>
      </c>
    </row>
    <row r="669" spans="1:11" x14ac:dyDescent="0.25">
      <c r="A669" s="38">
        <v>46032</v>
      </c>
      <c r="B669" s="33" t="s">
        <v>1022</v>
      </c>
      <c r="C669" s="36" t="s">
        <v>62</v>
      </c>
      <c r="D669" s="34" t="s">
        <v>561</v>
      </c>
      <c r="E669" s="34"/>
      <c r="F669" s="37">
        <v>76357</v>
      </c>
      <c r="G669" s="37">
        <v>76357</v>
      </c>
      <c r="H669" s="38">
        <v>46092</v>
      </c>
      <c r="I669" s="38" t="s">
        <v>1796</v>
      </c>
      <c r="J669" s="42">
        <f t="shared" ref="J669:J670" si="6">$I$1-A669</f>
        <v>49</v>
      </c>
      <c r="K669" s="43">
        <v>76357</v>
      </c>
    </row>
    <row r="670" spans="1:11" x14ac:dyDescent="0.25">
      <c r="A670" s="38">
        <v>46032</v>
      </c>
      <c r="B670" s="33" t="s">
        <v>1023</v>
      </c>
      <c r="C670" s="36" t="s">
        <v>62</v>
      </c>
      <c r="D670" s="34" t="s">
        <v>561</v>
      </c>
      <c r="E670" s="34"/>
      <c r="F670" s="37">
        <v>83826</v>
      </c>
      <c r="G670" s="37">
        <v>83826</v>
      </c>
      <c r="H670" s="38">
        <v>46092</v>
      </c>
      <c r="I670" s="38" t="s">
        <v>1796</v>
      </c>
      <c r="J670" s="42">
        <f t="shared" si="6"/>
        <v>49</v>
      </c>
      <c r="K670" s="43">
        <v>83826</v>
      </c>
    </row>
    <row r="671" spans="1:11" x14ac:dyDescent="0.25">
      <c r="A671" s="38">
        <v>46032</v>
      </c>
      <c r="B671" s="33" t="s">
        <v>1024</v>
      </c>
      <c r="C671" s="36" t="s">
        <v>150</v>
      </c>
      <c r="D671" s="34" t="s">
        <v>433</v>
      </c>
      <c r="E671" s="34"/>
      <c r="F671" s="37">
        <v>486261.3</v>
      </c>
      <c r="G671" s="37">
        <v>486261.3</v>
      </c>
      <c r="H671" s="38">
        <v>46062</v>
      </c>
      <c r="I671" s="38" t="s">
        <v>1796</v>
      </c>
      <c r="J671" s="42">
        <v>19</v>
      </c>
      <c r="K671" s="43">
        <v>486261.3</v>
      </c>
    </row>
    <row r="672" spans="1:11" x14ac:dyDescent="0.25">
      <c r="A672" s="38">
        <v>46032</v>
      </c>
      <c r="B672" s="33" t="s">
        <v>1025</v>
      </c>
      <c r="C672" s="36" t="s">
        <v>188</v>
      </c>
      <c r="D672" s="34" t="s">
        <v>402</v>
      </c>
      <c r="E672" s="34"/>
      <c r="F672" s="37">
        <v>115938</v>
      </c>
      <c r="G672" s="37">
        <v>115938</v>
      </c>
      <c r="H672" s="38">
        <v>46052</v>
      </c>
      <c r="I672" s="38" t="s">
        <v>1796</v>
      </c>
      <c r="J672" s="42">
        <v>29</v>
      </c>
      <c r="K672" s="43">
        <v>115938</v>
      </c>
    </row>
    <row r="673" spans="1:11" x14ac:dyDescent="0.25">
      <c r="A673" s="38">
        <v>46032</v>
      </c>
      <c r="B673" s="33" t="s">
        <v>1026</v>
      </c>
      <c r="C673" s="36" t="s">
        <v>258</v>
      </c>
      <c r="D673" s="34" t="s">
        <v>561</v>
      </c>
      <c r="E673" s="34"/>
      <c r="F673" s="37">
        <v>201420</v>
      </c>
      <c r="G673" s="37">
        <v>201420</v>
      </c>
      <c r="H673" s="38">
        <v>46032</v>
      </c>
      <c r="I673" s="38" t="s">
        <v>1797</v>
      </c>
      <c r="J673" s="42">
        <v>49</v>
      </c>
      <c r="K673" s="43">
        <v>201420</v>
      </c>
    </row>
    <row r="674" spans="1:11" x14ac:dyDescent="0.25">
      <c r="A674" s="38">
        <v>46033</v>
      </c>
      <c r="B674" s="33" t="s">
        <v>1027</v>
      </c>
      <c r="C674" s="36" t="s">
        <v>62</v>
      </c>
      <c r="D674" s="34" t="s">
        <v>561</v>
      </c>
      <c r="E674" s="34"/>
      <c r="F674" s="37">
        <v>87534</v>
      </c>
      <c r="G674" s="37">
        <v>87534</v>
      </c>
      <c r="H674" s="38">
        <v>46093</v>
      </c>
      <c r="I674" s="38" t="s">
        <v>1796</v>
      </c>
      <c r="J674" s="42">
        <f>$I$1-A674</f>
        <v>48</v>
      </c>
      <c r="K674" s="43">
        <v>87534</v>
      </c>
    </row>
    <row r="675" spans="1:11" x14ac:dyDescent="0.25">
      <c r="A675" s="38">
        <v>46033</v>
      </c>
      <c r="B675" s="33" t="s">
        <v>1028</v>
      </c>
      <c r="C675" s="36" t="s">
        <v>245</v>
      </c>
      <c r="D675" s="34" t="s">
        <v>642</v>
      </c>
      <c r="E675" s="34"/>
      <c r="F675" s="37">
        <v>60900</v>
      </c>
      <c r="G675" s="37">
        <v>60900</v>
      </c>
      <c r="H675" s="38">
        <v>46033</v>
      </c>
      <c r="I675" s="38" t="s">
        <v>1797</v>
      </c>
      <c r="J675" s="42">
        <v>48</v>
      </c>
      <c r="K675" s="43">
        <v>60900</v>
      </c>
    </row>
    <row r="676" spans="1:11" x14ac:dyDescent="0.25">
      <c r="A676" s="38">
        <v>46033</v>
      </c>
      <c r="B676" s="33" t="s">
        <v>1029</v>
      </c>
      <c r="C676" s="36" t="s">
        <v>258</v>
      </c>
      <c r="D676" s="34" t="s">
        <v>561</v>
      </c>
      <c r="E676" s="34"/>
      <c r="F676" s="37">
        <v>67140</v>
      </c>
      <c r="G676" s="37">
        <v>67140</v>
      </c>
      <c r="H676" s="38">
        <v>46033</v>
      </c>
      <c r="I676" s="38" t="s">
        <v>1797</v>
      </c>
      <c r="J676" s="42">
        <v>48</v>
      </c>
      <c r="K676" s="43">
        <v>67140</v>
      </c>
    </row>
    <row r="677" spans="1:11" x14ac:dyDescent="0.25">
      <c r="A677" s="38">
        <v>46033</v>
      </c>
      <c r="B677" s="33" t="s">
        <v>1030</v>
      </c>
      <c r="C677" s="36" t="s">
        <v>258</v>
      </c>
      <c r="D677" s="34" t="s">
        <v>561</v>
      </c>
      <c r="E677" s="34"/>
      <c r="F677" s="37">
        <v>167850</v>
      </c>
      <c r="G677" s="37">
        <v>167850</v>
      </c>
      <c r="H677" s="38">
        <v>46033</v>
      </c>
      <c r="I677" s="38" t="s">
        <v>1797</v>
      </c>
      <c r="J677" s="42">
        <v>48</v>
      </c>
      <c r="K677" s="43">
        <v>167850</v>
      </c>
    </row>
    <row r="678" spans="1:11" x14ac:dyDescent="0.25">
      <c r="A678" s="38">
        <v>46034</v>
      </c>
      <c r="B678" s="33" t="s">
        <v>1031</v>
      </c>
      <c r="C678" s="36" t="s">
        <v>62</v>
      </c>
      <c r="D678" s="34" t="s">
        <v>561</v>
      </c>
      <c r="E678" s="34"/>
      <c r="F678" s="37">
        <v>76436</v>
      </c>
      <c r="G678" s="37">
        <v>76436</v>
      </c>
      <c r="H678" s="38">
        <v>46094</v>
      </c>
      <c r="I678" s="38" t="s">
        <v>1796</v>
      </c>
      <c r="J678" s="42">
        <f t="shared" ref="J678:J679" si="7">$I$1-A678</f>
        <v>47</v>
      </c>
      <c r="K678" s="43">
        <v>76436</v>
      </c>
    </row>
    <row r="679" spans="1:11" x14ac:dyDescent="0.25">
      <c r="A679" s="38">
        <v>46034</v>
      </c>
      <c r="B679" s="33" t="s">
        <v>1032</v>
      </c>
      <c r="C679" s="36" t="s">
        <v>62</v>
      </c>
      <c r="D679" s="34" t="s">
        <v>561</v>
      </c>
      <c r="E679" s="34"/>
      <c r="F679" s="37">
        <v>76514</v>
      </c>
      <c r="G679" s="37">
        <v>76514</v>
      </c>
      <c r="H679" s="38">
        <v>46094</v>
      </c>
      <c r="I679" s="38" t="s">
        <v>1796</v>
      </c>
      <c r="J679" s="42">
        <f t="shared" si="7"/>
        <v>47</v>
      </c>
      <c r="K679" s="43">
        <v>76514</v>
      </c>
    </row>
    <row r="680" spans="1:11" x14ac:dyDescent="0.25">
      <c r="A680" s="38">
        <v>46034</v>
      </c>
      <c r="B680" s="33" t="s">
        <v>1033</v>
      </c>
      <c r="C680" s="36" t="s">
        <v>258</v>
      </c>
      <c r="D680" s="34" t="s">
        <v>561</v>
      </c>
      <c r="E680" s="34"/>
      <c r="F680" s="37">
        <v>198734</v>
      </c>
      <c r="G680" s="37">
        <v>198734</v>
      </c>
      <c r="H680" s="38">
        <v>46034</v>
      </c>
      <c r="I680" s="38" t="s">
        <v>1797</v>
      </c>
      <c r="J680" s="42">
        <v>47</v>
      </c>
      <c r="K680" s="43">
        <v>198734</v>
      </c>
    </row>
    <row r="681" spans="1:11" x14ac:dyDescent="0.25">
      <c r="A681" s="38">
        <v>46036</v>
      </c>
      <c r="B681" s="33" t="s">
        <v>807</v>
      </c>
      <c r="C681" s="36" t="s">
        <v>24</v>
      </c>
      <c r="D681" s="34" t="s">
        <v>561</v>
      </c>
      <c r="E681" s="34"/>
      <c r="F681" s="37">
        <v>14040</v>
      </c>
      <c r="G681" s="37">
        <v>120</v>
      </c>
      <c r="H681" s="38">
        <v>46066</v>
      </c>
      <c r="I681" s="38" t="s">
        <v>1796</v>
      </c>
      <c r="J681" s="42">
        <v>15</v>
      </c>
      <c r="K681" s="43">
        <v>120</v>
      </c>
    </row>
    <row r="682" spans="1:11" x14ac:dyDescent="0.25">
      <c r="A682" s="38">
        <v>46036</v>
      </c>
      <c r="B682" s="33" t="s">
        <v>1034</v>
      </c>
      <c r="C682" s="36" t="s">
        <v>154</v>
      </c>
      <c r="D682" s="34" t="s">
        <v>426</v>
      </c>
      <c r="E682" s="34"/>
      <c r="F682" s="37">
        <v>80106.710000000006</v>
      </c>
      <c r="G682" s="37">
        <v>80106.710000000006</v>
      </c>
      <c r="H682" s="38">
        <v>46036</v>
      </c>
      <c r="I682" s="38" t="s">
        <v>1797</v>
      </c>
      <c r="J682" s="42">
        <v>45</v>
      </c>
      <c r="K682" s="43">
        <v>80106.710000000006</v>
      </c>
    </row>
    <row r="683" spans="1:11" x14ac:dyDescent="0.25">
      <c r="A683" s="38">
        <v>46036</v>
      </c>
      <c r="B683" s="33" t="s">
        <v>1035</v>
      </c>
      <c r="C683" s="36" t="s">
        <v>154</v>
      </c>
      <c r="D683" s="34" t="s">
        <v>373</v>
      </c>
      <c r="E683" s="34"/>
      <c r="F683" s="37">
        <v>27037.5</v>
      </c>
      <c r="G683" s="37">
        <v>27037.5</v>
      </c>
      <c r="H683" s="38">
        <v>46036</v>
      </c>
      <c r="I683" s="38" t="s">
        <v>1797</v>
      </c>
      <c r="J683" s="42">
        <v>45</v>
      </c>
      <c r="K683" s="43">
        <v>27037.5</v>
      </c>
    </row>
    <row r="684" spans="1:11" x14ac:dyDescent="0.25">
      <c r="A684" s="38">
        <v>46036</v>
      </c>
      <c r="B684" s="33" t="s">
        <v>1036</v>
      </c>
      <c r="C684" s="36" t="s">
        <v>241</v>
      </c>
      <c r="D684" s="34" t="s">
        <v>561</v>
      </c>
      <c r="E684" s="34"/>
      <c r="F684" s="37">
        <v>58870</v>
      </c>
      <c r="G684" s="37">
        <v>58870</v>
      </c>
      <c r="H684" s="38">
        <v>46066</v>
      </c>
      <c r="I684" s="38" t="s">
        <v>1796</v>
      </c>
      <c r="J684" s="42">
        <v>15</v>
      </c>
      <c r="K684" s="43">
        <v>58870</v>
      </c>
    </row>
    <row r="685" spans="1:11" x14ac:dyDescent="0.25">
      <c r="A685" s="38">
        <v>46036</v>
      </c>
      <c r="B685" s="33" t="s">
        <v>1037</v>
      </c>
      <c r="C685" s="36" t="s">
        <v>298</v>
      </c>
      <c r="D685" s="34" t="s">
        <v>341</v>
      </c>
      <c r="E685" s="34"/>
      <c r="F685" s="37">
        <v>12644.88</v>
      </c>
      <c r="G685" s="37">
        <v>12644.88</v>
      </c>
      <c r="H685" s="38">
        <v>46036</v>
      </c>
      <c r="I685" s="38" t="s">
        <v>1797</v>
      </c>
      <c r="J685" s="42">
        <v>45</v>
      </c>
      <c r="K685" s="43">
        <v>12644.88</v>
      </c>
    </row>
    <row r="686" spans="1:11" x14ac:dyDescent="0.25">
      <c r="A686" s="38">
        <v>46037</v>
      </c>
      <c r="B686" s="33" t="s">
        <v>1038</v>
      </c>
      <c r="C686" s="36" t="s">
        <v>36</v>
      </c>
      <c r="D686" s="34" t="s">
        <v>402</v>
      </c>
      <c r="E686" s="34"/>
      <c r="F686" s="37">
        <v>162424.78</v>
      </c>
      <c r="G686" s="37">
        <v>162424.78</v>
      </c>
      <c r="H686" s="38">
        <v>46037</v>
      </c>
      <c r="I686" s="38" t="s">
        <v>1797</v>
      </c>
      <c r="J686" s="42">
        <v>44</v>
      </c>
      <c r="K686" s="43">
        <v>162424.78</v>
      </c>
    </row>
    <row r="687" spans="1:11" x14ac:dyDescent="0.25">
      <c r="A687" s="38">
        <v>46037</v>
      </c>
      <c r="B687" s="33" t="s">
        <v>1039</v>
      </c>
      <c r="C687" s="36" t="s">
        <v>42</v>
      </c>
      <c r="D687" s="34" t="s">
        <v>402</v>
      </c>
      <c r="E687" s="34"/>
      <c r="F687" s="39">
        <v>250000</v>
      </c>
      <c r="G687" s="39">
        <v>250000</v>
      </c>
      <c r="H687" s="38">
        <v>46037</v>
      </c>
      <c r="I687" s="38" t="s">
        <v>1797</v>
      </c>
      <c r="J687" s="42">
        <v>44</v>
      </c>
      <c r="K687" s="43">
        <v>-250000</v>
      </c>
    </row>
    <row r="688" spans="1:11" x14ac:dyDescent="0.25">
      <c r="A688" s="38">
        <v>46037</v>
      </c>
      <c r="B688" s="33" t="s">
        <v>1040</v>
      </c>
      <c r="C688" s="36" t="s">
        <v>46</v>
      </c>
      <c r="D688" s="34" t="s">
        <v>402</v>
      </c>
      <c r="E688" s="34"/>
      <c r="F688" s="37">
        <v>223020</v>
      </c>
      <c r="G688" s="37">
        <v>223020</v>
      </c>
      <c r="H688" s="38">
        <v>46067</v>
      </c>
      <c r="I688" s="38" t="s">
        <v>1796</v>
      </c>
      <c r="J688" s="42">
        <v>14</v>
      </c>
      <c r="K688" s="43">
        <v>223020</v>
      </c>
    </row>
    <row r="689" spans="1:11" x14ac:dyDescent="0.25">
      <c r="A689" s="38">
        <v>46037</v>
      </c>
      <c r="B689" s="33" t="s">
        <v>1041</v>
      </c>
      <c r="C689" s="36" t="s">
        <v>62</v>
      </c>
      <c r="D689" s="34" t="s">
        <v>561</v>
      </c>
      <c r="E689" s="34"/>
      <c r="F689" s="37">
        <v>78107</v>
      </c>
      <c r="G689" s="37">
        <v>78107</v>
      </c>
      <c r="H689" s="38">
        <v>46097</v>
      </c>
      <c r="I689" s="38" t="s">
        <v>1796</v>
      </c>
      <c r="J689" s="42">
        <f t="shared" ref="J689:J690" si="8">$I$1-A689</f>
        <v>44</v>
      </c>
      <c r="K689" s="43">
        <v>78107</v>
      </c>
    </row>
    <row r="690" spans="1:11" x14ac:dyDescent="0.25">
      <c r="A690" s="38">
        <v>46037</v>
      </c>
      <c r="B690" s="33" t="s">
        <v>1042</v>
      </c>
      <c r="C690" s="36" t="s">
        <v>62</v>
      </c>
      <c r="D690" s="34" t="s">
        <v>561</v>
      </c>
      <c r="E690" s="34"/>
      <c r="F690" s="37">
        <v>76932</v>
      </c>
      <c r="G690" s="37">
        <v>76932</v>
      </c>
      <c r="H690" s="38">
        <v>46097</v>
      </c>
      <c r="I690" s="38" t="s">
        <v>1796</v>
      </c>
      <c r="J690" s="42">
        <f t="shared" si="8"/>
        <v>44</v>
      </c>
      <c r="K690" s="43">
        <v>76932</v>
      </c>
    </row>
    <row r="691" spans="1:11" x14ac:dyDescent="0.25">
      <c r="A691" s="38">
        <v>46037</v>
      </c>
      <c r="B691" s="33" t="s">
        <v>717</v>
      </c>
      <c r="C691" s="36" t="s">
        <v>106</v>
      </c>
      <c r="D691" s="34" t="s">
        <v>412</v>
      </c>
      <c r="E691" s="34"/>
      <c r="F691" s="37">
        <v>14500</v>
      </c>
      <c r="G691" s="37">
        <v>14500</v>
      </c>
      <c r="H691" s="38">
        <v>46037</v>
      </c>
      <c r="I691" s="38" t="s">
        <v>1797</v>
      </c>
      <c r="J691" s="42">
        <v>44</v>
      </c>
      <c r="K691" s="43">
        <v>14500</v>
      </c>
    </row>
    <row r="692" spans="1:11" x14ac:dyDescent="0.25">
      <c r="A692" s="38">
        <v>46037</v>
      </c>
      <c r="B692" s="33" t="s">
        <v>1043</v>
      </c>
      <c r="C692" s="36" t="s">
        <v>209</v>
      </c>
      <c r="D692" s="34" t="s">
        <v>561</v>
      </c>
      <c r="E692" s="34"/>
      <c r="F692" s="37">
        <v>76038</v>
      </c>
      <c r="G692" s="37">
        <v>76038</v>
      </c>
      <c r="H692" s="38">
        <v>46067</v>
      </c>
      <c r="I692" s="38" t="s">
        <v>1796</v>
      </c>
      <c r="J692" s="42">
        <v>14</v>
      </c>
      <c r="K692" s="43">
        <v>76038</v>
      </c>
    </row>
    <row r="693" spans="1:11" x14ac:dyDescent="0.25">
      <c r="A693" s="38">
        <v>46037</v>
      </c>
      <c r="B693" s="33" t="s">
        <v>1044</v>
      </c>
      <c r="C693" s="36" t="s">
        <v>258</v>
      </c>
      <c r="D693" s="34" t="s">
        <v>561</v>
      </c>
      <c r="E693" s="34"/>
      <c r="F693" s="37">
        <v>201420</v>
      </c>
      <c r="G693" s="37">
        <v>201420</v>
      </c>
      <c r="H693" s="38">
        <v>46037</v>
      </c>
      <c r="I693" s="38" t="s">
        <v>1797</v>
      </c>
      <c r="J693" s="42">
        <v>44</v>
      </c>
      <c r="K693" s="43">
        <v>201420</v>
      </c>
    </row>
    <row r="694" spans="1:11" x14ac:dyDescent="0.25">
      <c r="A694" s="38">
        <v>46037</v>
      </c>
      <c r="B694" s="33" t="s">
        <v>1045</v>
      </c>
      <c r="C694" s="36" t="s">
        <v>258</v>
      </c>
      <c r="D694" s="34" t="s">
        <v>561</v>
      </c>
      <c r="E694" s="34"/>
      <c r="F694" s="37">
        <v>231633</v>
      </c>
      <c r="G694" s="37">
        <v>231633</v>
      </c>
      <c r="H694" s="38">
        <v>46037</v>
      </c>
      <c r="I694" s="38" t="s">
        <v>1797</v>
      </c>
      <c r="J694" s="42">
        <v>44</v>
      </c>
      <c r="K694" s="43">
        <v>231633</v>
      </c>
    </row>
    <row r="695" spans="1:11" x14ac:dyDescent="0.25">
      <c r="A695" s="38">
        <v>46038</v>
      </c>
      <c r="B695" s="33" t="s">
        <v>1046</v>
      </c>
      <c r="C695" s="36" t="s">
        <v>18</v>
      </c>
      <c r="D695" s="34" t="s">
        <v>341</v>
      </c>
      <c r="E695" s="34"/>
      <c r="F695" s="37">
        <v>39766</v>
      </c>
      <c r="G695" s="37">
        <v>39766</v>
      </c>
      <c r="H695" s="38">
        <v>46038</v>
      </c>
      <c r="I695" s="38" t="s">
        <v>1797</v>
      </c>
      <c r="J695" s="42">
        <v>43</v>
      </c>
      <c r="K695" s="43">
        <v>39766</v>
      </c>
    </row>
    <row r="696" spans="1:11" x14ac:dyDescent="0.25">
      <c r="A696" s="38">
        <v>46038</v>
      </c>
      <c r="B696" s="33" t="s">
        <v>1047</v>
      </c>
      <c r="C696" s="36" t="s">
        <v>258</v>
      </c>
      <c r="D696" s="34" t="s">
        <v>561</v>
      </c>
      <c r="E696" s="34"/>
      <c r="F696" s="37">
        <v>201420</v>
      </c>
      <c r="G696" s="37">
        <v>201420</v>
      </c>
      <c r="H696" s="38">
        <v>46038</v>
      </c>
      <c r="I696" s="38" t="s">
        <v>1797</v>
      </c>
      <c r="J696" s="42">
        <v>43</v>
      </c>
      <c r="K696" s="43">
        <v>201420</v>
      </c>
    </row>
    <row r="697" spans="1:11" x14ac:dyDescent="0.25">
      <c r="A697" s="38">
        <v>46039</v>
      </c>
      <c r="B697" s="33" t="s">
        <v>1048</v>
      </c>
      <c r="C697" s="36" t="s">
        <v>25</v>
      </c>
      <c r="D697" s="34" t="s">
        <v>373</v>
      </c>
      <c r="E697" s="34"/>
      <c r="F697" s="37">
        <v>15085.8</v>
      </c>
      <c r="G697" s="37">
        <v>15085.8</v>
      </c>
      <c r="H697" s="38">
        <v>46039</v>
      </c>
      <c r="I697" s="38" t="s">
        <v>1797</v>
      </c>
      <c r="J697" s="42">
        <v>42</v>
      </c>
      <c r="K697" s="43">
        <v>15085.8</v>
      </c>
    </row>
    <row r="698" spans="1:11" x14ac:dyDescent="0.25">
      <c r="A698" s="38">
        <v>46039</v>
      </c>
      <c r="B698" s="33" t="s">
        <v>1049</v>
      </c>
      <c r="C698" s="36" t="s">
        <v>25</v>
      </c>
      <c r="D698" s="34" t="s">
        <v>373</v>
      </c>
      <c r="E698" s="34"/>
      <c r="F698" s="37">
        <v>19029.8</v>
      </c>
      <c r="G698" s="37">
        <v>19029.8</v>
      </c>
      <c r="H698" s="38">
        <v>46039</v>
      </c>
      <c r="I698" s="38" t="s">
        <v>1797</v>
      </c>
      <c r="J698" s="42">
        <v>42</v>
      </c>
      <c r="K698" s="43">
        <v>19029.8</v>
      </c>
    </row>
    <row r="699" spans="1:11" x14ac:dyDescent="0.25">
      <c r="A699" s="38">
        <v>46039</v>
      </c>
      <c r="B699" s="33" t="s">
        <v>1050</v>
      </c>
      <c r="C699" s="36" t="s">
        <v>62</v>
      </c>
      <c r="D699" s="34" t="s">
        <v>561</v>
      </c>
      <c r="E699" s="34"/>
      <c r="F699" s="37">
        <v>85497</v>
      </c>
      <c r="G699" s="37">
        <v>85497</v>
      </c>
      <c r="H699" s="38">
        <v>46099</v>
      </c>
      <c r="I699" s="38" t="s">
        <v>1796</v>
      </c>
      <c r="J699" s="42">
        <f t="shared" ref="J699:J700" si="9">$I$1-A699</f>
        <v>42</v>
      </c>
      <c r="K699" s="43">
        <v>85497</v>
      </c>
    </row>
    <row r="700" spans="1:11" x14ac:dyDescent="0.25">
      <c r="A700" s="38">
        <v>46039</v>
      </c>
      <c r="B700" s="33" t="s">
        <v>1051</v>
      </c>
      <c r="C700" s="36" t="s">
        <v>62</v>
      </c>
      <c r="D700" s="34" t="s">
        <v>561</v>
      </c>
      <c r="E700" s="34"/>
      <c r="F700" s="37">
        <v>75809</v>
      </c>
      <c r="G700" s="37">
        <v>75809</v>
      </c>
      <c r="H700" s="38">
        <v>46099</v>
      </c>
      <c r="I700" s="38" t="s">
        <v>1796</v>
      </c>
      <c r="J700" s="42">
        <f t="shared" si="9"/>
        <v>42</v>
      </c>
      <c r="K700" s="43">
        <v>75809</v>
      </c>
    </row>
    <row r="701" spans="1:11" x14ac:dyDescent="0.25">
      <c r="A701" s="38">
        <v>46039</v>
      </c>
      <c r="B701" s="33" t="s">
        <v>1052</v>
      </c>
      <c r="C701" s="36" t="s">
        <v>207</v>
      </c>
      <c r="D701" s="34" t="s">
        <v>379</v>
      </c>
      <c r="E701" s="34"/>
      <c r="F701" s="37">
        <v>486622.5</v>
      </c>
      <c r="G701" s="37">
        <v>486622.5</v>
      </c>
      <c r="H701" s="38">
        <v>46069</v>
      </c>
      <c r="I701" s="38" t="s">
        <v>1796</v>
      </c>
      <c r="J701" s="42">
        <v>12</v>
      </c>
      <c r="K701" s="43">
        <v>486622.5</v>
      </c>
    </row>
    <row r="702" spans="1:11" x14ac:dyDescent="0.25">
      <c r="A702" s="38">
        <v>46039</v>
      </c>
      <c r="B702" s="33" t="s">
        <v>1054</v>
      </c>
      <c r="C702" s="36" t="s">
        <v>258</v>
      </c>
      <c r="D702" s="34" t="s">
        <v>561</v>
      </c>
      <c r="E702" s="34"/>
      <c r="F702" s="37">
        <v>231633</v>
      </c>
      <c r="G702" s="37">
        <v>231633</v>
      </c>
      <c r="H702" s="38">
        <v>46039</v>
      </c>
      <c r="I702" s="38" t="s">
        <v>1797</v>
      </c>
      <c r="J702" s="42">
        <v>42</v>
      </c>
      <c r="K702" s="43">
        <v>231633</v>
      </c>
    </row>
    <row r="703" spans="1:11" x14ac:dyDescent="0.25">
      <c r="A703" s="38">
        <v>46039</v>
      </c>
      <c r="B703" s="33" t="s">
        <v>1055</v>
      </c>
      <c r="C703" s="36" t="s">
        <v>258</v>
      </c>
      <c r="D703" s="34" t="s">
        <v>561</v>
      </c>
      <c r="E703" s="34"/>
      <c r="F703" s="37">
        <v>234990</v>
      </c>
      <c r="G703" s="37">
        <v>234990</v>
      </c>
      <c r="H703" s="38">
        <v>46039</v>
      </c>
      <c r="I703" s="38" t="s">
        <v>1797</v>
      </c>
      <c r="J703" s="42">
        <v>42</v>
      </c>
      <c r="K703" s="43">
        <v>234990</v>
      </c>
    </row>
    <row r="704" spans="1:11" x14ac:dyDescent="0.25">
      <c r="A704" s="38">
        <v>46039</v>
      </c>
      <c r="B704" s="33" t="s">
        <v>1056</v>
      </c>
      <c r="C704" s="36" t="s">
        <v>258</v>
      </c>
      <c r="D704" s="34" t="s">
        <v>561</v>
      </c>
      <c r="E704" s="34"/>
      <c r="F704" s="37">
        <v>167850</v>
      </c>
      <c r="G704" s="37">
        <v>167850</v>
      </c>
      <c r="H704" s="38">
        <v>46039</v>
      </c>
      <c r="I704" s="38" t="s">
        <v>1797</v>
      </c>
      <c r="J704" s="42">
        <v>42</v>
      </c>
      <c r="K704" s="43">
        <v>167850</v>
      </c>
    </row>
    <row r="705" spans="1:11" x14ac:dyDescent="0.25">
      <c r="A705" s="38">
        <v>46039</v>
      </c>
      <c r="B705" s="33" t="s">
        <v>1057</v>
      </c>
      <c r="C705" s="36" t="s">
        <v>258</v>
      </c>
      <c r="D705" s="34" t="s">
        <v>561</v>
      </c>
      <c r="E705" s="34"/>
      <c r="F705" s="37">
        <v>167850</v>
      </c>
      <c r="G705" s="37">
        <v>167850</v>
      </c>
      <c r="H705" s="38">
        <v>46039</v>
      </c>
      <c r="I705" s="38" t="s">
        <v>1797</v>
      </c>
      <c r="J705" s="42">
        <v>42</v>
      </c>
      <c r="K705" s="43">
        <v>167850</v>
      </c>
    </row>
    <row r="706" spans="1:11" x14ac:dyDescent="0.25">
      <c r="A706" s="38">
        <v>46040</v>
      </c>
      <c r="B706" s="33" t="s">
        <v>1058</v>
      </c>
      <c r="C706" s="36" t="s">
        <v>17</v>
      </c>
      <c r="D706" s="34" t="s">
        <v>561</v>
      </c>
      <c r="E706" s="34"/>
      <c r="F706" s="37">
        <v>110920</v>
      </c>
      <c r="G706" s="37">
        <v>110920</v>
      </c>
      <c r="H706" s="38">
        <v>46070</v>
      </c>
      <c r="I706" s="38" t="s">
        <v>1796</v>
      </c>
      <c r="J706" s="42">
        <v>11</v>
      </c>
      <c r="K706" s="43">
        <v>110920</v>
      </c>
    </row>
    <row r="707" spans="1:11" x14ac:dyDescent="0.25">
      <c r="A707" s="38">
        <v>46040</v>
      </c>
      <c r="B707" s="33" t="s">
        <v>1059</v>
      </c>
      <c r="C707" s="36" t="s">
        <v>62</v>
      </c>
      <c r="D707" s="34" t="s">
        <v>561</v>
      </c>
      <c r="E707" s="34"/>
      <c r="F707" s="37">
        <v>86124</v>
      </c>
      <c r="G707" s="37">
        <v>86124</v>
      </c>
      <c r="H707" s="38">
        <v>46100</v>
      </c>
      <c r="I707" s="38" t="s">
        <v>1796</v>
      </c>
      <c r="J707" s="42">
        <f t="shared" ref="J707:J708" si="10">$I$1-A707</f>
        <v>41</v>
      </c>
      <c r="K707" s="43">
        <v>86124</v>
      </c>
    </row>
    <row r="708" spans="1:11" x14ac:dyDescent="0.25">
      <c r="A708" s="38">
        <v>46040</v>
      </c>
      <c r="B708" s="33" t="s">
        <v>1060</v>
      </c>
      <c r="C708" s="36" t="s">
        <v>62</v>
      </c>
      <c r="D708" s="34" t="s">
        <v>561</v>
      </c>
      <c r="E708" s="34"/>
      <c r="F708" s="37">
        <v>76801</v>
      </c>
      <c r="G708" s="37">
        <v>76801</v>
      </c>
      <c r="H708" s="38">
        <v>46100</v>
      </c>
      <c r="I708" s="38" t="s">
        <v>1796</v>
      </c>
      <c r="J708" s="42">
        <f t="shared" si="10"/>
        <v>41</v>
      </c>
      <c r="K708" s="43">
        <v>76801</v>
      </c>
    </row>
    <row r="709" spans="1:11" x14ac:dyDescent="0.25">
      <c r="A709" s="38">
        <v>46040</v>
      </c>
      <c r="B709" s="33" t="s">
        <v>1061</v>
      </c>
      <c r="C709" s="36" t="s">
        <v>258</v>
      </c>
      <c r="D709" s="34" t="s">
        <v>561</v>
      </c>
      <c r="E709" s="34"/>
      <c r="F709" s="37">
        <v>234990</v>
      </c>
      <c r="G709" s="37">
        <v>234990</v>
      </c>
      <c r="H709" s="38">
        <v>46040</v>
      </c>
      <c r="I709" s="38" t="s">
        <v>1797</v>
      </c>
      <c r="J709" s="42">
        <v>41</v>
      </c>
      <c r="K709" s="43">
        <v>234990</v>
      </c>
    </row>
    <row r="710" spans="1:11" x14ac:dyDescent="0.25">
      <c r="A710" s="38">
        <v>46041</v>
      </c>
      <c r="B710" s="33" t="s">
        <v>1062</v>
      </c>
      <c r="C710" s="36" t="s">
        <v>60</v>
      </c>
      <c r="D710" s="34" t="s">
        <v>402</v>
      </c>
      <c r="E710" s="34"/>
      <c r="F710" s="37">
        <v>17132</v>
      </c>
      <c r="G710" s="37">
        <v>5880</v>
      </c>
      <c r="H710" s="38">
        <v>46048</v>
      </c>
      <c r="I710" s="38" t="s">
        <v>1797</v>
      </c>
      <c r="J710" s="42">
        <v>33</v>
      </c>
      <c r="K710" s="43">
        <v>5880</v>
      </c>
    </row>
    <row r="711" spans="1:11" x14ac:dyDescent="0.25">
      <c r="A711" s="38">
        <v>46041</v>
      </c>
      <c r="B711" s="33" t="s">
        <v>1063</v>
      </c>
      <c r="C711" s="36" t="s">
        <v>62</v>
      </c>
      <c r="D711" s="34" t="s">
        <v>561</v>
      </c>
      <c r="E711" s="34"/>
      <c r="F711" s="37">
        <v>83539</v>
      </c>
      <c r="G711" s="37">
        <v>83539</v>
      </c>
      <c r="H711" s="38">
        <v>46101</v>
      </c>
      <c r="I711" s="38" t="s">
        <v>1796</v>
      </c>
      <c r="J711" s="42">
        <f t="shared" ref="J711:J712" si="11">$I$1-A711</f>
        <v>40</v>
      </c>
      <c r="K711" s="43">
        <v>83539</v>
      </c>
    </row>
    <row r="712" spans="1:11" x14ac:dyDescent="0.25">
      <c r="A712" s="38">
        <v>46041</v>
      </c>
      <c r="B712" s="33" t="s">
        <v>1064</v>
      </c>
      <c r="C712" s="36" t="s">
        <v>62</v>
      </c>
      <c r="D712" s="34" t="s">
        <v>561</v>
      </c>
      <c r="E712" s="34"/>
      <c r="F712" s="37">
        <v>76854</v>
      </c>
      <c r="G712" s="37">
        <v>76854</v>
      </c>
      <c r="H712" s="38">
        <v>46101</v>
      </c>
      <c r="I712" s="38" t="s">
        <v>1796</v>
      </c>
      <c r="J712" s="42">
        <f t="shared" si="11"/>
        <v>40</v>
      </c>
      <c r="K712" s="43">
        <v>76854</v>
      </c>
    </row>
    <row r="713" spans="1:11" x14ac:dyDescent="0.25">
      <c r="A713" s="38">
        <v>46041</v>
      </c>
      <c r="B713" s="33" t="s">
        <v>467</v>
      </c>
      <c r="C713" s="36" t="s">
        <v>188</v>
      </c>
      <c r="D713" s="34" t="s">
        <v>426</v>
      </c>
      <c r="E713" s="34"/>
      <c r="F713" s="37">
        <v>63750</v>
      </c>
      <c r="G713" s="37">
        <v>63750</v>
      </c>
      <c r="H713" s="38">
        <v>46061</v>
      </c>
      <c r="I713" s="38" t="s">
        <v>1796</v>
      </c>
      <c r="J713" s="42">
        <v>20</v>
      </c>
      <c r="K713" s="43">
        <v>63750</v>
      </c>
    </row>
    <row r="714" spans="1:11" x14ac:dyDescent="0.25">
      <c r="A714" s="38">
        <v>46041</v>
      </c>
      <c r="B714" s="33" t="s">
        <v>1065</v>
      </c>
      <c r="C714" s="36" t="s">
        <v>243</v>
      </c>
      <c r="D714" s="34" t="s">
        <v>402</v>
      </c>
      <c r="E714" s="34"/>
      <c r="F714" s="37">
        <v>91098</v>
      </c>
      <c r="G714" s="37">
        <v>91098</v>
      </c>
      <c r="H714" s="38">
        <v>46061</v>
      </c>
      <c r="I714" s="38" t="s">
        <v>1796</v>
      </c>
      <c r="J714" s="42">
        <v>20</v>
      </c>
      <c r="K714" s="43">
        <v>91098</v>
      </c>
    </row>
    <row r="715" spans="1:11" x14ac:dyDescent="0.25">
      <c r="A715" s="38">
        <v>46042</v>
      </c>
      <c r="B715" s="33" t="s">
        <v>1066</v>
      </c>
      <c r="C715" s="36" t="s">
        <v>49</v>
      </c>
      <c r="D715" s="34" t="s">
        <v>412</v>
      </c>
      <c r="E715" s="34"/>
      <c r="F715" s="37">
        <v>284388.55</v>
      </c>
      <c r="G715" s="37">
        <v>284388.55</v>
      </c>
      <c r="H715" s="38">
        <v>46042</v>
      </c>
      <c r="I715" s="38" t="s">
        <v>1797</v>
      </c>
      <c r="J715" s="42">
        <v>39</v>
      </c>
      <c r="K715" s="43">
        <v>284388.55</v>
      </c>
    </row>
    <row r="716" spans="1:11" x14ac:dyDescent="0.25">
      <c r="A716" s="38">
        <v>46042</v>
      </c>
      <c r="B716" s="33" t="s">
        <v>1067</v>
      </c>
      <c r="C716" s="36" t="s">
        <v>51</v>
      </c>
      <c r="D716" s="34" t="s">
        <v>412</v>
      </c>
      <c r="E716" s="34"/>
      <c r="F716" s="37">
        <v>126841</v>
      </c>
      <c r="G716" s="37">
        <v>126841</v>
      </c>
      <c r="H716" s="38">
        <v>46042</v>
      </c>
      <c r="I716" s="38" t="s">
        <v>1797</v>
      </c>
      <c r="J716" s="42">
        <v>39</v>
      </c>
      <c r="K716" s="43">
        <v>126841</v>
      </c>
    </row>
    <row r="717" spans="1:11" x14ac:dyDescent="0.25">
      <c r="A717" s="38">
        <v>46042</v>
      </c>
      <c r="B717" s="33" t="s">
        <v>1068</v>
      </c>
      <c r="C717" s="36" t="s">
        <v>62</v>
      </c>
      <c r="D717" s="34" t="s">
        <v>561</v>
      </c>
      <c r="E717" s="34"/>
      <c r="F717" s="37">
        <v>75783</v>
      </c>
      <c r="G717" s="37">
        <v>75783</v>
      </c>
      <c r="H717" s="38">
        <v>46102</v>
      </c>
      <c r="I717" s="38" t="s">
        <v>1796</v>
      </c>
      <c r="J717" s="42">
        <f t="shared" ref="J717:J718" si="12">$I$1-A717</f>
        <v>39</v>
      </c>
      <c r="K717" s="43">
        <v>75783</v>
      </c>
    </row>
    <row r="718" spans="1:11" x14ac:dyDescent="0.25">
      <c r="A718" s="38">
        <v>46042</v>
      </c>
      <c r="B718" s="33" t="s">
        <v>1069</v>
      </c>
      <c r="C718" s="36" t="s">
        <v>62</v>
      </c>
      <c r="D718" s="34" t="s">
        <v>561</v>
      </c>
      <c r="E718" s="34"/>
      <c r="F718" s="37">
        <v>76384</v>
      </c>
      <c r="G718" s="37">
        <v>76384</v>
      </c>
      <c r="H718" s="38">
        <v>46102</v>
      </c>
      <c r="I718" s="38" t="s">
        <v>1796</v>
      </c>
      <c r="J718" s="42">
        <f t="shared" si="12"/>
        <v>39</v>
      </c>
      <c r="K718" s="43">
        <v>76384</v>
      </c>
    </row>
    <row r="719" spans="1:11" x14ac:dyDescent="0.25">
      <c r="A719" s="38">
        <v>46042</v>
      </c>
      <c r="B719" s="33" t="s">
        <v>1070</v>
      </c>
      <c r="C719" s="36" t="s">
        <v>74</v>
      </c>
      <c r="D719" s="34" t="s">
        <v>412</v>
      </c>
      <c r="E719" s="34"/>
      <c r="F719" s="37">
        <v>21476</v>
      </c>
      <c r="G719" s="37">
        <v>21476</v>
      </c>
      <c r="H719" s="38">
        <v>46042</v>
      </c>
      <c r="I719" s="38" t="s">
        <v>1797</v>
      </c>
      <c r="J719" s="42">
        <v>39</v>
      </c>
      <c r="K719" s="43">
        <v>21476</v>
      </c>
    </row>
    <row r="720" spans="1:11" x14ac:dyDescent="0.25">
      <c r="A720" s="38">
        <v>46042</v>
      </c>
      <c r="B720" s="33" t="s">
        <v>1071</v>
      </c>
      <c r="C720" s="36" t="s">
        <v>91</v>
      </c>
      <c r="D720" s="34" t="s">
        <v>561</v>
      </c>
      <c r="E720" s="34"/>
      <c r="F720" s="37">
        <v>57820</v>
      </c>
      <c r="G720" s="37">
        <v>57820</v>
      </c>
      <c r="H720" s="38">
        <v>46042</v>
      </c>
      <c r="I720" s="38" t="s">
        <v>1797</v>
      </c>
      <c r="J720" s="42">
        <v>39</v>
      </c>
      <c r="K720" s="43">
        <v>57820</v>
      </c>
    </row>
    <row r="721" spans="1:11" x14ac:dyDescent="0.25">
      <c r="A721" s="38">
        <v>46042</v>
      </c>
      <c r="B721" s="33" t="s">
        <v>1072</v>
      </c>
      <c r="C721" s="36" t="s">
        <v>241</v>
      </c>
      <c r="D721" s="34" t="s">
        <v>561</v>
      </c>
      <c r="E721" s="34"/>
      <c r="F721" s="37">
        <v>60340</v>
      </c>
      <c r="G721" s="37">
        <v>60340</v>
      </c>
      <c r="H721" s="38">
        <v>46072</v>
      </c>
      <c r="I721" s="38" t="s">
        <v>1796</v>
      </c>
      <c r="J721" s="42">
        <v>9</v>
      </c>
      <c r="K721" s="43">
        <v>60340</v>
      </c>
    </row>
    <row r="722" spans="1:11" x14ac:dyDescent="0.25">
      <c r="A722" s="38">
        <v>46042</v>
      </c>
      <c r="B722" s="33" t="s">
        <v>1073</v>
      </c>
      <c r="C722" s="36" t="s">
        <v>258</v>
      </c>
      <c r="D722" s="34" t="s">
        <v>561</v>
      </c>
      <c r="E722" s="34"/>
      <c r="F722" s="37">
        <v>232304</v>
      </c>
      <c r="G722" s="37">
        <v>232304</v>
      </c>
      <c r="H722" s="38">
        <v>46042</v>
      </c>
      <c r="I722" s="38" t="s">
        <v>1797</v>
      </c>
      <c r="J722" s="42">
        <v>39</v>
      </c>
      <c r="K722" s="43">
        <v>232304</v>
      </c>
    </row>
    <row r="723" spans="1:11" x14ac:dyDescent="0.25">
      <c r="A723" s="38">
        <v>46042</v>
      </c>
      <c r="B723" s="33" t="s">
        <v>1074</v>
      </c>
      <c r="C723" s="36" t="s">
        <v>258</v>
      </c>
      <c r="D723" s="34" t="s">
        <v>561</v>
      </c>
      <c r="E723" s="34"/>
      <c r="F723" s="37">
        <v>201420</v>
      </c>
      <c r="G723" s="37">
        <v>201420</v>
      </c>
      <c r="H723" s="38">
        <v>46042</v>
      </c>
      <c r="I723" s="38" t="s">
        <v>1797</v>
      </c>
      <c r="J723" s="42">
        <v>39</v>
      </c>
      <c r="K723" s="43">
        <v>201420</v>
      </c>
    </row>
    <row r="724" spans="1:11" x14ac:dyDescent="0.25">
      <c r="A724" s="38">
        <v>46042</v>
      </c>
      <c r="B724" s="33" t="s">
        <v>1075</v>
      </c>
      <c r="C724" s="36" t="s">
        <v>276</v>
      </c>
      <c r="D724" s="34" t="s">
        <v>433</v>
      </c>
      <c r="E724" s="34"/>
      <c r="F724" s="39">
        <v>57486.37</v>
      </c>
      <c r="G724" s="39">
        <v>57486.37</v>
      </c>
      <c r="H724" s="38">
        <v>46042</v>
      </c>
      <c r="I724" s="38" t="s">
        <v>1797</v>
      </c>
      <c r="J724" s="42">
        <v>39</v>
      </c>
      <c r="K724" s="43">
        <v>-57486.37</v>
      </c>
    </row>
    <row r="725" spans="1:11" x14ac:dyDescent="0.25">
      <c r="A725" s="38">
        <v>46043</v>
      </c>
      <c r="B725" s="33" t="s">
        <v>1076</v>
      </c>
      <c r="C725" s="36" t="s">
        <v>62</v>
      </c>
      <c r="D725" s="34" t="s">
        <v>561</v>
      </c>
      <c r="E725" s="34"/>
      <c r="F725" s="37">
        <v>78708</v>
      </c>
      <c r="G725" s="37">
        <v>78708</v>
      </c>
      <c r="H725" s="38">
        <v>46103</v>
      </c>
      <c r="I725" s="38" t="s">
        <v>1796</v>
      </c>
      <c r="J725" s="42">
        <f t="shared" ref="J725:J726" si="13">$I$1-A725</f>
        <v>38</v>
      </c>
      <c r="K725" s="43">
        <v>78708</v>
      </c>
    </row>
    <row r="726" spans="1:11" x14ac:dyDescent="0.25">
      <c r="A726" s="38">
        <v>46043</v>
      </c>
      <c r="B726" s="33" t="s">
        <v>1077</v>
      </c>
      <c r="C726" s="36" t="s">
        <v>62</v>
      </c>
      <c r="D726" s="34" t="s">
        <v>561</v>
      </c>
      <c r="E726" s="34"/>
      <c r="F726" s="37">
        <v>76723</v>
      </c>
      <c r="G726" s="37">
        <v>76723</v>
      </c>
      <c r="H726" s="38">
        <v>46103</v>
      </c>
      <c r="I726" s="38" t="s">
        <v>1796</v>
      </c>
      <c r="J726" s="42">
        <f t="shared" si="13"/>
        <v>38</v>
      </c>
      <c r="K726" s="43">
        <v>76723</v>
      </c>
    </row>
    <row r="727" spans="1:11" x14ac:dyDescent="0.25">
      <c r="A727" s="38">
        <v>46043</v>
      </c>
      <c r="B727" s="33" t="s">
        <v>1078</v>
      </c>
      <c r="C727" s="36" t="s">
        <v>63</v>
      </c>
      <c r="D727" s="34" t="s">
        <v>642</v>
      </c>
      <c r="E727" s="34"/>
      <c r="F727" s="37">
        <v>3480</v>
      </c>
      <c r="G727" s="37">
        <v>3480</v>
      </c>
      <c r="H727" s="38">
        <v>46043</v>
      </c>
      <c r="I727" s="38" t="s">
        <v>1797</v>
      </c>
      <c r="J727" s="42">
        <v>38</v>
      </c>
      <c r="K727" s="43">
        <v>3480</v>
      </c>
    </row>
    <row r="728" spans="1:11" x14ac:dyDescent="0.25">
      <c r="A728" s="38">
        <v>46043</v>
      </c>
      <c r="B728" s="33" t="s">
        <v>1079</v>
      </c>
      <c r="C728" s="36" t="s">
        <v>258</v>
      </c>
      <c r="D728" s="34" t="s">
        <v>561</v>
      </c>
      <c r="E728" s="34"/>
      <c r="F728" s="37">
        <v>167850</v>
      </c>
      <c r="G728" s="37">
        <v>167850</v>
      </c>
      <c r="H728" s="38">
        <v>46043</v>
      </c>
      <c r="I728" s="38" t="s">
        <v>1797</v>
      </c>
      <c r="J728" s="42">
        <v>38</v>
      </c>
      <c r="K728" s="43">
        <v>167850</v>
      </c>
    </row>
    <row r="729" spans="1:11" x14ac:dyDescent="0.25">
      <c r="A729" s="38">
        <v>46043</v>
      </c>
      <c r="B729" s="33" t="s">
        <v>1080</v>
      </c>
      <c r="C729" s="36" t="s">
        <v>306</v>
      </c>
      <c r="D729" s="34" t="s">
        <v>341</v>
      </c>
      <c r="E729" s="34"/>
      <c r="F729" s="39">
        <v>264555</v>
      </c>
      <c r="G729" s="39">
        <v>264555</v>
      </c>
      <c r="H729" s="38">
        <v>46044</v>
      </c>
      <c r="I729" s="38" t="s">
        <v>1797</v>
      </c>
      <c r="J729" s="42">
        <v>37</v>
      </c>
      <c r="K729" s="43">
        <v>-264555</v>
      </c>
    </row>
    <row r="730" spans="1:11" x14ac:dyDescent="0.25">
      <c r="A730" s="38">
        <v>46044</v>
      </c>
      <c r="B730" s="33" t="s">
        <v>1081</v>
      </c>
      <c r="C730" s="36" t="s">
        <v>62</v>
      </c>
      <c r="D730" s="34" t="s">
        <v>561</v>
      </c>
      <c r="E730" s="34"/>
      <c r="F730" s="37">
        <v>101975</v>
      </c>
      <c r="G730" s="37">
        <v>101975</v>
      </c>
      <c r="H730" s="38">
        <v>46104</v>
      </c>
      <c r="I730" s="38" t="s">
        <v>1796</v>
      </c>
      <c r="J730" s="42">
        <f t="shared" ref="J730:J731" si="14">$I$1-A730</f>
        <v>37</v>
      </c>
      <c r="K730" s="43">
        <v>101975</v>
      </c>
    </row>
    <row r="731" spans="1:11" x14ac:dyDescent="0.25">
      <c r="A731" s="38">
        <v>46044</v>
      </c>
      <c r="B731" s="33" t="s">
        <v>1082</v>
      </c>
      <c r="C731" s="36" t="s">
        <v>62</v>
      </c>
      <c r="D731" s="34" t="s">
        <v>561</v>
      </c>
      <c r="E731" s="34"/>
      <c r="F731" s="37">
        <v>77506</v>
      </c>
      <c r="G731" s="37">
        <v>77506</v>
      </c>
      <c r="H731" s="38">
        <v>46104</v>
      </c>
      <c r="I731" s="38" t="s">
        <v>1796</v>
      </c>
      <c r="J731" s="42">
        <f t="shared" si="14"/>
        <v>37</v>
      </c>
      <c r="K731" s="43">
        <v>77506</v>
      </c>
    </row>
    <row r="732" spans="1:11" x14ac:dyDescent="0.25">
      <c r="A732" s="38">
        <v>46044</v>
      </c>
      <c r="B732" s="33" t="s">
        <v>1083</v>
      </c>
      <c r="C732" s="36" t="s">
        <v>209</v>
      </c>
      <c r="D732" s="34" t="s">
        <v>561</v>
      </c>
      <c r="E732" s="34"/>
      <c r="F732" s="37">
        <v>76258.2</v>
      </c>
      <c r="G732" s="37">
        <v>76258.2</v>
      </c>
      <c r="H732" s="38">
        <v>46074</v>
      </c>
      <c r="I732" s="38" t="s">
        <v>1796</v>
      </c>
      <c r="J732" s="42">
        <v>7</v>
      </c>
      <c r="K732" s="43">
        <v>76258.2</v>
      </c>
    </row>
    <row r="733" spans="1:11" x14ac:dyDescent="0.25">
      <c r="A733" s="38">
        <v>46044</v>
      </c>
      <c r="B733" s="33" t="s">
        <v>1084</v>
      </c>
      <c r="C733" s="36" t="s">
        <v>209</v>
      </c>
      <c r="D733" s="34" t="s">
        <v>561</v>
      </c>
      <c r="E733" s="34"/>
      <c r="F733" s="37">
        <v>76038</v>
      </c>
      <c r="G733" s="37">
        <v>76038</v>
      </c>
      <c r="H733" s="38">
        <v>46074</v>
      </c>
      <c r="I733" s="38" t="s">
        <v>1796</v>
      </c>
      <c r="J733" s="42">
        <v>7</v>
      </c>
      <c r="K733" s="43">
        <v>76038</v>
      </c>
    </row>
    <row r="734" spans="1:11" x14ac:dyDescent="0.25">
      <c r="A734" s="38">
        <v>46044</v>
      </c>
      <c r="B734" s="33" t="s">
        <v>1085</v>
      </c>
      <c r="C734" s="36" t="s">
        <v>209</v>
      </c>
      <c r="D734" s="34" t="s">
        <v>561</v>
      </c>
      <c r="E734" s="34"/>
      <c r="F734" s="37">
        <v>76038</v>
      </c>
      <c r="G734" s="37">
        <v>76038</v>
      </c>
      <c r="H734" s="38">
        <v>46074</v>
      </c>
      <c r="I734" s="38" t="s">
        <v>1796</v>
      </c>
      <c r="J734" s="42">
        <v>7</v>
      </c>
      <c r="K734" s="43">
        <v>76038</v>
      </c>
    </row>
    <row r="735" spans="1:11" x14ac:dyDescent="0.25">
      <c r="A735" s="38">
        <v>46044</v>
      </c>
      <c r="B735" s="33" t="s">
        <v>1086</v>
      </c>
      <c r="C735" s="36" t="s">
        <v>258</v>
      </c>
      <c r="D735" s="34" t="s">
        <v>561</v>
      </c>
      <c r="E735" s="34"/>
      <c r="F735" s="37">
        <v>67140</v>
      </c>
      <c r="G735" s="37">
        <v>67140</v>
      </c>
      <c r="H735" s="38">
        <v>46044</v>
      </c>
      <c r="I735" s="38" t="s">
        <v>1797</v>
      </c>
      <c r="J735" s="42">
        <v>37</v>
      </c>
      <c r="K735" s="43">
        <v>67140</v>
      </c>
    </row>
    <row r="736" spans="1:11" x14ac:dyDescent="0.25">
      <c r="A736" s="38">
        <v>46044</v>
      </c>
      <c r="B736" s="33" t="s">
        <v>1087</v>
      </c>
      <c r="C736" s="36" t="s">
        <v>258</v>
      </c>
      <c r="D736" s="34" t="s">
        <v>561</v>
      </c>
      <c r="E736" s="34"/>
      <c r="F736" s="37">
        <v>201420</v>
      </c>
      <c r="G736" s="37">
        <v>201420</v>
      </c>
      <c r="H736" s="38">
        <v>46044</v>
      </c>
      <c r="I736" s="38" t="s">
        <v>1797</v>
      </c>
      <c r="J736" s="42">
        <v>37</v>
      </c>
      <c r="K736" s="43">
        <v>201420</v>
      </c>
    </row>
    <row r="737" spans="1:11" x14ac:dyDescent="0.25">
      <c r="A737" s="38">
        <v>46045</v>
      </c>
      <c r="B737" s="33" t="s">
        <v>1088</v>
      </c>
      <c r="C737" s="36" t="s">
        <v>62</v>
      </c>
      <c r="D737" s="34" t="s">
        <v>561</v>
      </c>
      <c r="E737" s="34"/>
      <c r="F737" s="37">
        <v>100252</v>
      </c>
      <c r="G737" s="37">
        <v>100252</v>
      </c>
      <c r="H737" s="38">
        <v>46105</v>
      </c>
      <c r="I737" s="38" t="s">
        <v>1796</v>
      </c>
      <c r="J737" s="42">
        <f t="shared" ref="J737:J738" si="15">$I$1-A737</f>
        <v>36</v>
      </c>
      <c r="K737" s="43">
        <v>100252</v>
      </c>
    </row>
    <row r="738" spans="1:11" x14ac:dyDescent="0.25">
      <c r="A738" s="38">
        <v>46045</v>
      </c>
      <c r="B738" s="33" t="s">
        <v>1089</v>
      </c>
      <c r="C738" s="36" t="s">
        <v>62</v>
      </c>
      <c r="D738" s="34" t="s">
        <v>561</v>
      </c>
      <c r="E738" s="34"/>
      <c r="F738" s="37">
        <v>77637</v>
      </c>
      <c r="G738" s="37">
        <v>77637</v>
      </c>
      <c r="H738" s="38">
        <v>46105</v>
      </c>
      <c r="I738" s="38" t="s">
        <v>1796</v>
      </c>
      <c r="J738" s="42">
        <f t="shared" si="15"/>
        <v>36</v>
      </c>
      <c r="K738" s="43">
        <v>77637</v>
      </c>
    </row>
    <row r="739" spans="1:11" x14ac:dyDescent="0.25">
      <c r="A739" s="38">
        <v>46045</v>
      </c>
      <c r="B739" s="33" t="s">
        <v>1090</v>
      </c>
      <c r="C739" s="36" t="s">
        <v>109</v>
      </c>
      <c r="D739" s="34" t="s">
        <v>373</v>
      </c>
      <c r="E739" s="34"/>
      <c r="F739" s="37">
        <v>110363.4</v>
      </c>
      <c r="G739" s="37">
        <v>110363.4</v>
      </c>
      <c r="H739" s="38">
        <v>46045</v>
      </c>
      <c r="I739" s="38" t="s">
        <v>1797</v>
      </c>
      <c r="J739" s="42">
        <v>36</v>
      </c>
      <c r="K739" s="43">
        <v>110363.4</v>
      </c>
    </row>
    <row r="740" spans="1:11" x14ac:dyDescent="0.25">
      <c r="A740" s="38">
        <v>46045</v>
      </c>
      <c r="B740" s="33" t="s">
        <v>1091</v>
      </c>
      <c r="C740" s="36" t="s">
        <v>241</v>
      </c>
      <c r="D740" s="34" t="s">
        <v>561</v>
      </c>
      <c r="E740" s="34"/>
      <c r="F740" s="37">
        <v>58870</v>
      </c>
      <c r="G740" s="37">
        <v>58870</v>
      </c>
      <c r="H740" s="38">
        <v>46075</v>
      </c>
      <c r="I740" s="38" t="s">
        <v>1796</v>
      </c>
      <c r="J740" s="42">
        <v>6</v>
      </c>
      <c r="K740" s="43">
        <v>58870</v>
      </c>
    </row>
    <row r="741" spans="1:11" x14ac:dyDescent="0.25">
      <c r="A741" s="38">
        <v>46045</v>
      </c>
      <c r="B741" s="33" t="s">
        <v>1092</v>
      </c>
      <c r="C741" s="36" t="s">
        <v>258</v>
      </c>
      <c r="D741" s="34" t="s">
        <v>561</v>
      </c>
      <c r="E741" s="34"/>
      <c r="F741" s="37">
        <v>198734</v>
      </c>
      <c r="G741" s="37">
        <v>198734</v>
      </c>
      <c r="H741" s="38">
        <v>46045</v>
      </c>
      <c r="I741" s="38" t="s">
        <v>1797</v>
      </c>
      <c r="J741" s="42">
        <v>36</v>
      </c>
      <c r="K741" s="43">
        <v>198734</v>
      </c>
    </row>
    <row r="742" spans="1:11" x14ac:dyDescent="0.25">
      <c r="A742" s="38">
        <v>46045</v>
      </c>
      <c r="B742" s="33" t="s">
        <v>1093</v>
      </c>
      <c r="C742" s="36" t="s">
        <v>278</v>
      </c>
      <c r="D742" s="34" t="s">
        <v>642</v>
      </c>
      <c r="E742" s="34"/>
      <c r="F742" s="37">
        <v>832300</v>
      </c>
      <c r="G742" s="37">
        <v>832300</v>
      </c>
      <c r="H742" s="38">
        <v>46045</v>
      </c>
      <c r="I742" s="38" t="s">
        <v>1797</v>
      </c>
      <c r="J742" s="42">
        <v>36</v>
      </c>
      <c r="K742" s="43">
        <v>832300</v>
      </c>
    </row>
    <row r="743" spans="1:11" x14ac:dyDescent="0.25">
      <c r="A743" s="38">
        <v>46046</v>
      </c>
      <c r="B743" s="33" t="s">
        <v>1094</v>
      </c>
      <c r="C743" s="36" t="s">
        <v>17</v>
      </c>
      <c r="D743" s="34" t="s">
        <v>341</v>
      </c>
      <c r="E743" s="34"/>
      <c r="F743" s="37">
        <v>108324</v>
      </c>
      <c r="G743" s="37">
        <v>108324</v>
      </c>
      <c r="H743" s="38">
        <v>46046</v>
      </c>
      <c r="I743" s="38" t="s">
        <v>1797</v>
      </c>
      <c r="J743" s="42">
        <v>35</v>
      </c>
      <c r="K743" s="43">
        <v>108324</v>
      </c>
    </row>
    <row r="744" spans="1:11" x14ac:dyDescent="0.25">
      <c r="A744" s="38">
        <v>46046</v>
      </c>
      <c r="B744" s="33" t="s">
        <v>1095</v>
      </c>
      <c r="C744" s="36" t="s">
        <v>27</v>
      </c>
      <c r="D744" s="34" t="s">
        <v>449</v>
      </c>
      <c r="E744" s="34"/>
      <c r="F744" s="37">
        <v>28136</v>
      </c>
      <c r="G744" s="37">
        <v>28136</v>
      </c>
      <c r="H744" s="38">
        <v>46046</v>
      </c>
      <c r="I744" s="38" t="s">
        <v>1797</v>
      </c>
      <c r="J744" s="42">
        <v>35</v>
      </c>
      <c r="K744" s="43">
        <v>28136</v>
      </c>
    </row>
    <row r="745" spans="1:11" x14ac:dyDescent="0.25">
      <c r="A745" s="38">
        <v>46046</v>
      </c>
      <c r="B745" s="33" t="s">
        <v>1096</v>
      </c>
      <c r="C745" s="36" t="s">
        <v>243</v>
      </c>
      <c r="D745" s="34" t="s">
        <v>426</v>
      </c>
      <c r="E745" s="34"/>
      <c r="F745" s="37">
        <v>134568</v>
      </c>
      <c r="G745" s="37">
        <v>134568</v>
      </c>
      <c r="H745" s="38">
        <v>46066</v>
      </c>
      <c r="I745" s="38" t="s">
        <v>1796</v>
      </c>
      <c r="J745" s="42">
        <v>15</v>
      </c>
      <c r="K745" s="43">
        <v>134568</v>
      </c>
    </row>
    <row r="746" spans="1:11" x14ac:dyDescent="0.25">
      <c r="A746" s="38">
        <v>46046</v>
      </c>
      <c r="B746" s="33" t="s">
        <v>1097</v>
      </c>
      <c r="C746" s="36" t="s">
        <v>245</v>
      </c>
      <c r="D746" s="34" t="s">
        <v>642</v>
      </c>
      <c r="E746" s="34"/>
      <c r="F746" s="37">
        <v>60900</v>
      </c>
      <c r="G746" s="37">
        <v>60900</v>
      </c>
      <c r="H746" s="38">
        <v>46046</v>
      </c>
      <c r="I746" s="38" t="s">
        <v>1797</v>
      </c>
      <c r="J746" s="42">
        <v>35</v>
      </c>
      <c r="K746" s="43">
        <v>60900</v>
      </c>
    </row>
    <row r="747" spans="1:11" x14ac:dyDescent="0.25">
      <c r="A747" s="38">
        <v>46046</v>
      </c>
      <c r="B747" s="33" t="s">
        <v>1098</v>
      </c>
      <c r="C747" s="36" t="s">
        <v>258</v>
      </c>
      <c r="D747" s="34" t="s">
        <v>561</v>
      </c>
      <c r="E747" s="34"/>
      <c r="F747" s="37">
        <v>198734</v>
      </c>
      <c r="G747" s="37">
        <v>198734</v>
      </c>
      <c r="H747" s="38">
        <v>46046</v>
      </c>
      <c r="I747" s="38" t="s">
        <v>1797</v>
      </c>
      <c r="J747" s="42">
        <v>35</v>
      </c>
      <c r="K747" s="43">
        <v>198734</v>
      </c>
    </row>
    <row r="748" spans="1:11" x14ac:dyDescent="0.25">
      <c r="A748" s="38">
        <v>46047</v>
      </c>
      <c r="B748" s="33" t="s">
        <v>1099</v>
      </c>
      <c r="C748" s="36" t="s">
        <v>62</v>
      </c>
      <c r="D748" s="34" t="s">
        <v>561</v>
      </c>
      <c r="E748" s="34"/>
      <c r="F748" s="37">
        <v>79648</v>
      </c>
      <c r="G748" s="37">
        <v>79648</v>
      </c>
      <c r="H748" s="38">
        <v>46107</v>
      </c>
      <c r="I748" s="38" t="s">
        <v>1796</v>
      </c>
      <c r="J748" s="42">
        <f t="shared" ref="J748:J749" si="16">$I$1-A748</f>
        <v>34</v>
      </c>
      <c r="K748" s="43">
        <v>79648</v>
      </c>
    </row>
    <row r="749" spans="1:11" x14ac:dyDescent="0.25">
      <c r="A749" s="38">
        <v>46047</v>
      </c>
      <c r="B749" s="33" t="s">
        <v>1100</v>
      </c>
      <c r="C749" s="36" t="s">
        <v>62</v>
      </c>
      <c r="D749" s="34" t="s">
        <v>561</v>
      </c>
      <c r="E749" s="34"/>
      <c r="F749" s="37">
        <v>76854</v>
      </c>
      <c r="G749" s="37">
        <v>76854</v>
      </c>
      <c r="H749" s="38">
        <v>46107</v>
      </c>
      <c r="I749" s="38" t="s">
        <v>1796</v>
      </c>
      <c r="J749" s="42">
        <f t="shared" si="16"/>
        <v>34</v>
      </c>
      <c r="K749" s="43">
        <v>76854</v>
      </c>
    </row>
    <row r="750" spans="1:11" x14ac:dyDescent="0.25">
      <c r="A750" s="38">
        <v>46047</v>
      </c>
      <c r="B750" s="33" t="s">
        <v>1101</v>
      </c>
      <c r="C750" s="36" t="s">
        <v>188</v>
      </c>
      <c r="D750" s="34" t="s">
        <v>402</v>
      </c>
      <c r="E750" s="34"/>
      <c r="F750" s="37">
        <v>156222</v>
      </c>
      <c r="G750" s="37">
        <v>156222</v>
      </c>
      <c r="H750" s="38">
        <v>46067</v>
      </c>
      <c r="I750" s="38" t="s">
        <v>1796</v>
      </c>
      <c r="J750" s="42">
        <v>14</v>
      </c>
      <c r="K750" s="43">
        <v>156222</v>
      </c>
    </row>
    <row r="751" spans="1:11" x14ac:dyDescent="0.25">
      <c r="A751" s="38">
        <v>46047</v>
      </c>
      <c r="B751" s="33" t="s">
        <v>1102</v>
      </c>
      <c r="C751" s="36" t="s">
        <v>258</v>
      </c>
      <c r="D751" s="34" t="s">
        <v>561</v>
      </c>
      <c r="E751" s="34"/>
      <c r="F751" s="37">
        <v>201420</v>
      </c>
      <c r="G751" s="37">
        <v>201420</v>
      </c>
      <c r="H751" s="38">
        <v>46047</v>
      </c>
      <c r="I751" s="38" t="s">
        <v>1797</v>
      </c>
      <c r="J751" s="42">
        <v>34</v>
      </c>
      <c r="K751" s="43">
        <v>201420</v>
      </c>
    </row>
    <row r="752" spans="1:11" x14ac:dyDescent="0.25">
      <c r="A752" s="38">
        <v>46047</v>
      </c>
      <c r="B752" s="33" t="s">
        <v>1103</v>
      </c>
      <c r="C752" s="36" t="s">
        <v>258</v>
      </c>
      <c r="D752" s="34" t="s">
        <v>561</v>
      </c>
      <c r="E752" s="34"/>
      <c r="F752" s="37">
        <v>234990</v>
      </c>
      <c r="G752" s="37">
        <v>234990</v>
      </c>
      <c r="H752" s="38">
        <v>46047</v>
      </c>
      <c r="I752" s="38" t="s">
        <v>1797</v>
      </c>
      <c r="J752" s="42">
        <v>34</v>
      </c>
      <c r="K752" s="43">
        <v>234990</v>
      </c>
    </row>
    <row r="753" spans="1:11" x14ac:dyDescent="0.25">
      <c r="A753" s="38">
        <v>46048</v>
      </c>
      <c r="B753" s="33" t="s">
        <v>1104</v>
      </c>
      <c r="C753" s="36" t="s">
        <v>258</v>
      </c>
      <c r="D753" s="34" t="s">
        <v>561</v>
      </c>
      <c r="E753" s="34"/>
      <c r="F753" s="37">
        <v>201420</v>
      </c>
      <c r="G753" s="37">
        <v>201420</v>
      </c>
      <c r="H753" s="38">
        <v>46048</v>
      </c>
      <c r="I753" s="38" t="s">
        <v>1797</v>
      </c>
      <c r="J753" s="42">
        <v>33</v>
      </c>
      <c r="K753" s="43">
        <v>201420</v>
      </c>
    </row>
    <row r="754" spans="1:11" x14ac:dyDescent="0.25">
      <c r="A754" s="38">
        <v>46049</v>
      </c>
      <c r="B754" s="33" t="s">
        <v>1105</v>
      </c>
      <c r="C754" s="36" t="s">
        <v>62</v>
      </c>
      <c r="D754" s="34" t="s">
        <v>561</v>
      </c>
      <c r="E754" s="34"/>
      <c r="F754" s="37">
        <v>77062</v>
      </c>
      <c r="G754" s="37">
        <v>77062</v>
      </c>
      <c r="H754" s="38">
        <v>46109</v>
      </c>
      <c r="I754" s="38" t="s">
        <v>1796</v>
      </c>
      <c r="J754" s="42">
        <f t="shared" ref="J754:J755" si="17">$I$1-A754</f>
        <v>32</v>
      </c>
      <c r="K754" s="43">
        <v>77062</v>
      </c>
    </row>
    <row r="755" spans="1:11" x14ac:dyDescent="0.25">
      <c r="A755" s="38">
        <v>46049</v>
      </c>
      <c r="B755" s="33" t="s">
        <v>1106</v>
      </c>
      <c r="C755" s="36" t="s">
        <v>62</v>
      </c>
      <c r="D755" s="34" t="s">
        <v>561</v>
      </c>
      <c r="E755" s="34"/>
      <c r="F755" s="37">
        <v>76854</v>
      </c>
      <c r="G755" s="37">
        <v>76854</v>
      </c>
      <c r="H755" s="38">
        <v>46109</v>
      </c>
      <c r="I755" s="38" t="s">
        <v>1796</v>
      </c>
      <c r="J755" s="42">
        <f t="shared" si="17"/>
        <v>32</v>
      </c>
      <c r="K755" s="43">
        <v>76854</v>
      </c>
    </row>
    <row r="756" spans="1:11" x14ac:dyDescent="0.25">
      <c r="A756" s="38">
        <v>46049</v>
      </c>
      <c r="B756" s="33" t="s">
        <v>1107</v>
      </c>
      <c r="C756" s="36" t="s">
        <v>241</v>
      </c>
      <c r="D756" s="34" t="s">
        <v>561</v>
      </c>
      <c r="E756" s="34"/>
      <c r="F756" s="37">
        <v>58870</v>
      </c>
      <c r="G756" s="37">
        <v>58870</v>
      </c>
      <c r="H756" s="38">
        <v>46079</v>
      </c>
      <c r="I756" s="38" t="s">
        <v>1796</v>
      </c>
      <c r="J756" s="42">
        <v>2</v>
      </c>
      <c r="K756" s="43">
        <v>58870</v>
      </c>
    </row>
    <row r="757" spans="1:11" x14ac:dyDescent="0.25">
      <c r="A757" s="38">
        <v>46049</v>
      </c>
      <c r="B757" s="33" t="s">
        <v>1108</v>
      </c>
      <c r="C757" s="36" t="s">
        <v>245</v>
      </c>
      <c r="D757" s="34" t="s">
        <v>642</v>
      </c>
      <c r="E757" s="34"/>
      <c r="F757" s="37">
        <v>60900</v>
      </c>
      <c r="G757" s="37">
        <v>60900</v>
      </c>
      <c r="H757" s="38">
        <v>46049</v>
      </c>
      <c r="I757" s="38" t="s">
        <v>1797</v>
      </c>
      <c r="J757" s="42">
        <v>32</v>
      </c>
      <c r="K757" s="43">
        <v>60900</v>
      </c>
    </row>
    <row r="758" spans="1:11" x14ac:dyDescent="0.25">
      <c r="A758" s="38">
        <v>46049</v>
      </c>
      <c r="B758" s="33" t="s">
        <v>1109</v>
      </c>
      <c r="C758" s="36" t="s">
        <v>258</v>
      </c>
      <c r="D758" s="34" t="s">
        <v>561</v>
      </c>
      <c r="E758" s="34"/>
      <c r="F758" s="37">
        <v>201420</v>
      </c>
      <c r="G758" s="37">
        <v>201420</v>
      </c>
      <c r="H758" s="38">
        <v>46049</v>
      </c>
      <c r="I758" s="38" t="s">
        <v>1797</v>
      </c>
      <c r="J758" s="42">
        <v>32</v>
      </c>
      <c r="K758" s="43">
        <v>201420</v>
      </c>
    </row>
    <row r="759" spans="1:11" x14ac:dyDescent="0.25">
      <c r="A759" s="38">
        <v>46049</v>
      </c>
      <c r="B759" s="33" t="s">
        <v>1110</v>
      </c>
      <c r="C759" s="36" t="s">
        <v>258</v>
      </c>
      <c r="D759" s="34" t="s">
        <v>561</v>
      </c>
      <c r="E759" s="34"/>
      <c r="F759" s="37">
        <v>198734</v>
      </c>
      <c r="G759" s="37">
        <v>198734</v>
      </c>
      <c r="H759" s="38">
        <v>46049</v>
      </c>
      <c r="I759" s="38" t="s">
        <v>1797</v>
      </c>
      <c r="J759" s="42">
        <v>32</v>
      </c>
      <c r="K759" s="43">
        <v>198734</v>
      </c>
    </row>
    <row r="760" spans="1:11" x14ac:dyDescent="0.25">
      <c r="A760" s="38">
        <v>46049</v>
      </c>
      <c r="B760" s="33" t="s">
        <v>1111</v>
      </c>
      <c r="C760" s="36" t="s">
        <v>258</v>
      </c>
      <c r="D760" s="34" t="s">
        <v>561</v>
      </c>
      <c r="E760" s="34"/>
      <c r="F760" s="37">
        <v>167850</v>
      </c>
      <c r="G760" s="37">
        <v>167850</v>
      </c>
      <c r="H760" s="38">
        <v>46049</v>
      </c>
      <c r="I760" s="38" t="s">
        <v>1797</v>
      </c>
      <c r="J760" s="42">
        <v>32</v>
      </c>
      <c r="K760" s="43">
        <v>167850</v>
      </c>
    </row>
    <row r="761" spans="1:11" x14ac:dyDescent="0.25">
      <c r="A761" s="38">
        <v>46050</v>
      </c>
      <c r="B761" s="33" t="s">
        <v>1112</v>
      </c>
      <c r="C761" s="36" t="s">
        <v>109</v>
      </c>
      <c r="D761" s="34" t="s">
        <v>373</v>
      </c>
      <c r="E761" s="34"/>
      <c r="F761" s="37">
        <v>148697.32</v>
      </c>
      <c r="G761" s="37">
        <v>148697.32</v>
      </c>
      <c r="H761" s="38">
        <v>46050</v>
      </c>
      <c r="I761" s="38" t="s">
        <v>1797</v>
      </c>
      <c r="J761" s="42">
        <v>31</v>
      </c>
      <c r="K761" s="43">
        <v>148697.32</v>
      </c>
    </row>
    <row r="762" spans="1:11" x14ac:dyDescent="0.25">
      <c r="A762" s="38">
        <v>46050</v>
      </c>
      <c r="B762" s="33" t="s">
        <v>1113</v>
      </c>
      <c r="C762" s="36" t="s">
        <v>142</v>
      </c>
      <c r="D762" s="34" t="s">
        <v>402</v>
      </c>
      <c r="E762" s="34"/>
      <c r="F762" s="37">
        <v>9221</v>
      </c>
      <c r="G762" s="37">
        <v>9221</v>
      </c>
      <c r="H762" s="38">
        <v>46050</v>
      </c>
      <c r="I762" s="38" t="s">
        <v>1797</v>
      </c>
      <c r="J762" s="42">
        <v>31</v>
      </c>
      <c r="K762" s="43">
        <v>9221</v>
      </c>
    </row>
    <row r="763" spans="1:11" x14ac:dyDescent="0.25">
      <c r="A763" s="38">
        <v>46050</v>
      </c>
      <c r="B763" s="33" t="s">
        <v>1114</v>
      </c>
      <c r="C763" s="36" t="s">
        <v>175</v>
      </c>
      <c r="D763" s="34" t="s">
        <v>8</v>
      </c>
      <c r="E763" s="34"/>
      <c r="F763" s="39">
        <v>1875</v>
      </c>
      <c r="G763" s="39">
        <v>10</v>
      </c>
      <c r="H763" s="38">
        <v>46050</v>
      </c>
      <c r="I763" s="38" t="s">
        <v>1797</v>
      </c>
      <c r="J763" s="42">
        <v>31</v>
      </c>
      <c r="K763" s="43">
        <v>-10</v>
      </c>
    </row>
    <row r="764" spans="1:11" x14ac:dyDescent="0.25">
      <c r="A764" s="38">
        <v>46050</v>
      </c>
      <c r="B764" s="33" t="s">
        <v>1115</v>
      </c>
      <c r="C764" s="36" t="s">
        <v>273</v>
      </c>
      <c r="D764" s="34" t="s">
        <v>435</v>
      </c>
      <c r="E764" s="34"/>
      <c r="F764" s="39">
        <v>150000</v>
      </c>
      <c r="G764" s="39">
        <v>150000</v>
      </c>
      <c r="H764" s="38">
        <v>46080</v>
      </c>
      <c r="I764" s="38" t="s">
        <v>1796</v>
      </c>
      <c r="J764" s="42">
        <v>1</v>
      </c>
      <c r="K764" s="43">
        <v>-150000</v>
      </c>
    </row>
    <row r="765" spans="1:11" x14ac:dyDescent="0.25">
      <c r="A765" s="38">
        <v>46051</v>
      </c>
      <c r="B765" s="33" t="s">
        <v>1116</v>
      </c>
      <c r="C765" s="36" t="s">
        <v>43</v>
      </c>
      <c r="D765" s="34" t="s">
        <v>642</v>
      </c>
      <c r="E765" s="34"/>
      <c r="F765" s="37">
        <v>73080</v>
      </c>
      <c r="G765" s="37">
        <v>73080</v>
      </c>
      <c r="H765" s="38">
        <v>46081</v>
      </c>
      <c r="I765" s="38" t="s">
        <v>1796</v>
      </c>
      <c r="J765" s="42">
        <v>0</v>
      </c>
      <c r="K765" s="43">
        <v>73080</v>
      </c>
    </row>
    <row r="766" spans="1:11" x14ac:dyDescent="0.25">
      <c r="A766" s="38">
        <v>46051</v>
      </c>
      <c r="B766" s="33" t="s">
        <v>1117</v>
      </c>
      <c r="C766" s="36" t="s">
        <v>43</v>
      </c>
      <c r="D766" s="34" t="s">
        <v>642</v>
      </c>
      <c r="E766" s="34"/>
      <c r="F766" s="37">
        <v>73080</v>
      </c>
      <c r="G766" s="37">
        <v>73080</v>
      </c>
      <c r="H766" s="38">
        <v>46081</v>
      </c>
      <c r="I766" s="38" t="s">
        <v>1796</v>
      </c>
      <c r="J766" s="42">
        <v>0</v>
      </c>
      <c r="K766" s="43">
        <v>73080</v>
      </c>
    </row>
    <row r="767" spans="1:11" x14ac:dyDescent="0.25">
      <c r="A767" s="38">
        <v>46051</v>
      </c>
      <c r="B767" s="33" t="s">
        <v>1118</v>
      </c>
      <c r="C767" s="36" t="s">
        <v>43</v>
      </c>
      <c r="D767" s="34" t="s">
        <v>642</v>
      </c>
      <c r="E767" s="34"/>
      <c r="F767" s="37">
        <v>73080</v>
      </c>
      <c r="G767" s="37">
        <v>73080</v>
      </c>
      <c r="H767" s="38">
        <v>46081</v>
      </c>
      <c r="I767" s="38" t="s">
        <v>1796</v>
      </c>
      <c r="J767" s="42">
        <v>0</v>
      </c>
      <c r="K767" s="43">
        <v>73080</v>
      </c>
    </row>
    <row r="768" spans="1:11" x14ac:dyDescent="0.25">
      <c r="A768" s="38">
        <v>46051</v>
      </c>
      <c r="B768" s="33" t="s">
        <v>577</v>
      </c>
      <c r="C768" s="36" t="s">
        <v>106</v>
      </c>
      <c r="D768" s="34" t="s">
        <v>402</v>
      </c>
      <c r="E768" s="34"/>
      <c r="F768" s="37">
        <v>24690</v>
      </c>
      <c r="G768" s="37">
        <v>24690</v>
      </c>
      <c r="H768" s="38">
        <v>46051</v>
      </c>
      <c r="I768" s="38" t="s">
        <v>1796</v>
      </c>
      <c r="J768" s="42">
        <v>30</v>
      </c>
      <c r="K768" s="43">
        <v>24690</v>
      </c>
    </row>
    <row r="769" spans="1:11" x14ac:dyDescent="0.25">
      <c r="A769" s="38">
        <v>46051</v>
      </c>
      <c r="B769" s="33" t="s">
        <v>1119</v>
      </c>
      <c r="C769" s="36" t="s">
        <v>187</v>
      </c>
      <c r="D769" s="34" t="s">
        <v>341</v>
      </c>
      <c r="E769" s="34"/>
      <c r="F769" s="37">
        <v>50987.199999999997</v>
      </c>
      <c r="G769" s="37">
        <v>50987.199999999997</v>
      </c>
      <c r="H769" s="38">
        <v>46051</v>
      </c>
      <c r="I769" s="38" t="s">
        <v>1796</v>
      </c>
      <c r="J769" s="42">
        <v>30</v>
      </c>
      <c r="K769" s="43">
        <v>50987.199999999997</v>
      </c>
    </row>
    <row r="770" spans="1:11" x14ac:dyDescent="0.25">
      <c r="A770" s="38">
        <v>46051</v>
      </c>
      <c r="B770" s="33" t="s">
        <v>1120</v>
      </c>
      <c r="C770" s="36" t="s">
        <v>258</v>
      </c>
      <c r="D770" s="34" t="s">
        <v>561</v>
      </c>
      <c r="E770" s="34"/>
      <c r="F770" s="37">
        <v>231633</v>
      </c>
      <c r="G770" s="37">
        <v>231633</v>
      </c>
      <c r="H770" s="38">
        <v>46051</v>
      </c>
      <c r="I770" s="38" t="s">
        <v>1796</v>
      </c>
      <c r="J770" s="42">
        <v>30</v>
      </c>
      <c r="K770" s="43">
        <v>231633</v>
      </c>
    </row>
    <row r="771" spans="1:11" x14ac:dyDescent="0.25">
      <c r="A771" s="38">
        <v>46051</v>
      </c>
      <c r="B771" s="33" t="s">
        <v>1121</v>
      </c>
      <c r="C771" s="36" t="s">
        <v>258</v>
      </c>
      <c r="D771" s="34" t="s">
        <v>561</v>
      </c>
      <c r="E771" s="34"/>
      <c r="F771" s="37">
        <v>167850</v>
      </c>
      <c r="G771" s="37">
        <v>167850</v>
      </c>
      <c r="H771" s="38">
        <v>46051</v>
      </c>
      <c r="I771" s="38" t="s">
        <v>1796</v>
      </c>
      <c r="J771" s="42">
        <v>30</v>
      </c>
      <c r="K771" s="43">
        <v>167850</v>
      </c>
    </row>
    <row r="772" spans="1:11" x14ac:dyDescent="0.25">
      <c r="A772" s="38">
        <v>46052</v>
      </c>
      <c r="B772" s="33" t="s">
        <v>1122</v>
      </c>
      <c r="C772" s="36" t="s">
        <v>66</v>
      </c>
      <c r="D772" s="34" t="s">
        <v>642</v>
      </c>
      <c r="E772" s="34"/>
      <c r="F772" s="37">
        <v>151040</v>
      </c>
      <c r="G772" s="37">
        <v>151040</v>
      </c>
      <c r="H772" s="38">
        <v>46052</v>
      </c>
      <c r="I772" s="38" t="s">
        <v>1796</v>
      </c>
      <c r="J772" s="42">
        <v>29</v>
      </c>
      <c r="K772" s="43">
        <v>151040</v>
      </c>
    </row>
    <row r="773" spans="1:11" x14ac:dyDescent="0.25">
      <c r="A773" s="38">
        <v>46052</v>
      </c>
      <c r="B773" s="33" t="s">
        <v>1123</v>
      </c>
      <c r="C773" s="36" t="s">
        <v>245</v>
      </c>
      <c r="D773" s="34" t="s">
        <v>642</v>
      </c>
      <c r="E773" s="34"/>
      <c r="F773" s="37">
        <v>60900</v>
      </c>
      <c r="G773" s="37">
        <v>60900</v>
      </c>
      <c r="H773" s="38">
        <v>46052</v>
      </c>
      <c r="I773" s="38" t="s">
        <v>1796</v>
      </c>
      <c r="J773" s="42">
        <v>29</v>
      </c>
      <c r="K773" s="43">
        <v>60900</v>
      </c>
    </row>
    <row r="774" spans="1:11" x14ac:dyDescent="0.25">
      <c r="A774" s="38">
        <v>46052</v>
      </c>
      <c r="B774" s="33" t="s">
        <v>1124</v>
      </c>
      <c r="C774" s="36" t="s">
        <v>258</v>
      </c>
      <c r="D774" s="34" t="s">
        <v>561</v>
      </c>
      <c r="E774" s="34"/>
      <c r="F774" s="37">
        <v>198734</v>
      </c>
      <c r="G774" s="37">
        <v>198734</v>
      </c>
      <c r="H774" s="38">
        <v>46052</v>
      </c>
      <c r="I774" s="38" t="s">
        <v>1796</v>
      </c>
      <c r="J774" s="42">
        <v>29</v>
      </c>
      <c r="K774" s="43">
        <v>198734</v>
      </c>
    </row>
    <row r="775" spans="1:11" x14ac:dyDescent="0.25">
      <c r="A775" s="38">
        <v>46052</v>
      </c>
      <c r="B775" s="33" t="s">
        <v>1125</v>
      </c>
      <c r="C775" s="36" t="s">
        <v>309</v>
      </c>
      <c r="D775" s="34" t="s">
        <v>341</v>
      </c>
      <c r="E775" s="34"/>
      <c r="F775" s="37">
        <v>107800</v>
      </c>
      <c r="G775" s="37">
        <v>107800</v>
      </c>
      <c r="H775" s="38">
        <v>46052</v>
      </c>
      <c r="I775" s="38" t="s">
        <v>1796</v>
      </c>
      <c r="J775" s="42">
        <v>29</v>
      </c>
      <c r="K775" s="43">
        <v>107800</v>
      </c>
    </row>
    <row r="776" spans="1:11" x14ac:dyDescent="0.25">
      <c r="A776" s="38">
        <v>46052</v>
      </c>
      <c r="B776" s="33" t="s">
        <v>1126</v>
      </c>
      <c r="C776" s="36" t="s">
        <v>309</v>
      </c>
      <c r="D776" s="34" t="s">
        <v>341</v>
      </c>
      <c r="E776" s="34"/>
      <c r="F776" s="37">
        <v>70560</v>
      </c>
      <c r="G776" s="37">
        <v>70560</v>
      </c>
      <c r="H776" s="38">
        <v>46052</v>
      </c>
      <c r="I776" s="38" t="s">
        <v>1796</v>
      </c>
      <c r="J776" s="42">
        <v>29</v>
      </c>
      <c r="K776" s="43">
        <v>70560</v>
      </c>
    </row>
    <row r="777" spans="1:11" x14ac:dyDescent="0.25">
      <c r="A777" s="38">
        <v>46052</v>
      </c>
      <c r="B777" s="33" t="s">
        <v>1127</v>
      </c>
      <c r="C777" s="36" t="s">
        <v>309</v>
      </c>
      <c r="D777" s="34" t="s">
        <v>341</v>
      </c>
      <c r="E777" s="34"/>
      <c r="F777" s="37">
        <v>70560</v>
      </c>
      <c r="G777" s="37">
        <v>70560</v>
      </c>
      <c r="H777" s="38">
        <v>46052</v>
      </c>
      <c r="I777" s="38" t="s">
        <v>1796</v>
      </c>
      <c r="J777" s="42">
        <v>29</v>
      </c>
      <c r="K777" s="43">
        <v>70560</v>
      </c>
    </row>
    <row r="778" spans="1:11" x14ac:dyDescent="0.25">
      <c r="A778" s="38">
        <v>46053</v>
      </c>
      <c r="B778" s="33" t="s">
        <v>1128</v>
      </c>
      <c r="C778" s="36" t="s">
        <v>23</v>
      </c>
      <c r="D778" s="34" t="s">
        <v>449</v>
      </c>
      <c r="E778" s="34"/>
      <c r="F778" s="37">
        <v>194700</v>
      </c>
      <c r="G778" s="37">
        <v>194700</v>
      </c>
      <c r="H778" s="38">
        <v>46053</v>
      </c>
      <c r="I778" s="38" t="s">
        <v>1796</v>
      </c>
      <c r="J778" s="42">
        <v>28</v>
      </c>
      <c r="K778" s="43">
        <v>194700</v>
      </c>
    </row>
    <row r="779" spans="1:11" x14ac:dyDescent="0.25">
      <c r="A779" s="38">
        <v>46053</v>
      </c>
      <c r="B779" s="33" t="s">
        <v>1129</v>
      </c>
      <c r="C779" s="36" t="s">
        <v>32</v>
      </c>
      <c r="D779" s="34" t="s">
        <v>426</v>
      </c>
      <c r="E779" s="34"/>
      <c r="F779" s="37">
        <v>165277.82</v>
      </c>
      <c r="G779" s="37">
        <v>165277.82</v>
      </c>
      <c r="H779" s="38">
        <v>46060</v>
      </c>
      <c r="I779" s="38" t="s">
        <v>1796</v>
      </c>
      <c r="J779" s="42">
        <v>21</v>
      </c>
      <c r="K779" s="43">
        <v>165277.82</v>
      </c>
    </row>
    <row r="780" spans="1:11" x14ac:dyDescent="0.25">
      <c r="A780" s="38">
        <v>46053</v>
      </c>
      <c r="B780" s="33" t="s">
        <v>1130</v>
      </c>
      <c r="C780" s="36" t="s">
        <v>32</v>
      </c>
      <c r="D780" s="34" t="s">
        <v>426</v>
      </c>
      <c r="E780" s="34"/>
      <c r="F780" s="37">
        <v>109589.03</v>
      </c>
      <c r="G780" s="37">
        <v>109589.03</v>
      </c>
      <c r="H780" s="38">
        <v>46060</v>
      </c>
      <c r="I780" s="38" t="s">
        <v>1796</v>
      </c>
      <c r="J780" s="42">
        <v>21</v>
      </c>
      <c r="K780" s="43">
        <v>109589.03</v>
      </c>
    </row>
    <row r="781" spans="1:11" x14ac:dyDescent="0.25">
      <c r="A781" s="38">
        <v>46053</v>
      </c>
      <c r="B781" s="33" t="s">
        <v>1131</v>
      </c>
      <c r="C781" s="36" t="s">
        <v>32</v>
      </c>
      <c r="D781" s="34" t="s">
        <v>426</v>
      </c>
      <c r="E781" s="34"/>
      <c r="F781" s="37">
        <v>157489.53</v>
      </c>
      <c r="G781" s="37">
        <v>157489.53</v>
      </c>
      <c r="H781" s="38">
        <v>46060</v>
      </c>
      <c r="I781" s="38" t="s">
        <v>1796</v>
      </c>
      <c r="J781" s="42">
        <v>21</v>
      </c>
      <c r="K781" s="43">
        <v>157489.53</v>
      </c>
    </row>
    <row r="782" spans="1:11" x14ac:dyDescent="0.25">
      <c r="A782" s="38">
        <v>46053</v>
      </c>
      <c r="B782" s="33" t="s">
        <v>1132</v>
      </c>
      <c r="C782" s="36" t="s">
        <v>32</v>
      </c>
      <c r="D782" s="34" t="s">
        <v>426</v>
      </c>
      <c r="E782" s="34"/>
      <c r="F782" s="37">
        <v>103573</v>
      </c>
      <c r="G782" s="37">
        <v>103573</v>
      </c>
      <c r="H782" s="38">
        <v>46060</v>
      </c>
      <c r="I782" s="38" t="s">
        <v>1796</v>
      </c>
      <c r="J782" s="42">
        <v>21</v>
      </c>
      <c r="K782" s="43">
        <v>103573</v>
      </c>
    </row>
    <row r="783" spans="1:11" x14ac:dyDescent="0.25">
      <c r="A783" s="38">
        <v>46053</v>
      </c>
      <c r="B783" s="33" t="s">
        <v>1133</v>
      </c>
      <c r="C783" s="36" t="s">
        <v>36</v>
      </c>
      <c r="D783" s="34" t="s">
        <v>402</v>
      </c>
      <c r="E783" s="34"/>
      <c r="F783" s="37">
        <v>476688.43</v>
      </c>
      <c r="G783" s="37">
        <v>476688.43</v>
      </c>
      <c r="H783" s="38">
        <v>46053</v>
      </c>
      <c r="I783" s="38" t="s">
        <v>1796</v>
      </c>
      <c r="J783" s="42">
        <v>28</v>
      </c>
      <c r="K783" s="43">
        <v>476688.43</v>
      </c>
    </row>
    <row r="784" spans="1:11" x14ac:dyDescent="0.25">
      <c r="A784" s="38">
        <v>46053</v>
      </c>
      <c r="B784" s="33" t="s">
        <v>1134</v>
      </c>
      <c r="C784" s="36" t="s">
        <v>36</v>
      </c>
      <c r="D784" s="34" t="s">
        <v>426</v>
      </c>
      <c r="E784" s="34"/>
      <c r="F784" s="37">
        <v>85129</v>
      </c>
      <c r="G784" s="37">
        <v>85129</v>
      </c>
      <c r="H784" s="38">
        <v>46083</v>
      </c>
      <c r="I784" s="38" t="s">
        <v>1796</v>
      </c>
      <c r="J784" s="42">
        <f>$I$1-A784</f>
        <v>28</v>
      </c>
      <c r="K784" s="43">
        <v>85129</v>
      </c>
    </row>
    <row r="785" spans="1:11" x14ac:dyDescent="0.25">
      <c r="A785" s="38">
        <v>46053</v>
      </c>
      <c r="B785" s="33" t="s">
        <v>1135</v>
      </c>
      <c r="C785" s="36" t="s">
        <v>38</v>
      </c>
      <c r="D785" s="34" t="s">
        <v>8</v>
      </c>
      <c r="E785" s="34"/>
      <c r="F785" s="37">
        <v>280.02</v>
      </c>
      <c r="G785" s="37">
        <v>280.02</v>
      </c>
      <c r="H785" s="38">
        <v>46053</v>
      </c>
      <c r="I785" s="38" t="s">
        <v>1796</v>
      </c>
      <c r="J785" s="42">
        <v>28</v>
      </c>
      <c r="K785" s="43">
        <v>280.02</v>
      </c>
    </row>
    <row r="786" spans="1:11" x14ac:dyDescent="0.25">
      <c r="A786" s="38">
        <v>46053</v>
      </c>
      <c r="B786" s="33" t="s">
        <v>1136</v>
      </c>
      <c r="C786" s="36" t="s">
        <v>45</v>
      </c>
      <c r="D786" s="34" t="s">
        <v>433</v>
      </c>
      <c r="E786" s="34"/>
      <c r="F786" s="37">
        <v>9860</v>
      </c>
      <c r="G786" s="37">
        <v>9860</v>
      </c>
      <c r="H786" s="38">
        <v>46053</v>
      </c>
      <c r="I786" s="38" t="s">
        <v>1796</v>
      </c>
      <c r="J786" s="42">
        <v>28</v>
      </c>
      <c r="K786" s="43">
        <v>9860</v>
      </c>
    </row>
    <row r="787" spans="1:11" x14ac:dyDescent="0.25">
      <c r="A787" s="38">
        <v>46053</v>
      </c>
      <c r="B787" s="33" t="s">
        <v>1137</v>
      </c>
      <c r="C787" s="36" t="s">
        <v>45</v>
      </c>
      <c r="D787" s="34" t="s">
        <v>433</v>
      </c>
      <c r="E787" s="34"/>
      <c r="F787" s="37">
        <v>71791</v>
      </c>
      <c r="G787" s="37">
        <v>71791</v>
      </c>
      <c r="H787" s="38">
        <v>46053</v>
      </c>
      <c r="I787" s="38" t="s">
        <v>1796</v>
      </c>
      <c r="J787" s="42">
        <v>28</v>
      </c>
      <c r="K787" s="43">
        <v>71791</v>
      </c>
    </row>
    <row r="788" spans="1:11" x14ac:dyDescent="0.25">
      <c r="A788" s="38">
        <v>46053</v>
      </c>
      <c r="B788" s="33" t="s">
        <v>1138</v>
      </c>
      <c r="C788" s="36" t="s">
        <v>51</v>
      </c>
      <c r="D788" s="34" t="s">
        <v>412</v>
      </c>
      <c r="E788" s="34"/>
      <c r="F788" s="37">
        <v>150833.01</v>
      </c>
      <c r="G788" s="37">
        <v>150833.01</v>
      </c>
      <c r="H788" s="38">
        <v>46053</v>
      </c>
      <c r="I788" s="38" t="s">
        <v>1796</v>
      </c>
      <c r="J788" s="42">
        <v>28</v>
      </c>
      <c r="K788" s="43">
        <v>150833.01</v>
      </c>
    </row>
    <row r="789" spans="1:11" x14ac:dyDescent="0.25">
      <c r="A789" s="38">
        <v>46053</v>
      </c>
      <c r="B789" s="33" t="s">
        <v>1139</v>
      </c>
      <c r="C789" s="36" t="s">
        <v>51</v>
      </c>
      <c r="D789" s="34" t="s">
        <v>412</v>
      </c>
      <c r="E789" s="34"/>
      <c r="F789" s="37">
        <v>142251.85999999999</v>
      </c>
      <c r="G789" s="37">
        <v>142251.85999999999</v>
      </c>
      <c r="H789" s="38">
        <v>46053</v>
      </c>
      <c r="I789" s="38" t="s">
        <v>1796</v>
      </c>
      <c r="J789" s="42">
        <v>28</v>
      </c>
      <c r="K789" s="43">
        <v>142251.85999999999</v>
      </c>
    </row>
    <row r="790" spans="1:11" x14ac:dyDescent="0.25">
      <c r="A790" s="38">
        <v>46053</v>
      </c>
      <c r="B790" s="33" t="s">
        <v>1140</v>
      </c>
      <c r="C790" s="36" t="s">
        <v>51</v>
      </c>
      <c r="D790" s="34" t="s">
        <v>412</v>
      </c>
      <c r="E790" s="34"/>
      <c r="F790" s="37">
        <v>42455.66</v>
      </c>
      <c r="G790" s="37">
        <v>42455.66</v>
      </c>
      <c r="H790" s="38">
        <v>46053</v>
      </c>
      <c r="I790" s="38" t="s">
        <v>1796</v>
      </c>
      <c r="J790" s="42">
        <v>28</v>
      </c>
      <c r="K790" s="43">
        <v>42455.66</v>
      </c>
    </row>
    <row r="791" spans="1:11" x14ac:dyDescent="0.25">
      <c r="A791" s="38">
        <v>46053</v>
      </c>
      <c r="B791" s="33" t="s">
        <v>1141</v>
      </c>
      <c r="C791" s="36" t="s">
        <v>53</v>
      </c>
      <c r="D791" s="34" t="s">
        <v>412</v>
      </c>
      <c r="E791" s="34"/>
      <c r="F791" s="37">
        <v>43702</v>
      </c>
      <c r="G791" s="37">
        <v>43702</v>
      </c>
      <c r="H791" s="38">
        <v>46053</v>
      </c>
      <c r="I791" s="38" t="s">
        <v>1796</v>
      </c>
      <c r="J791" s="42">
        <v>28</v>
      </c>
      <c r="K791" s="43">
        <v>43702</v>
      </c>
    </row>
    <row r="792" spans="1:11" x14ac:dyDescent="0.25">
      <c r="A792" s="38">
        <v>46053</v>
      </c>
      <c r="B792" s="33" t="s">
        <v>1142</v>
      </c>
      <c r="C792" s="36" t="s">
        <v>56</v>
      </c>
      <c r="D792" s="34" t="s">
        <v>433</v>
      </c>
      <c r="E792" s="34"/>
      <c r="F792" s="37">
        <v>87696</v>
      </c>
      <c r="G792" s="37">
        <v>56166.99</v>
      </c>
      <c r="H792" s="38">
        <v>46053</v>
      </c>
      <c r="I792" s="38" t="s">
        <v>1796</v>
      </c>
      <c r="J792" s="42">
        <v>28</v>
      </c>
      <c r="K792" s="43">
        <v>56166.99</v>
      </c>
    </row>
    <row r="793" spans="1:11" x14ac:dyDescent="0.25">
      <c r="A793" s="38">
        <v>46053</v>
      </c>
      <c r="B793" s="33" t="s">
        <v>1143</v>
      </c>
      <c r="C793" s="36" t="s">
        <v>61</v>
      </c>
      <c r="D793" s="34" t="s">
        <v>373</v>
      </c>
      <c r="E793" s="34"/>
      <c r="F793" s="37">
        <v>15063.26</v>
      </c>
      <c r="G793" s="37">
        <v>15063.26</v>
      </c>
      <c r="H793" s="38">
        <v>46083</v>
      </c>
      <c r="I793" s="38" t="s">
        <v>1796</v>
      </c>
      <c r="J793" s="42">
        <f t="shared" ref="J793:J800" si="18">$I$1-A793</f>
        <v>28</v>
      </c>
      <c r="K793" s="43">
        <v>15063.26</v>
      </c>
    </row>
    <row r="794" spans="1:11" x14ac:dyDescent="0.25">
      <c r="A794" s="38">
        <v>46053</v>
      </c>
      <c r="B794" s="33" t="s">
        <v>1144</v>
      </c>
      <c r="C794" s="36" t="s">
        <v>61</v>
      </c>
      <c r="D794" s="34" t="s">
        <v>373</v>
      </c>
      <c r="E794" s="34"/>
      <c r="F794" s="37">
        <v>18146.32</v>
      </c>
      <c r="G794" s="37">
        <v>18146.32</v>
      </c>
      <c r="H794" s="38">
        <v>46083</v>
      </c>
      <c r="I794" s="38" t="s">
        <v>1796</v>
      </c>
      <c r="J794" s="42">
        <f t="shared" si="18"/>
        <v>28</v>
      </c>
      <c r="K794" s="43">
        <v>18146.32</v>
      </c>
    </row>
    <row r="795" spans="1:11" x14ac:dyDescent="0.25">
      <c r="A795" s="38">
        <v>46053</v>
      </c>
      <c r="B795" s="33" t="s">
        <v>1145</v>
      </c>
      <c r="C795" s="36" t="s">
        <v>61</v>
      </c>
      <c r="D795" s="34" t="s">
        <v>373</v>
      </c>
      <c r="E795" s="34"/>
      <c r="F795" s="37">
        <v>17861.060000000001</v>
      </c>
      <c r="G795" s="37">
        <v>17861.060000000001</v>
      </c>
      <c r="H795" s="38">
        <v>46083</v>
      </c>
      <c r="I795" s="38" t="s">
        <v>1796</v>
      </c>
      <c r="J795" s="42">
        <f t="shared" si="18"/>
        <v>28</v>
      </c>
      <c r="K795" s="43">
        <v>17861.060000000001</v>
      </c>
    </row>
    <row r="796" spans="1:11" x14ac:dyDescent="0.25">
      <c r="A796" s="38">
        <v>46053</v>
      </c>
      <c r="B796" s="33" t="s">
        <v>1146</v>
      </c>
      <c r="C796" s="36" t="s">
        <v>61</v>
      </c>
      <c r="D796" s="34" t="s">
        <v>373</v>
      </c>
      <c r="E796" s="34"/>
      <c r="F796" s="37">
        <v>18152.38</v>
      </c>
      <c r="G796" s="37">
        <v>18152.38</v>
      </c>
      <c r="H796" s="38">
        <v>46083</v>
      </c>
      <c r="I796" s="38" t="s">
        <v>1796</v>
      </c>
      <c r="J796" s="42">
        <f t="shared" si="18"/>
        <v>28</v>
      </c>
      <c r="K796" s="43">
        <v>18152.38</v>
      </c>
    </row>
    <row r="797" spans="1:11" x14ac:dyDescent="0.25">
      <c r="A797" s="38">
        <v>46053</v>
      </c>
      <c r="B797" s="33" t="s">
        <v>1147</v>
      </c>
      <c r="C797" s="36" t="s">
        <v>61</v>
      </c>
      <c r="D797" s="34" t="s">
        <v>373</v>
      </c>
      <c r="E797" s="34"/>
      <c r="F797" s="37">
        <v>18055.28</v>
      </c>
      <c r="G797" s="37">
        <v>18055.28</v>
      </c>
      <c r="H797" s="38">
        <v>46083</v>
      </c>
      <c r="I797" s="38" t="s">
        <v>1796</v>
      </c>
      <c r="J797" s="42">
        <f t="shared" si="18"/>
        <v>28</v>
      </c>
      <c r="K797" s="43">
        <v>18055.28</v>
      </c>
    </row>
    <row r="798" spans="1:11" x14ac:dyDescent="0.25">
      <c r="A798" s="38">
        <v>46053</v>
      </c>
      <c r="B798" s="33" t="s">
        <v>1148</v>
      </c>
      <c r="C798" s="36" t="s">
        <v>61</v>
      </c>
      <c r="D798" s="34" t="s">
        <v>373</v>
      </c>
      <c r="E798" s="34"/>
      <c r="F798" s="37">
        <v>18176.66</v>
      </c>
      <c r="G798" s="37">
        <v>18176.66</v>
      </c>
      <c r="H798" s="38">
        <v>46083</v>
      </c>
      <c r="I798" s="38" t="s">
        <v>1796</v>
      </c>
      <c r="J798" s="42">
        <f t="shared" si="18"/>
        <v>28</v>
      </c>
      <c r="K798" s="43">
        <v>18176.66</v>
      </c>
    </row>
    <row r="799" spans="1:11" x14ac:dyDescent="0.25">
      <c r="A799" s="38">
        <v>46053</v>
      </c>
      <c r="B799" s="33" t="s">
        <v>1149</v>
      </c>
      <c r="C799" s="36" t="s">
        <v>61</v>
      </c>
      <c r="D799" s="34" t="s">
        <v>373</v>
      </c>
      <c r="E799" s="34"/>
      <c r="F799" s="37">
        <v>18097.759999999998</v>
      </c>
      <c r="G799" s="37">
        <v>18097.759999999998</v>
      </c>
      <c r="H799" s="38">
        <v>46083</v>
      </c>
      <c r="I799" s="38" t="s">
        <v>1796</v>
      </c>
      <c r="J799" s="42">
        <f t="shared" si="18"/>
        <v>28</v>
      </c>
      <c r="K799" s="43">
        <v>18097.759999999998</v>
      </c>
    </row>
    <row r="800" spans="1:11" x14ac:dyDescent="0.25">
      <c r="A800" s="38">
        <v>46053</v>
      </c>
      <c r="B800" s="33" t="s">
        <v>1150</v>
      </c>
      <c r="C800" s="36" t="s">
        <v>61</v>
      </c>
      <c r="D800" s="34" t="s">
        <v>373</v>
      </c>
      <c r="E800" s="34"/>
      <c r="F800" s="37">
        <v>17679</v>
      </c>
      <c r="G800" s="37">
        <v>17679</v>
      </c>
      <c r="H800" s="38">
        <v>46083</v>
      </c>
      <c r="I800" s="38" t="s">
        <v>1796</v>
      </c>
      <c r="J800" s="42">
        <f t="shared" si="18"/>
        <v>28</v>
      </c>
      <c r="K800" s="43">
        <v>17679</v>
      </c>
    </row>
    <row r="801" spans="1:11" x14ac:dyDescent="0.25">
      <c r="A801" s="38">
        <v>46053</v>
      </c>
      <c r="B801" s="33" t="s">
        <v>1151</v>
      </c>
      <c r="C801" s="36" t="s">
        <v>63</v>
      </c>
      <c r="D801" s="34" t="s">
        <v>642</v>
      </c>
      <c r="E801" s="34"/>
      <c r="F801" s="37">
        <v>115050</v>
      </c>
      <c r="G801" s="37">
        <v>113100</v>
      </c>
      <c r="H801" s="38">
        <v>46053</v>
      </c>
      <c r="I801" s="38" t="s">
        <v>1796</v>
      </c>
      <c r="J801" s="42">
        <v>28</v>
      </c>
      <c r="K801" s="43">
        <v>113100</v>
      </c>
    </row>
    <row r="802" spans="1:11" x14ac:dyDescent="0.25">
      <c r="A802" s="38">
        <v>46053</v>
      </c>
      <c r="B802" s="33" t="s">
        <v>1152</v>
      </c>
      <c r="C802" s="36" t="s">
        <v>63</v>
      </c>
      <c r="D802" s="34" t="s">
        <v>642</v>
      </c>
      <c r="E802" s="34"/>
      <c r="F802" s="37">
        <v>76700</v>
      </c>
      <c r="G802" s="37">
        <v>75400</v>
      </c>
      <c r="H802" s="38">
        <v>46053</v>
      </c>
      <c r="I802" s="38" t="s">
        <v>1796</v>
      </c>
      <c r="J802" s="42">
        <v>28</v>
      </c>
      <c r="K802" s="43">
        <v>75400</v>
      </c>
    </row>
    <row r="803" spans="1:11" x14ac:dyDescent="0.25">
      <c r="A803" s="38">
        <v>46053</v>
      </c>
      <c r="B803" s="33" t="s">
        <v>1153</v>
      </c>
      <c r="C803" s="36" t="s">
        <v>63</v>
      </c>
      <c r="D803" s="34" t="s">
        <v>373</v>
      </c>
      <c r="E803" s="34"/>
      <c r="F803" s="37">
        <v>121800</v>
      </c>
      <c r="G803" s="37">
        <v>121800</v>
      </c>
      <c r="H803" s="38">
        <v>46053</v>
      </c>
      <c r="I803" s="38" t="s">
        <v>1796</v>
      </c>
      <c r="J803" s="42">
        <v>28</v>
      </c>
      <c r="K803" s="43">
        <v>121800</v>
      </c>
    </row>
    <row r="804" spans="1:11" x14ac:dyDescent="0.25">
      <c r="A804" s="38">
        <v>46053</v>
      </c>
      <c r="B804" s="33" t="s">
        <v>1154</v>
      </c>
      <c r="C804" s="36" t="s">
        <v>63</v>
      </c>
      <c r="D804" s="34" t="s">
        <v>373</v>
      </c>
      <c r="E804" s="34"/>
      <c r="F804" s="37">
        <v>168084</v>
      </c>
      <c r="G804" s="37">
        <v>168084</v>
      </c>
      <c r="H804" s="38">
        <v>46053</v>
      </c>
      <c r="I804" s="38" t="s">
        <v>1796</v>
      </c>
      <c r="J804" s="42">
        <v>28</v>
      </c>
      <c r="K804" s="43">
        <v>168084</v>
      </c>
    </row>
    <row r="805" spans="1:11" x14ac:dyDescent="0.25">
      <c r="A805" s="38">
        <v>46053</v>
      </c>
      <c r="B805" s="33" t="s">
        <v>1155</v>
      </c>
      <c r="C805" s="36" t="s">
        <v>63</v>
      </c>
      <c r="D805" s="34" t="s">
        <v>373</v>
      </c>
      <c r="E805" s="34"/>
      <c r="F805" s="37">
        <v>170520</v>
      </c>
      <c r="G805" s="37">
        <v>170520</v>
      </c>
      <c r="H805" s="38">
        <v>46053</v>
      </c>
      <c r="I805" s="38" t="s">
        <v>1796</v>
      </c>
      <c r="J805" s="42">
        <v>28</v>
      </c>
      <c r="K805" s="43">
        <v>170520</v>
      </c>
    </row>
    <row r="806" spans="1:11" x14ac:dyDescent="0.25">
      <c r="A806" s="38">
        <v>46053</v>
      </c>
      <c r="B806" s="33" t="s">
        <v>1156</v>
      </c>
      <c r="C806" s="36" t="s">
        <v>63</v>
      </c>
      <c r="D806" s="34" t="s">
        <v>373</v>
      </c>
      <c r="E806" s="34"/>
      <c r="F806" s="37">
        <v>170520</v>
      </c>
      <c r="G806" s="37">
        <v>170520</v>
      </c>
      <c r="H806" s="38">
        <v>46053</v>
      </c>
      <c r="I806" s="38" t="s">
        <v>1796</v>
      </c>
      <c r="J806" s="42">
        <v>28</v>
      </c>
      <c r="K806" s="43">
        <v>170520</v>
      </c>
    </row>
    <row r="807" spans="1:11" x14ac:dyDescent="0.25">
      <c r="A807" s="38">
        <v>46053</v>
      </c>
      <c r="B807" s="33" t="s">
        <v>1157</v>
      </c>
      <c r="C807" s="36" t="s">
        <v>63</v>
      </c>
      <c r="D807" s="34" t="s">
        <v>373</v>
      </c>
      <c r="E807" s="34"/>
      <c r="F807" s="37">
        <v>121800</v>
      </c>
      <c r="G807" s="37">
        <v>121800</v>
      </c>
      <c r="H807" s="38">
        <v>46053</v>
      </c>
      <c r="I807" s="38" t="s">
        <v>1796</v>
      </c>
      <c r="J807" s="42">
        <v>28</v>
      </c>
      <c r="K807" s="43">
        <v>121800</v>
      </c>
    </row>
    <row r="808" spans="1:11" x14ac:dyDescent="0.25">
      <c r="A808" s="38">
        <v>46053</v>
      </c>
      <c r="B808" s="33" t="s">
        <v>1158</v>
      </c>
      <c r="C808" s="36" t="s">
        <v>63</v>
      </c>
      <c r="D808" s="34" t="s">
        <v>561</v>
      </c>
      <c r="E808" s="34"/>
      <c r="F808" s="37">
        <v>194700</v>
      </c>
      <c r="G808" s="37">
        <v>191400</v>
      </c>
      <c r="H808" s="38">
        <v>46053</v>
      </c>
      <c r="I808" s="38" t="s">
        <v>1796</v>
      </c>
      <c r="J808" s="42">
        <v>28</v>
      </c>
      <c r="K808" s="43">
        <v>191400</v>
      </c>
    </row>
    <row r="809" spans="1:11" x14ac:dyDescent="0.25">
      <c r="A809" s="38">
        <v>46053</v>
      </c>
      <c r="B809" s="33" t="s">
        <v>1159</v>
      </c>
      <c r="C809" s="36" t="s">
        <v>63</v>
      </c>
      <c r="D809" s="34" t="s">
        <v>561</v>
      </c>
      <c r="E809" s="34"/>
      <c r="F809" s="37">
        <v>99120</v>
      </c>
      <c r="G809" s="37">
        <v>97440</v>
      </c>
      <c r="H809" s="38">
        <v>46053</v>
      </c>
      <c r="I809" s="38" t="s">
        <v>1796</v>
      </c>
      <c r="J809" s="42">
        <v>28</v>
      </c>
      <c r="K809" s="43">
        <v>97440</v>
      </c>
    </row>
    <row r="810" spans="1:11" x14ac:dyDescent="0.25">
      <c r="A810" s="38">
        <v>46053</v>
      </c>
      <c r="B810" s="33" t="s">
        <v>1160</v>
      </c>
      <c r="C810" s="36" t="s">
        <v>63</v>
      </c>
      <c r="D810" s="34" t="s">
        <v>561</v>
      </c>
      <c r="E810" s="34"/>
      <c r="F810" s="37">
        <v>72570</v>
      </c>
      <c r="G810" s="37">
        <v>71340</v>
      </c>
      <c r="H810" s="38">
        <v>46053</v>
      </c>
      <c r="I810" s="38" t="s">
        <v>1796</v>
      </c>
      <c r="J810" s="42">
        <v>28</v>
      </c>
      <c r="K810" s="43">
        <v>71340</v>
      </c>
    </row>
    <row r="811" spans="1:11" x14ac:dyDescent="0.25">
      <c r="A811" s="38">
        <v>46053</v>
      </c>
      <c r="B811" s="33" t="s">
        <v>1161</v>
      </c>
      <c r="C811" s="36" t="s">
        <v>63</v>
      </c>
      <c r="D811" s="34" t="s">
        <v>561</v>
      </c>
      <c r="E811" s="34"/>
      <c r="F811" s="37">
        <v>194700</v>
      </c>
      <c r="G811" s="37">
        <v>191400</v>
      </c>
      <c r="H811" s="38">
        <v>46053</v>
      </c>
      <c r="I811" s="38" t="s">
        <v>1796</v>
      </c>
      <c r="J811" s="42">
        <v>28</v>
      </c>
      <c r="K811" s="43">
        <v>191400</v>
      </c>
    </row>
    <row r="812" spans="1:11" x14ac:dyDescent="0.25">
      <c r="A812" s="38">
        <v>46053</v>
      </c>
      <c r="B812" s="33" t="s">
        <v>1162</v>
      </c>
      <c r="C812" s="36" t="s">
        <v>63</v>
      </c>
      <c r="D812" s="34" t="s">
        <v>561</v>
      </c>
      <c r="E812" s="34"/>
      <c r="F812" s="37">
        <v>194700</v>
      </c>
      <c r="G812" s="37">
        <v>191400</v>
      </c>
      <c r="H812" s="38">
        <v>46053</v>
      </c>
      <c r="I812" s="38" t="s">
        <v>1796</v>
      </c>
      <c r="J812" s="42">
        <v>28</v>
      </c>
      <c r="K812" s="43">
        <v>191400</v>
      </c>
    </row>
    <row r="813" spans="1:11" x14ac:dyDescent="0.25">
      <c r="A813" s="38">
        <v>46053</v>
      </c>
      <c r="B813" s="33" t="s">
        <v>1163</v>
      </c>
      <c r="C813" s="36" t="s">
        <v>64</v>
      </c>
      <c r="D813" s="34" t="s">
        <v>449</v>
      </c>
      <c r="E813" s="34"/>
      <c r="F813" s="37">
        <v>22040</v>
      </c>
      <c r="G813" s="37">
        <v>22040</v>
      </c>
      <c r="H813" s="38">
        <v>46053</v>
      </c>
      <c r="I813" s="38" t="s">
        <v>1796</v>
      </c>
      <c r="J813" s="42">
        <v>28</v>
      </c>
      <c r="K813" s="43">
        <v>22040</v>
      </c>
    </row>
    <row r="814" spans="1:11" x14ac:dyDescent="0.25">
      <c r="A814" s="38">
        <v>46053</v>
      </c>
      <c r="B814" s="33" t="s">
        <v>1164</v>
      </c>
      <c r="C814" s="36" t="s">
        <v>75</v>
      </c>
      <c r="D814" s="34" t="s">
        <v>373</v>
      </c>
      <c r="E814" s="34"/>
      <c r="F814" s="37">
        <v>51562</v>
      </c>
      <c r="G814" s="37">
        <v>51562</v>
      </c>
      <c r="H814" s="38">
        <v>46053</v>
      </c>
      <c r="I814" s="38" t="s">
        <v>1796</v>
      </c>
      <c r="J814" s="42">
        <v>28</v>
      </c>
      <c r="K814" s="43">
        <v>51562</v>
      </c>
    </row>
    <row r="815" spans="1:11" x14ac:dyDescent="0.25">
      <c r="A815" s="38">
        <v>46053</v>
      </c>
      <c r="B815" s="33" t="s">
        <v>1165</v>
      </c>
      <c r="C815" s="36" t="s">
        <v>77</v>
      </c>
      <c r="D815" s="34" t="s">
        <v>402</v>
      </c>
      <c r="E815" s="34"/>
      <c r="F815" s="37">
        <v>3480</v>
      </c>
      <c r="G815" s="37">
        <v>3480</v>
      </c>
      <c r="H815" s="38">
        <v>46053</v>
      </c>
      <c r="I815" s="38" t="s">
        <v>1796</v>
      </c>
      <c r="J815" s="42">
        <v>28</v>
      </c>
      <c r="K815" s="43">
        <v>3480</v>
      </c>
    </row>
    <row r="816" spans="1:11" x14ac:dyDescent="0.25">
      <c r="A816" s="38">
        <v>46053</v>
      </c>
      <c r="B816" s="33" t="s">
        <v>1166</v>
      </c>
      <c r="C816" s="36" t="s">
        <v>85</v>
      </c>
      <c r="D816" s="34" t="s">
        <v>412</v>
      </c>
      <c r="E816" s="34"/>
      <c r="F816" s="37">
        <v>47560</v>
      </c>
      <c r="G816" s="37">
        <v>47560</v>
      </c>
      <c r="H816" s="38">
        <v>46053</v>
      </c>
      <c r="I816" s="38" t="s">
        <v>1796</v>
      </c>
      <c r="J816" s="42">
        <v>28</v>
      </c>
      <c r="K816" s="43">
        <v>47560</v>
      </c>
    </row>
    <row r="817" spans="1:11" x14ac:dyDescent="0.25">
      <c r="A817" s="38">
        <v>46053</v>
      </c>
      <c r="B817" s="33" t="s">
        <v>1167</v>
      </c>
      <c r="C817" s="36" t="s">
        <v>85</v>
      </c>
      <c r="D817" s="34" t="s">
        <v>412</v>
      </c>
      <c r="E817" s="34"/>
      <c r="F817" s="37">
        <v>5220</v>
      </c>
      <c r="G817" s="37">
        <v>5220</v>
      </c>
      <c r="H817" s="38">
        <v>46053</v>
      </c>
      <c r="I817" s="38" t="s">
        <v>1796</v>
      </c>
      <c r="J817" s="42">
        <v>28</v>
      </c>
      <c r="K817" s="43">
        <v>5220</v>
      </c>
    </row>
    <row r="818" spans="1:11" x14ac:dyDescent="0.25">
      <c r="A818" s="38">
        <v>46053</v>
      </c>
      <c r="B818" s="33" t="s">
        <v>1168</v>
      </c>
      <c r="C818" s="36" t="s">
        <v>85</v>
      </c>
      <c r="D818" s="34" t="s">
        <v>433</v>
      </c>
      <c r="E818" s="34"/>
      <c r="F818" s="37">
        <v>96280</v>
      </c>
      <c r="G818" s="37">
        <v>96280</v>
      </c>
      <c r="H818" s="38">
        <v>46053</v>
      </c>
      <c r="I818" s="38" t="s">
        <v>1796</v>
      </c>
      <c r="J818" s="42">
        <v>28</v>
      </c>
      <c r="K818" s="43">
        <v>96280</v>
      </c>
    </row>
    <row r="819" spans="1:11" x14ac:dyDescent="0.25">
      <c r="A819" s="38">
        <v>46053</v>
      </c>
      <c r="B819" s="33" t="s">
        <v>519</v>
      </c>
      <c r="C819" s="36" t="s">
        <v>100</v>
      </c>
      <c r="D819" s="34" t="s">
        <v>402</v>
      </c>
      <c r="E819" s="34"/>
      <c r="F819" s="37">
        <v>136159</v>
      </c>
      <c r="G819" s="37">
        <v>136159</v>
      </c>
      <c r="H819" s="38">
        <v>46060</v>
      </c>
      <c r="I819" s="38" t="s">
        <v>1796</v>
      </c>
      <c r="J819" s="42">
        <v>21</v>
      </c>
      <c r="K819" s="43">
        <v>136159</v>
      </c>
    </row>
    <row r="820" spans="1:11" x14ac:dyDescent="0.25">
      <c r="A820" s="38">
        <v>46053</v>
      </c>
      <c r="B820" s="33" t="s">
        <v>1169</v>
      </c>
      <c r="C820" s="36" t="s">
        <v>101</v>
      </c>
      <c r="D820" s="34" t="s">
        <v>341</v>
      </c>
      <c r="E820" s="34"/>
      <c r="F820" s="37">
        <v>109740</v>
      </c>
      <c r="G820" s="37">
        <v>109740</v>
      </c>
      <c r="H820" s="38">
        <v>46053</v>
      </c>
      <c r="I820" s="38" t="s">
        <v>1796</v>
      </c>
      <c r="J820" s="42">
        <v>28</v>
      </c>
      <c r="K820" s="43">
        <v>109740</v>
      </c>
    </row>
    <row r="821" spans="1:11" x14ac:dyDescent="0.25">
      <c r="A821" s="38">
        <v>46053</v>
      </c>
      <c r="B821" s="33" t="s">
        <v>1170</v>
      </c>
      <c r="C821" s="36" t="s">
        <v>101</v>
      </c>
      <c r="D821" s="34" t="s">
        <v>341</v>
      </c>
      <c r="E821" s="34"/>
      <c r="F821" s="37">
        <v>890310</v>
      </c>
      <c r="G821" s="37">
        <v>890310</v>
      </c>
      <c r="H821" s="38">
        <v>46053</v>
      </c>
      <c r="I821" s="38" t="s">
        <v>1796</v>
      </c>
      <c r="J821" s="42">
        <v>28</v>
      </c>
      <c r="K821" s="43">
        <v>890310</v>
      </c>
    </row>
    <row r="822" spans="1:11" x14ac:dyDescent="0.25">
      <c r="A822" s="38">
        <v>46053</v>
      </c>
      <c r="B822" s="33" t="s">
        <v>1171</v>
      </c>
      <c r="C822" s="36" t="s">
        <v>109</v>
      </c>
      <c r="D822" s="34" t="s">
        <v>373</v>
      </c>
      <c r="E822" s="34"/>
      <c r="F822" s="37">
        <v>110542.96</v>
      </c>
      <c r="G822" s="37">
        <v>108906.52</v>
      </c>
      <c r="H822" s="38">
        <v>46053</v>
      </c>
      <c r="I822" s="38" t="s">
        <v>1796</v>
      </c>
      <c r="J822" s="42">
        <v>28</v>
      </c>
      <c r="K822" s="43">
        <v>108906.52</v>
      </c>
    </row>
    <row r="823" spans="1:11" x14ac:dyDescent="0.25">
      <c r="A823" s="38">
        <v>46053</v>
      </c>
      <c r="B823" s="33" t="s">
        <v>1172</v>
      </c>
      <c r="C823" s="36" t="s">
        <v>121</v>
      </c>
      <c r="D823" s="34" t="s">
        <v>341</v>
      </c>
      <c r="E823" s="34"/>
      <c r="F823" s="37">
        <v>34630.199999999997</v>
      </c>
      <c r="G823" s="37">
        <v>270</v>
      </c>
      <c r="H823" s="38">
        <v>46053</v>
      </c>
      <c r="I823" s="38" t="s">
        <v>1796</v>
      </c>
      <c r="J823" s="42">
        <v>28</v>
      </c>
      <c r="K823" s="43">
        <v>270</v>
      </c>
    </row>
    <row r="824" spans="1:11" x14ac:dyDescent="0.25">
      <c r="A824" s="38">
        <v>46053</v>
      </c>
      <c r="B824" s="33" t="s">
        <v>1173</v>
      </c>
      <c r="C824" s="36" t="s">
        <v>124</v>
      </c>
      <c r="D824" s="34" t="s">
        <v>449</v>
      </c>
      <c r="E824" s="34"/>
      <c r="F824" s="39">
        <v>30000</v>
      </c>
      <c r="G824" s="39">
        <v>21639</v>
      </c>
      <c r="H824" s="38">
        <v>46053</v>
      </c>
      <c r="I824" s="38" t="s">
        <v>1796</v>
      </c>
      <c r="J824" s="42">
        <v>28</v>
      </c>
      <c r="K824" s="43">
        <v>-21639</v>
      </c>
    </row>
    <row r="825" spans="1:11" x14ac:dyDescent="0.25">
      <c r="A825" s="38">
        <v>46053</v>
      </c>
      <c r="B825" s="33" t="s">
        <v>1174</v>
      </c>
      <c r="C825" s="36" t="s">
        <v>125</v>
      </c>
      <c r="D825" s="34" t="s">
        <v>433</v>
      </c>
      <c r="E825" s="34"/>
      <c r="F825" s="37">
        <v>1866.6</v>
      </c>
      <c r="G825" s="37">
        <v>73.2</v>
      </c>
      <c r="H825" s="38">
        <v>46053</v>
      </c>
      <c r="I825" s="38" t="s">
        <v>1796</v>
      </c>
      <c r="J825" s="42">
        <v>28</v>
      </c>
      <c r="K825" s="43">
        <v>73.2</v>
      </c>
    </row>
    <row r="826" spans="1:11" x14ac:dyDescent="0.25">
      <c r="A826" s="38">
        <v>46053</v>
      </c>
      <c r="B826" s="33" t="s">
        <v>1175</v>
      </c>
      <c r="C826" s="36" t="s">
        <v>126</v>
      </c>
      <c r="D826" s="34" t="s">
        <v>426</v>
      </c>
      <c r="E826" s="34"/>
      <c r="F826" s="37">
        <v>115125</v>
      </c>
      <c r="G826" s="37">
        <v>115125</v>
      </c>
      <c r="H826" s="38">
        <v>46060</v>
      </c>
      <c r="I826" s="38" t="s">
        <v>1796</v>
      </c>
      <c r="J826" s="42">
        <v>21</v>
      </c>
      <c r="K826" s="43">
        <v>115125</v>
      </c>
    </row>
    <row r="827" spans="1:11" x14ac:dyDescent="0.25">
      <c r="A827" s="38">
        <v>46053</v>
      </c>
      <c r="B827" s="33" t="s">
        <v>1176</v>
      </c>
      <c r="C827" s="36" t="s">
        <v>126</v>
      </c>
      <c r="D827" s="34" t="s">
        <v>426</v>
      </c>
      <c r="E827" s="34"/>
      <c r="F827" s="37">
        <v>111604.5</v>
      </c>
      <c r="G827" s="37">
        <v>111604.5</v>
      </c>
      <c r="H827" s="38">
        <v>46060</v>
      </c>
      <c r="I827" s="38" t="s">
        <v>1796</v>
      </c>
      <c r="J827" s="42">
        <v>21</v>
      </c>
      <c r="K827" s="43">
        <v>111604.5</v>
      </c>
    </row>
    <row r="828" spans="1:11" x14ac:dyDescent="0.25">
      <c r="A828" s="38">
        <v>46053</v>
      </c>
      <c r="B828" s="33" t="s">
        <v>1177</v>
      </c>
      <c r="C828" s="36" t="s">
        <v>126</v>
      </c>
      <c r="D828" s="34" t="s">
        <v>426</v>
      </c>
      <c r="E828" s="34"/>
      <c r="F828" s="37">
        <v>96791.62</v>
      </c>
      <c r="G828" s="37">
        <v>96791.62</v>
      </c>
      <c r="H828" s="38">
        <v>46060</v>
      </c>
      <c r="I828" s="38" t="s">
        <v>1796</v>
      </c>
      <c r="J828" s="42">
        <v>21</v>
      </c>
      <c r="K828" s="43">
        <v>96791.62</v>
      </c>
    </row>
    <row r="829" spans="1:11" x14ac:dyDescent="0.25">
      <c r="A829" s="38">
        <v>46053</v>
      </c>
      <c r="B829" s="33" t="s">
        <v>1178</v>
      </c>
      <c r="C829" s="36" t="s">
        <v>126</v>
      </c>
      <c r="D829" s="34" t="s">
        <v>426</v>
      </c>
      <c r="E829" s="34"/>
      <c r="F829" s="37">
        <v>139529.26</v>
      </c>
      <c r="G829" s="37">
        <v>139529.26</v>
      </c>
      <c r="H829" s="38">
        <v>46060</v>
      </c>
      <c r="I829" s="38" t="s">
        <v>1796</v>
      </c>
      <c r="J829" s="42">
        <v>21</v>
      </c>
      <c r="K829" s="43">
        <v>139529.26</v>
      </c>
    </row>
    <row r="830" spans="1:11" x14ac:dyDescent="0.25">
      <c r="A830" s="38">
        <v>46053</v>
      </c>
      <c r="B830" s="33" t="s">
        <v>1179</v>
      </c>
      <c r="C830" s="36" t="s">
        <v>126</v>
      </c>
      <c r="D830" s="34" t="s">
        <v>426</v>
      </c>
      <c r="E830" s="34"/>
      <c r="F830" s="37">
        <v>124243.88</v>
      </c>
      <c r="G830" s="37">
        <v>124243.88</v>
      </c>
      <c r="H830" s="38">
        <v>46060</v>
      </c>
      <c r="I830" s="38" t="s">
        <v>1796</v>
      </c>
      <c r="J830" s="42">
        <v>21</v>
      </c>
      <c r="K830" s="43">
        <v>124243.88</v>
      </c>
    </row>
    <row r="831" spans="1:11" x14ac:dyDescent="0.25">
      <c r="A831" s="38">
        <v>46053</v>
      </c>
      <c r="B831" s="33" t="s">
        <v>1180</v>
      </c>
      <c r="C831" s="36" t="s">
        <v>126</v>
      </c>
      <c r="D831" s="34" t="s">
        <v>393</v>
      </c>
      <c r="E831" s="34"/>
      <c r="F831" s="37">
        <v>113494.5</v>
      </c>
      <c r="G831" s="37">
        <v>113494.5</v>
      </c>
      <c r="H831" s="38">
        <v>46060</v>
      </c>
      <c r="I831" s="38" t="s">
        <v>1796</v>
      </c>
      <c r="J831" s="42">
        <v>21</v>
      </c>
      <c r="K831" s="43">
        <v>113494.5</v>
      </c>
    </row>
    <row r="832" spans="1:11" x14ac:dyDescent="0.25">
      <c r="A832" s="38">
        <v>46053</v>
      </c>
      <c r="B832" s="33" t="s">
        <v>1181</v>
      </c>
      <c r="C832" s="36" t="s">
        <v>126</v>
      </c>
      <c r="D832" s="34" t="s">
        <v>426</v>
      </c>
      <c r="E832" s="34"/>
      <c r="F832" s="37">
        <v>122353.88</v>
      </c>
      <c r="G832" s="37">
        <v>122353.88</v>
      </c>
      <c r="H832" s="38">
        <v>46060</v>
      </c>
      <c r="I832" s="38" t="s">
        <v>1796</v>
      </c>
      <c r="J832" s="42">
        <v>21</v>
      </c>
      <c r="K832" s="43">
        <v>122353.88</v>
      </c>
    </row>
    <row r="833" spans="1:11" x14ac:dyDescent="0.25">
      <c r="A833" s="38">
        <v>46053</v>
      </c>
      <c r="B833" s="33" t="s">
        <v>1182</v>
      </c>
      <c r="C833" s="36" t="s">
        <v>126</v>
      </c>
      <c r="D833" s="34" t="s">
        <v>426</v>
      </c>
      <c r="E833" s="34"/>
      <c r="F833" s="37">
        <v>96130.12</v>
      </c>
      <c r="G833" s="37">
        <v>96130.12</v>
      </c>
      <c r="H833" s="38">
        <v>46060</v>
      </c>
      <c r="I833" s="38" t="s">
        <v>1796</v>
      </c>
      <c r="J833" s="42">
        <v>21</v>
      </c>
      <c r="K833" s="43">
        <v>96130.12</v>
      </c>
    </row>
    <row r="834" spans="1:11" x14ac:dyDescent="0.25">
      <c r="A834" s="38">
        <v>46053</v>
      </c>
      <c r="B834" s="33" t="s">
        <v>1183</v>
      </c>
      <c r="C834" s="36" t="s">
        <v>126</v>
      </c>
      <c r="D834" s="34" t="s">
        <v>426</v>
      </c>
      <c r="E834" s="34"/>
      <c r="F834" s="37">
        <v>127197</v>
      </c>
      <c r="G834" s="37">
        <v>127197</v>
      </c>
      <c r="H834" s="38">
        <v>46060</v>
      </c>
      <c r="I834" s="38" t="s">
        <v>1796</v>
      </c>
      <c r="J834" s="42">
        <v>21</v>
      </c>
      <c r="K834" s="43">
        <v>127197</v>
      </c>
    </row>
    <row r="835" spans="1:11" x14ac:dyDescent="0.25">
      <c r="A835" s="38">
        <v>46053</v>
      </c>
      <c r="B835" s="33" t="s">
        <v>1184</v>
      </c>
      <c r="C835" s="36" t="s">
        <v>126</v>
      </c>
      <c r="D835" s="34" t="s">
        <v>426</v>
      </c>
      <c r="E835" s="34"/>
      <c r="F835" s="37">
        <v>116400.38</v>
      </c>
      <c r="G835" s="37">
        <v>116400.38</v>
      </c>
      <c r="H835" s="38">
        <v>46060</v>
      </c>
      <c r="I835" s="38" t="s">
        <v>1796</v>
      </c>
      <c r="J835" s="42">
        <v>21</v>
      </c>
      <c r="K835" s="43">
        <v>116400.38</v>
      </c>
    </row>
    <row r="836" spans="1:11" x14ac:dyDescent="0.25">
      <c r="A836" s="38">
        <v>46053</v>
      </c>
      <c r="B836" s="33" t="s">
        <v>1185</v>
      </c>
      <c r="C836" s="36" t="s">
        <v>126</v>
      </c>
      <c r="D836" s="34" t="s">
        <v>426</v>
      </c>
      <c r="E836" s="34"/>
      <c r="F836" s="37">
        <v>116329.5</v>
      </c>
      <c r="G836" s="37">
        <v>116329.5</v>
      </c>
      <c r="H836" s="38">
        <v>46060</v>
      </c>
      <c r="I836" s="38" t="s">
        <v>1796</v>
      </c>
      <c r="J836" s="42">
        <v>21</v>
      </c>
      <c r="K836" s="43">
        <v>116329.5</v>
      </c>
    </row>
    <row r="837" spans="1:11" x14ac:dyDescent="0.25">
      <c r="A837" s="38">
        <v>46053</v>
      </c>
      <c r="B837" s="33" t="s">
        <v>1186</v>
      </c>
      <c r="C837" s="36" t="s">
        <v>126</v>
      </c>
      <c r="D837" s="34" t="s">
        <v>426</v>
      </c>
      <c r="E837" s="34"/>
      <c r="F837" s="37">
        <v>115124.62</v>
      </c>
      <c r="G837" s="37">
        <v>115124.62</v>
      </c>
      <c r="H837" s="38">
        <v>46060</v>
      </c>
      <c r="I837" s="38" t="s">
        <v>1796</v>
      </c>
      <c r="J837" s="42">
        <v>21</v>
      </c>
      <c r="K837" s="43">
        <v>115124.62</v>
      </c>
    </row>
    <row r="838" spans="1:11" x14ac:dyDescent="0.25">
      <c r="A838" s="38">
        <v>46053</v>
      </c>
      <c r="B838" s="33" t="s">
        <v>1187</v>
      </c>
      <c r="C838" s="36" t="s">
        <v>126</v>
      </c>
      <c r="D838" s="34" t="s">
        <v>426</v>
      </c>
      <c r="E838" s="34"/>
      <c r="F838" s="37">
        <v>126937.12</v>
      </c>
      <c r="G838" s="37">
        <v>126937.12</v>
      </c>
      <c r="H838" s="38">
        <v>46060</v>
      </c>
      <c r="I838" s="38" t="s">
        <v>1796</v>
      </c>
      <c r="J838" s="42">
        <v>21</v>
      </c>
      <c r="K838" s="43">
        <v>126937.12</v>
      </c>
    </row>
    <row r="839" spans="1:11" x14ac:dyDescent="0.25">
      <c r="A839" s="38">
        <v>46053</v>
      </c>
      <c r="B839" s="33" t="s">
        <v>1188</v>
      </c>
      <c r="C839" s="36" t="s">
        <v>126</v>
      </c>
      <c r="D839" s="34" t="s">
        <v>426</v>
      </c>
      <c r="E839" s="34"/>
      <c r="F839" s="37">
        <v>86632.88</v>
      </c>
      <c r="G839" s="37">
        <v>86632.88</v>
      </c>
      <c r="H839" s="38">
        <v>46060</v>
      </c>
      <c r="I839" s="38" t="s">
        <v>1796</v>
      </c>
      <c r="J839" s="42">
        <v>21</v>
      </c>
      <c r="K839" s="43">
        <v>86632.88</v>
      </c>
    </row>
    <row r="840" spans="1:11" x14ac:dyDescent="0.25">
      <c r="A840" s="38">
        <v>46053</v>
      </c>
      <c r="B840" s="33" t="s">
        <v>1189</v>
      </c>
      <c r="C840" s="36" t="s">
        <v>126</v>
      </c>
      <c r="D840" s="34" t="s">
        <v>426</v>
      </c>
      <c r="E840" s="34"/>
      <c r="F840" s="37">
        <v>137025</v>
      </c>
      <c r="G840" s="37">
        <v>137025</v>
      </c>
      <c r="H840" s="38">
        <v>46060</v>
      </c>
      <c r="I840" s="38" t="s">
        <v>1796</v>
      </c>
      <c r="J840" s="42">
        <v>21</v>
      </c>
      <c r="K840" s="43">
        <v>137025</v>
      </c>
    </row>
    <row r="841" spans="1:11" x14ac:dyDescent="0.25">
      <c r="A841" s="38">
        <v>46053</v>
      </c>
      <c r="B841" s="33" t="s">
        <v>1190</v>
      </c>
      <c r="C841" s="36" t="s">
        <v>126</v>
      </c>
      <c r="D841" s="34" t="s">
        <v>426</v>
      </c>
      <c r="E841" s="34"/>
      <c r="F841" s="37">
        <v>90979.88</v>
      </c>
      <c r="G841" s="37">
        <v>90979.88</v>
      </c>
      <c r="H841" s="38">
        <v>46060</v>
      </c>
      <c r="I841" s="38" t="s">
        <v>1796</v>
      </c>
      <c r="J841" s="42">
        <v>21</v>
      </c>
      <c r="K841" s="43">
        <v>90979.88</v>
      </c>
    </row>
    <row r="842" spans="1:11" x14ac:dyDescent="0.25">
      <c r="A842" s="38">
        <v>46053</v>
      </c>
      <c r="B842" s="33" t="s">
        <v>1191</v>
      </c>
      <c r="C842" s="36" t="s">
        <v>126</v>
      </c>
      <c r="D842" s="34" t="s">
        <v>426</v>
      </c>
      <c r="E842" s="34"/>
      <c r="F842" s="37">
        <v>127315.12</v>
      </c>
      <c r="G842" s="37">
        <v>127315.12</v>
      </c>
      <c r="H842" s="38">
        <v>46060</v>
      </c>
      <c r="I842" s="38" t="s">
        <v>1796</v>
      </c>
      <c r="J842" s="42">
        <v>21</v>
      </c>
      <c r="K842" s="43">
        <v>127315.12</v>
      </c>
    </row>
    <row r="843" spans="1:11" x14ac:dyDescent="0.25">
      <c r="A843" s="38">
        <v>46053</v>
      </c>
      <c r="B843" s="33" t="s">
        <v>1192</v>
      </c>
      <c r="C843" s="36" t="s">
        <v>126</v>
      </c>
      <c r="D843" s="34" t="s">
        <v>426</v>
      </c>
      <c r="E843" s="34"/>
      <c r="F843" s="37">
        <v>131685.76000000001</v>
      </c>
      <c r="G843" s="37">
        <v>131685.76000000001</v>
      </c>
      <c r="H843" s="38">
        <v>46060</v>
      </c>
      <c r="I843" s="38" t="s">
        <v>1796</v>
      </c>
      <c r="J843" s="42">
        <v>21</v>
      </c>
      <c r="K843" s="43">
        <v>131685.76000000001</v>
      </c>
    </row>
    <row r="844" spans="1:11" x14ac:dyDescent="0.25">
      <c r="A844" s="38">
        <v>46053</v>
      </c>
      <c r="B844" s="33" t="s">
        <v>1193</v>
      </c>
      <c r="C844" s="36" t="s">
        <v>126</v>
      </c>
      <c r="D844" s="34" t="s">
        <v>426</v>
      </c>
      <c r="E844" s="34"/>
      <c r="F844" s="37">
        <v>118503</v>
      </c>
      <c r="G844" s="37">
        <v>118503</v>
      </c>
      <c r="H844" s="38">
        <v>46060</v>
      </c>
      <c r="I844" s="38" t="s">
        <v>1796</v>
      </c>
      <c r="J844" s="42">
        <v>21</v>
      </c>
      <c r="K844" s="43">
        <v>118503</v>
      </c>
    </row>
    <row r="845" spans="1:11" x14ac:dyDescent="0.25">
      <c r="A845" s="38">
        <v>46053</v>
      </c>
      <c r="B845" s="33" t="s">
        <v>1194</v>
      </c>
      <c r="C845" s="36" t="s">
        <v>126</v>
      </c>
      <c r="D845" s="34" t="s">
        <v>426</v>
      </c>
      <c r="E845" s="34"/>
      <c r="F845" s="37">
        <v>124692.76</v>
      </c>
      <c r="G845" s="37">
        <v>124692.76</v>
      </c>
      <c r="H845" s="38">
        <v>46060</v>
      </c>
      <c r="I845" s="38" t="s">
        <v>1796</v>
      </c>
      <c r="J845" s="42">
        <v>21</v>
      </c>
      <c r="K845" s="43">
        <v>124692.76</v>
      </c>
    </row>
    <row r="846" spans="1:11" x14ac:dyDescent="0.25">
      <c r="A846" s="38">
        <v>46053</v>
      </c>
      <c r="B846" s="33" t="s">
        <v>1195</v>
      </c>
      <c r="C846" s="36" t="s">
        <v>126</v>
      </c>
      <c r="D846" s="34" t="s">
        <v>426</v>
      </c>
      <c r="E846" s="34"/>
      <c r="F846" s="37">
        <v>120558.38</v>
      </c>
      <c r="G846" s="37">
        <v>120558.38</v>
      </c>
      <c r="H846" s="38">
        <v>46060</v>
      </c>
      <c r="I846" s="38" t="s">
        <v>1796</v>
      </c>
      <c r="J846" s="42">
        <v>21</v>
      </c>
      <c r="K846" s="43">
        <v>120558.38</v>
      </c>
    </row>
    <row r="847" spans="1:11" x14ac:dyDescent="0.25">
      <c r="A847" s="38">
        <v>46053</v>
      </c>
      <c r="B847" s="33" t="s">
        <v>1196</v>
      </c>
      <c r="C847" s="36" t="s">
        <v>126</v>
      </c>
      <c r="D847" s="34" t="s">
        <v>426</v>
      </c>
      <c r="E847" s="34"/>
      <c r="F847" s="37">
        <v>117369</v>
      </c>
      <c r="G847" s="37">
        <v>117369</v>
      </c>
      <c r="H847" s="38">
        <v>46060</v>
      </c>
      <c r="I847" s="38" t="s">
        <v>1796</v>
      </c>
      <c r="J847" s="42">
        <v>21</v>
      </c>
      <c r="K847" s="43">
        <v>117369</v>
      </c>
    </row>
    <row r="848" spans="1:11" x14ac:dyDescent="0.25">
      <c r="A848" s="38">
        <v>46053</v>
      </c>
      <c r="B848" s="33" t="s">
        <v>1197</v>
      </c>
      <c r="C848" s="36" t="s">
        <v>126</v>
      </c>
      <c r="D848" s="34" t="s">
        <v>426</v>
      </c>
      <c r="E848" s="34"/>
      <c r="F848" s="37">
        <v>128165.62</v>
      </c>
      <c r="G848" s="37">
        <v>128165.62</v>
      </c>
      <c r="H848" s="38">
        <v>46060</v>
      </c>
      <c r="I848" s="38" t="s">
        <v>1796</v>
      </c>
      <c r="J848" s="42">
        <v>21</v>
      </c>
      <c r="K848" s="43">
        <v>128165.62</v>
      </c>
    </row>
    <row r="849" spans="1:11" x14ac:dyDescent="0.25">
      <c r="A849" s="38">
        <v>46053</v>
      </c>
      <c r="B849" s="33" t="s">
        <v>1198</v>
      </c>
      <c r="C849" s="36" t="s">
        <v>126</v>
      </c>
      <c r="D849" s="34" t="s">
        <v>426</v>
      </c>
      <c r="E849" s="34"/>
      <c r="F849" s="37">
        <v>126228.38</v>
      </c>
      <c r="G849" s="37">
        <v>126228.38</v>
      </c>
      <c r="H849" s="38">
        <v>46060</v>
      </c>
      <c r="I849" s="38" t="s">
        <v>1796</v>
      </c>
      <c r="J849" s="42">
        <v>21</v>
      </c>
      <c r="K849" s="43">
        <v>126228.38</v>
      </c>
    </row>
    <row r="850" spans="1:11" x14ac:dyDescent="0.25">
      <c r="A850" s="38">
        <v>46053</v>
      </c>
      <c r="B850" s="33" t="s">
        <v>1199</v>
      </c>
      <c r="C850" s="36" t="s">
        <v>132</v>
      </c>
      <c r="D850" s="34" t="s">
        <v>565</v>
      </c>
      <c r="E850" s="34"/>
      <c r="F850" s="37">
        <v>37000</v>
      </c>
      <c r="G850" s="37">
        <v>37000</v>
      </c>
      <c r="H850" s="38">
        <v>46053</v>
      </c>
      <c r="I850" s="38" t="s">
        <v>1796</v>
      </c>
      <c r="J850" s="42">
        <v>28</v>
      </c>
      <c r="K850" s="43">
        <v>37000</v>
      </c>
    </row>
    <row r="851" spans="1:11" x14ac:dyDescent="0.25">
      <c r="A851" s="38">
        <v>46053</v>
      </c>
      <c r="B851" s="33" t="s">
        <v>1200</v>
      </c>
      <c r="C851" s="36" t="s">
        <v>133</v>
      </c>
      <c r="D851" s="34" t="s">
        <v>8</v>
      </c>
      <c r="E851" s="34"/>
      <c r="F851" s="39">
        <v>2612400</v>
      </c>
      <c r="G851" s="39">
        <v>2612400</v>
      </c>
      <c r="H851" s="38">
        <v>46053</v>
      </c>
      <c r="I851" s="38" t="s">
        <v>1796</v>
      </c>
      <c r="J851" s="42">
        <v>28</v>
      </c>
      <c r="K851" s="43">
        <v>-2612400</v>
      </c>
    </row>
    <row r="852" spans="1:11" x14ac:dyDescent="0.25">
      <c r="A852" s="38">
        <v>46053</v>
      </c>
      <c r="B852" s="33" t="s">
        <v>1201</v>
      </c>
      <c r="C852" s="36" t="s">
        <v>146</v>
      </c>
      <c r="D852" s="34" t="s">
        <v>412</v>
      </c>
      <c r="E852" s="34"/>
      <c r="F852" s="37">
        <v>9594</v>
      </c>
      <c r="G852" s="37">
        <v>9594</v>
      </c>
      <c r="H852" s="38">
        <v>46053</v>
      </c>
      <c r="I852" s="38" t="s">
        <v>1796</v>
      </c>
      <c r="J852" s="42">
        <v>28</v>
      </c>
      <c r="K852" s="43">
        <v>9594</v>
      </c>
    </row>
    <row r="853" spans="1:11" x14ac:dyDescent="0.25">
      <c r="A853" s="38">
        <v>46053</v>
      </c>
      <c r="B853" s="33" t="s">
        <v>1202</v>
      </c>
      <c r="C853" s="36" t="s">
        <v>154</v>
      </c>
      <c r="D853" s="34" t="s">
        <v>373</v>
      </c>
      <c r="E853" s="34"/>
      <c r="F853" s="37">
        <v>77356.960000000006</v>
      </c>
      <c r="G853" s="37">
        <v>77356.960000000006</v>
      </c>
      <c r="H853" s="38">
        <v>46113</v>
      </c>
      <c r="I853" s="38" t="s">
        <v>1796</v>
      </c>
      <c r="J853" s="42">
        <f>$I$1-A853</f>
        <v>28</v>
      </c>
      <c r="K853" s="43">
        <v>77356.960000000006</v>
      </c>
    </row>
    <row r="854" spans="1:11" x14ac:dyDescent="0.25">
      <c r="A854" s="38">
        <v>46053</v>
      </c>
      <c r="B854" s="33" t="s">
        <v>1203</v>
      </c>
      <c r="C854" s="36" t="s">
        <v>154</v>
      </c>
      <c r="D854" s="34" t="s">
        <v>373</v>
      </c>
      <c r="E854" s="34"/>
      <c r="F854" s="37">
        <v>11742</v>
      </c>
      <c r="G854" s="37">
        <v>11742</v>
      </c>
      <c r="H854" s="38">
        <v>46053</v>
      </c>
      <c r="I854" s="38" t="s">
        <v>1796</v>
      </c>
      <c r="J854" s="42">
        <v>28</v>
      </c>
      <c r="K854" s="43">
        <v>11742</v>
      </c>
    </row>
    <row r="855" spans="1:11" x14ac:dyDescent="0.25">
      <c r="A855" s="38">
        <v>46053</v>
      </c>
      <c r="B855" s="33" t="s">
        <v>1204</v>
      </c>
      <c r="C855" s="36" t="s">
        <v>154</v>
      </c>
      <c r="D855" s="34" t="s">
        <v>426</v>
      </c>
      <c r="E855" s="34"/>
      <c r="F855" s="37">
        <v>51870.8</v>
      </c>
      <c r="G855" s="37">
        <v>51870.8</v>
      </c>
      <c r="H855" s="38">
        <v>46053</v>
      </c>
      <c r="I855" s="38" t="s">
        <v>1796</v>
      </c>
      <c r="J855" s="42">
        <v>28</v>
      </c>
      <c r="K855" s="43">
        <v>51870.8</v>
      </c>
    </row>
    <row r="856" spans="1:11" x14ac:dyDescent="0.25">
      <c r="A856" s="38">
        <v>46053</v>
      </c>
      <c r="B856" s="33" t="s">
        <v>1205</v>
      </c>
      <c r="C856" s="36" t="s">
        <v>157</v>
      </c>
      <c r="D856" s="34" t="s">
        <v>8</v>
      </c>
      <c r="E856" s="34"/>
      <c r="F856" s="37">
        <v>1671598</v>
      </c>
      <c r="G856" s="37">
        <v>1671598</v>
      </c>
      <c r="H856" s="38">
        <v>46053</v>
      </c>
      <c r="I856" s="38" t="s">
        <v>1796</v>
      </c>
      <c r="J856" s="42">
        <v>28</v>
      </c>
      <c r="K856" s="43">
        <v>1671598</v>
      </c>
    </row>
    <row r="857" spans="1:11" x14ac:dyDescent="0.25">
      <c r="A857" s="38">
        <v>46053</v>
      </c>
      <c r="B857" s="33" t="s">
        <v>432</v>
      </c>
      <c r="C857" s="36" t="s">
        <v>163</v>
      </c>
      <c r="D857" s="34" t="s">
        <v>433</v>
      </c>
      <c r="E857" s="34"/>
      <c r="F857" s="37">
        <v>230100</v>
      </c>
      <c r="G857" s="37">
        <v>230100</v>
      </c>
      <c r="H857" s="38">
        <v>46083</v>
      </c>
      <c r="I857" s="38" t="s">
        <v>1796</v>
      </c>
      <c r="J857" s="42">
        <f>$I$1-A857</f>
        <v>28</v>
      </c>
      <c r="K857" s="43">
        <v>230100</v>
      </c>
    </row>
    <row r="858" spans="1:11" x14ac:dyDescent="0.25">
      <c r="A858" s="38">
        <v>46053</v>
      </c>
      <c r="B858" s="33" t="s">
        <v>1206</v>
      </c>
      <c r="C858" s="36" t="s">
        <v>172</v>
      </c>
      <c r="D858" s="34" t="s">
        <v>341</v>
      </c>
      <c r="E858" s="34"/>
      <c r="F858" s="37">
        <v>47672</v>
      </c>
      <c r="G858" s="37">
        <v>47672</v>
      </c>
      <c r="H858" s="38">
        <v>46053</v>
      </c>
      <c r="I858" s="38" t="s">
        <v>1796</v>
      </c>
      <c r="J858" s="42">
        <v>28</v>
      </c>
      <c r="K858" s="43">
        <v>47672</v>
      </c>
    </row>
    <row r="859" spans="1:11" x14ac:dyDescent="0.25">
      <c r="A859" s="38">
        <v>46053</v>
      </c>
      <c r="B859" s="33" t="s">
        <v>1207</v>
      </c>
      <c r="C859" s="36" t="s">
        <v>176</v>
      </c>
      <c r="D859" s="34" t="s">
        <v>435</v>
      </c>
      <c r="E859" s="34"/>
      <c r="F859" s="37">
        <v>2876.8</v>
      </c>
      <c r="G859" s="37">
        <v>2876.8</v>
      </c>
      <c r="H859" s="38">
        <v>46053</v>
      </c>
      <c r="I859" s="38" t="s">
        <v>1796</v>
      </c>
      <c r="J859" s="42">
        <v>28</v>
      </c>
      <c r="K859" s="43">
        <v>2876.8</v>
      </c>
    </row>
    <row r="860" spans="1:11" x14ac:dyDescent="0.25">
      <c r="A860" s="38">
        <v>46053</v>
      </c>
      <c r="B860" s="33" t="s">
        <v>1208</v>
      </c>
      <c r="C860" s="36" t="s">
        <v>191</v>
      </c>
      <c r="D860" s="34" t="s">
        <v>8</v>
      </c>
      <c r="E860" s="34"/>
      <c r="F860" s="39">
        <v>25000</v>
      </c>
      <c r="G860" s="39">
        <v>25000</v>
      </c>
      <c r="H860" s="38">
        <v>46053</v>
      </c>
      <c r="I860" s="38" t="s">
        <v>1796</v>
      </c>
      <c r="J860" s="42">
        <v>28</v>
      </c>
      <c r="K860" s="43">
        <v>-25000</v>
      </c>
    </row>
    <row r="861" spans="1:11" x14ac:dyDescent="0.25">
      <c r="A861" s="38">
        <v>46053</v>
      </c>
      <c r="B861" s="33" t="s">
        <v>1209</v>
      </c>
      <c r="C861" s="36" t="s">
        <v>200</v>
      </c>
      <c r="D861" s="34" t="s">
        <v>352</v>
      </c>
      <c r="E861" s="34"/>
      <c r="F861" s="37">
        <v>42480</v>
      </c>
      <c r="G861" s="37">
        <v>42480</v>
      </c>
      <c r="H861" s="38">
        <v>46053</v>
      </c>
      <c r="I861" s="38" t="s">
        <v>1796</v>
      </c>
      <c r="J861" s="42">
        <v>28</v>
      </c>
      <c r="K861" s="43">
        <v>42480</v>
      </c>
    </row>
    <row r="862" spans="1:11" x14ac:dyDescent="0.25">
      <c r="A862" s="38">
        <v>46053</v>
      </c>
      <c r="B862" s="33" t="s">
        <v>1210</v>
      </c>
      <c r="C862" s="36" t="s">
        <v>202</v>
      </c>
      <c r="D862" s="34" t="s">
        <v>449</v>
      </c>
      <c r="E862" s="34"/>
      <c r="F862" s="37">
        <v>1015478</v>
      </c>
      <c r="G862" s="37">
        <v>1015478</v>
      </c>
      <c r="H862" s="38">
        <v>46053</v>
      </c>
      <c r="I862" s="38" t="s">
        <v>1796</v>
      </c>
      <c r="J862" s="42">
        <v>28</v>
      </c>
      <c r="K862" s="43">
        <v>1015478</v>
      </c>
    </row>
    <row r="863" spans="1:11" x14ac:dyDescent="0.25">
      <c r="A863" s="38">
        <v>46053</v>
      </c>
      <c r="B863" s="33" t="s">
        <v>1211</v>
      </c>
      <c r="C863" s="36" t="s">
        <v>203</v>
      </c>
      <c r="D863" s="34" t="s">
        <v>433</v>
      </c>
      <c r="E863" s="34"/>
      <c r="F863" s="37">
        <v>470229.6</v>
      </c>
      <c r="G863" s="37">
        <v>470229.6</v>
      </c>
      <c r="H863" s="38">
        <v>46053</v>
      </c>
      <c r="I863" s="38" t="s">
        <v>1796</v>
      </c>
      <c r="J863" s="42">
        <v>28</v>
      </c>
      <c r="K863" s="43">
        <v>470229.6</v>
      </c>
    </row>
    <row r="864" spans="1:11" x14ac:dyDescent="0.25">
      <c r="A864" s="38">
        <v>46053</v>
      </c>
      <c r="B864" s="33" t="s">
        <v>1212</v>
      </c>
      <c r="C864" s="36" t="s">
        <v>203</v>
      </c>
      <c r="D864" s="34" t="s">
        <v>412</v>
      </c>
      <c r="E864" s="34"/>
      <c r="F864" s="37">
        <v>22680</v>
      </c>
      <c r="G864" s="37">
        <v>21740.880000000001</v>
      </c>
      <c r="H864" s="38">
        <v>46053</v>
      </c>
      <c r="I864" s="38" t="s">
        <v>1796</v>
      </c>
      <c r="J864" s="42">
        <v>28</v>
      </c>
      <c r="K864" s="43">
        <v>21740.880000000001</v>
      </c>
    </row>
    <row r="865" spans="1:11" x14ac:dyDescent="0.25">
      <c r="A865" s="38">
        <v>46053</v>
      </c>
      <c r="B865" s="33" t="s">
        <v>1213</v>
      </c>
      <c r="C865" s="36" t="s">
        <v>203</v>
      </c>
      <c r="D865" s="34" t="s">
        <v>433</v>
      </c>
      <c r="E865" s="34"/>
      <c r="F865" s="37">
        <v>470229.6</v>
      </c>
      <c r="G865" s="37">
        <v>470229.6</v>
      </c>
      <c r="H865" s="38">
        <v>46053</v>
      </c>
      <c r="I865" s="38" t="s">
        <v>1796</v>
      </c>
      <c r="J865" s="42">
        <v>28</v>
      </c>
      <c r="K865" s="43">
        <v>470229.6</v>
      </c>
    </row>
    <row r="866" spans="1:11" x14ac:dyDescent="0.25">
      <c r="A866" s="38">
        <v>46053</v>
      </c>
      <c r="B866" s="33" t="s">
        <v>1214</v>
      </c>
      <c r="C866" s="36" t="s">
        <v>207</v>
      </c>
      <c r="D866" s="34" t="s">
        <v>379</v>
      </c>
      <c r="E866" s="34"/>
      <c r="F866" s="37">
        <v>235462.5</v>
      </c>
      <c r="G866" s="37">
        <v>235462.5</v>
      </c>
      <c r="H866" s="38">
        <v>46083</v>
      </c>
      <c r="I866" s="38" t="s">
        <v>1796</v>
      </c>
      <c r="J866" s="42">
        <f t="shared" ref="J866:J867" si="19">$I$1-A866</f>
        <v>28</v>
      </c>
      <c r="K866" s="43">
        <v>235462.5</v>
      </c>
    </row>
    <row r="867" spans="1:11" x14ac:dyDescent="0.25">
      <c r="A867" s="38">
        <v>46053</v>
      </c>
      <c r="B867" s="33" t="s">
        <v>1215</v>
      </c>
      <c r="C867" s="36" t="s">
        <v>207</v>
      </c>
      <c r="D867" s="34" t="s">
        <v>379</v>
      </c>
      <c r="E867" s="34"/>
      <c r="F867" s="37">
        <v>62790</v>
      </c>
      <c r="G867" s="37">
        <v>62790</v>
      </c>
      <c r="H867" s="38">
        <v>46083</v>
      </c>
      <c r="I867" s="38" t="s">
        <v>1796</v>
      </c>
      <c r="J867" s="42">
        <f t="shared" si="19"/>
        <v>28</v>
      </c>
      <c r="K867" s="43">
        <v>62790</v>
      </c>
    </row>
    <row r="868" spans="1:11" x14ac:dyDescent="0.25">
      <c r="A868" s="38">
        <v>46053</v>
      </c>
      <c r="B868" s="33" t="s">
        <v>1216</v>
      </c>
      <c r="C868" s="36" t="s">
        <v>216</v>
      </c>
      <c r="D868" s="34" t="s">
        <v>433</v>
      </c>
      <c r="E868" s="34"/>
      <c r="F868" s="37">
        <v>1537000</v>
      </c>
      <c r="G868" s="37">
        <v>1537000</v>
      </c>
      <c r="H868" s="38">
        <v>46053</v>
      </c>
      <c r="I868" s="38" t="s">
        <v>1796</v>
      </c>
      <c r="J868" s="42">
        <v>28</v>
      </c>
      <c r="K868" s="43">
        <v>1537000</v>
      </c>
    </row>
    <row r="869" spans="1:11" x14ac:dyDescent="0.25">
      <c r="A869" s="38">
        <v>46053</v>
      </c>
      <c r="B869" s="33" t="s">
        <v>1217</v>
      </c>
      <c r="C869" s="36" t="s">
        <v>218</v>
      </c>
      <c r="D869" s="34" t="s">
        <v>565</v>
      </c>
      <c r="E869" s="34"/>
      <c r="F869" s="37">
        <v>646518.69999999995</v>
      </c>
      <c r="G869" s="37">
        <v>646518.69999999995</v>
      </c>
      <c r="H869" s="38">
        <v>46053</v>
      </c>
      <c r="I869" s="38" t="s">
        <v>1796</v>
      </c>
      <c r="J869" s="42">
        <v>28</v>
      </c>
      <c r="K869" s="43">
        <v>646518.69999999995</v>
      </c>
    </row>
    <row r="870" spans="1:11" x14ac:dyDescent="0.25">
      <c r="A870" s="38">
        <v>46053</v>
      </c>
      <c r="B870" s="33" t="s">
        <v>1218</v>
      </c>
      <c r="C870" s="36" t="s">
        <v>221</v>
      </c>
      <c r="D870" s="34" t="s">
        <v>426</v>
      </c>
      <c r="E870" s="34"/>
      <c r="F870" s="37">
        <v>177289.39</v>
      </c>
      <c r="G870" s="37">
        <v>177289.39</v>
      </c>
      <c r="H870" s="38">
        <v>46068</v>
      </c>
      <c r="I870" s="38" t="s">
        <v>1796</v>
      </c>
      <c r="J870" s="42">
        <v>13</v>
      </c>
      <c r="K870" s="43">
        <v>177289.39</v>
      </c>
    </row>
    <row r="871" spans="1:11" x14ac:dyDescent="0.25">
      <c r="A871" s="38">
        <v>46053</v>
      </c>
      <c r="B871" s="33" t="s">
        <v>1219</v>
      </c>
      <c r="C871" s="36" t="s">
        <v>221</v>
      </c>
      <c r="D871" s="34" t="s">
        <v>426</v>
      </c>
      <c r="E871" s="34"/>
      <c r="F871" s="37">
        <v>579781.26</v>
      </c>
      <c r="G871" s="37">
        <v>579781.26</v>
      </c>
      <c r="H871" s="38">
        <v>46068</v>
      </c>
      <c r="I871" s="38" t="s">
        <v>1796</v>
      </c>
      <c r="J871" s="42">
        <v>13</v>
      </c>
      <c r="K871" s="43">
        <v>579781.26</v>
      </c>
    </row>
    <row r="872" spans="1:11" x14ac:dyDescent="0.25">
      <c r="A872" s="38">
        <v>46053</v>
      </c>
      <c r="B872" s="33" t="s">
        <v>1220</v>
      </c>
      <c r="C872" s="36" t="s">
        <v>221</v>
      </c>
      <c r="D872" s="34" t="s">
        <v>433</v>
      </c>
      <c r="E872" s="34"/>
      <c r="F872" s="37">
        <v>30754.51</v>
      </c>
      <c r="G872" s="37">
        <v>30754.51</v>
      </c>
      <c r="H872" s="38">
        <v>46083</v>
      </c>
      <c r="I872" s="38" t="s">
        <v>1796</v>
      </c>
      <c r="J872" s="42">
        <f t="shared" ref="J872:J873" si="20">$I$1-A872</f>
        <v>28</v>
      </c>
      <c r="K872" s="43">
        <v>30754.51</v>
      </c>
    </row>
    <row r="873" spans="1:11" x14ac:dyDescent="0.25">
      <c r="A873" s="38">
        <v>46053</v>
      </c>
      <c r="B873" s="33" t="s">
        <v>1221</v>
      </c>
      <c r="C873" s="36" t="s">
        <v>221</v>
      </c>
      <c r="D873" s="34" t="s">
        <v>373</v>
      </c>
      <c r="E873" s="34"/>
      <c r="F873" s="37">
        <v>47390.35</v>
      </c>
      <c r="G873" s="37">
        <v>47390.35</v>
      </c>
      <c r="H873" s="38">
        <v>46083</v>
      </c>
      <c r="I873" s="38" t="s">
        <v>1796</v>
      </c>
      <c r="J873" s="42">
        <f t="shared" si="20"/>
        <v>28</v>
      </c>
      <c r="K873" s="43">
        <v>47390.35</v>
      </c>
    </row>
    <row r="874" spans="1:11" x14ac:dyDescent="0.25">
      <c r="A874" s="38">
        <v>46053</v>
      </c>
      <c r="B874" s="33" t="s">
        <v>1222</v>
      </c>
      <c r="C874" s="36" t="s">
        <v>224</v>
      </c>
      <c r="D874" s="34" t="s">
        <v>402</v>
      </c>
      <c r="E874" s="34"/>
      <c r="F874" s="37">
        <v>150800</v>
      </c>
      <c r="G874" s="37">
        <v>150800</v>
      </c>
      <c r="H874" s="38">
        <v>46053</v>
      </c>
      <c r="I874" s="38" t="s">
        <v>1796</v>
      </c>
      <c r="J874" s="42">
        <v>28</v>
      </c>
      <c r="K874" s="43">
        <v>150800</v>
      </c>
    </row>
    <row r="875" spans="1:11" x14ac:dyDescent="0.25">
      <c r="A875" s="38">
        <v>46053</v>
      </c>
      <c r="B875" s="33" t="s">
        <v>1223</v>
      </c>
      <c r="C875" s="36" t="s">
        <v>227</v>
      </c>
      <c r="D875" s="34" t="s">
        <v>341</v>
      </c>
      <c r="E875" s="34"/>
      <c r="F875" s="37">
        <v>348501.12</v>
      </c>
      <c r="G875" s="37">
        <v>348501.12</v>
      </c>
      <c r="H875" s="38">
        <v>46053</v>
      </c>
      <c r="I875" s="38" t="s">
        <v>1796</v>
      </c>
      <c r="J875" s="42">
        <v>28</v>
      </c>
      <c r="K875" s="43">
        <v>348501.12</v>
      </c>
    </row>
    <row r="876" spans="1:11" x14ac:dyDescent="0.25">
      <c r="A876" s="38">
        <v>46053</v>
      </c>
      <c r="B876" s="33" t="s">
        <v>1224</v>
      </c>
      <c r="C876" s="36" t="s">
        <v>229</v>
      </c>
      <c r="D876" s="34" t="s">
        <v>373</v>
      </c>
      <c r="E876" s="34"/>
      <c r="F876" s="37">
        <v>27000</v>
      </c>
      <c r="G876" s="37">
        <v>26460</v>
      </c>
      <c r="H876" s="38">
        <v>46053</v>
      </c>
      <c r="I876" s="38" t="s">
        <v>1796</v>
      </c>
      <c r="J876" s="42">
        <v>28</v>
      </c>
      <c r="K876" s="43">
        <v>26460</v>
      </c>
    </row>
    <row r="877" spans="1:11" x14ac:dyDescent="0.25">
      <c r="A877" s="38">
        <v>46053</v>
      </c>
      <c r="B877" s="33" t="s">
        <v>1225</v>
      </c>
      <c r="C877" s="36" t="s">
        <v>229</v>
      </c>
      <c r="D877" s="34" t="s">
        <v>373</v>
      </c>
      <c r="E877" s="34"/>
      <c r="F877" s="37">
        <v>26460</v>
      </c>
      <c r="G877" s="37">
        <v>97020</v>
      </c>
      <c r="H877" s="38">
        <v>46053</v>
      </c>
      <c r="I877" s="38" t="s">
        <v>1796</v>
      </c>
      <c r="J877" s="42">
        <v>28</v>
      </c>
      <c r="K877" s="43">
        <v>97020</v>
      </c>
    </row>
    <row r="878" spans="1:11" x14ac:dyDescent="0.25">
      <c r="A878" s="38">
        <v>46053</v>
      </c>
      <c r="B878" s="33" t="s">
        <v>1226</v>
      </c>
      <c r="C878" s="36" t="s">
        <v>229</v>
      </c>
      <c r="D878" s="34" t="s">
        <v>373</v>
      </c>
      <c r="E878" s="34"/>
      <c r="F878" s="37">
        <v>168560</v>
      </c>
      <c r="G878" s="37">
        <v>168560</v>
      </c>
      <c r="H878" s="38">
        <v>46053</v>
      </c>
      <c r="I878" s="38" t="s">
        <v>1796</v>
      </c>
      <c r="J878" s="42">
        <v>28</v>
      </c>
      <c r="K878" s="43">
        <v>168560</v>
      </c>
    </row>
    <row r="879" spans="1:11" x14ac:dyDescent="0.25">
      <c r="A879" s="38">
        <v>46053</v>
      </c>
      <c r="B879" s="33" t="s">
        <v>1227</v>
      </c>
      <c r="C879" s="36" t="s">
        <v>229</v>
      </c>
      <c r="D879" s="34" t="s">
        <v>373</v>
      </c>
      <c r="E879" s="34"/>
      <c r="F879" s="37">
        <v>108780</v>
      </c>
      <c r="G879" s="37">
        <v>108780</v>
      </c>
      <c r="H879" s="38">
        <v>46053</v>
      </c>
      <c r="I879" s="38" t="s">
        <v>1796</v>
      </c>
      <c r="J879" s="42">
        <v>28</v>
      </c>
      <c r="K879" s="43">
        <v>108780</v>
      </c>
    </row>
    <row r="880" spans="1:11" x14ac:dyDescent="0.25">
      <c r="A880" s="38">
        <v>46053</v>
      </c>
      <c r="B880" s="33" t="s">
        <v>1228</v>
      </c>
      <c r="C880" s="36" t="s">
        <v>229</v>
      </c>
      <c r="D880" s="34" t="s">
        <v>373</v>
      </c>
      <c r="E880" s="34"/>
      <c r="F880" s="37">
        <v>326340</v>
      </c>
      <c r="G880" s="37">
        <v>326340</v>
      </c>
      <c r="H880" s="38">
        <v>46053</v>
      </c>
      <c r="I880" s="38" t="s">
        <v>1796</v>
      </c>
      <c r="J880" s="42">
        <v>28</v>
      </c>
      <c r="K880" s="43">
        <v>326340</v>
      </c>
    </row>
    <row r="881" spans="1:11" x14ac:dyDescent="0.25">
      <c r="A881" s="38">
        <v>46053</v>
      </c>
      <c r="B881" s="33" t="s">
        <v>1229</v>
      </c>
      <c r="C881" s="36" t="s">
        <v>229</v>
      </c>
      <c r="D881" s="34" t="s">
        <v>373</v>
      </c>
      <c r="E881" s="34"/>
      <c r="F881" s="37">
        <v>114660</v>
      </c>
      <c r="G881" s="37">
        <v>114660</v>
      </c>
      <c r="H881" s="38">
        <v>46053</v>
      </c>
      <c r="I881" s="38" t="s">
        <v>1796</v>
      </c>
      <c r="J881" s="42">
        <v>28</v>
      </c>
      <c r="K881" s="43">
        <v>114660</v>
      </c>
    </row>
    <row r="882" spans="1:11" x14ac:dyDescent="0.25">
      <c r="A882" s="38">
        <v>46053</v>
      </c>
      <c r="B882" s="33" t="s">
        <v>1230</v>
      </c>
      <c r="C882" s="36" t="s">
        <v>229</v>
      </c>
      <c r="D882" s="34" t="s">
        <v>561</v>
      </c>
      <c r="E882" s="34"/>
      <c r="F882" s="37">
        <v>1208750</v>
      </c>
      <c r="G882" s="37">
        <v>1184575</v>
      </c>
      <c r="H882" s="38">
        <v>46053</v>
      </c>
      <c r="I882" s="38" t="s">
        <v>1796</v>
      </c>
      <c r="J882" s="42">
        <v>28</v>
      </c>
      <c r="K882" s="43">
        <v>1184575</v>
      </c>
    </row>
    <row r="883" spans="1:11" x14ac:dyDescent="0.25">
      <c r="A883" s="38">
        <v>46053</v>
      </c>
      <c r="B883" s="33" t="s">
        <v>1231</v>
      </c>
      <c r="C883" s="36" t="s">
        <v>229</v>
      </c>
      <c r="D883" s="34" t="s">
        <v>561</v>
      </c>
      <c r="E883" s="34"/>
      <c r="F883" s="37">
        <v>112000</v>
      </c>
      <c r="G883" s="37">
        <v>109760</v>
      </c>
      <c r="H883" s="38">
        <v>46053</v>
      </c>
      <c r="I883" s="38" t="s">
        <v>1796</v>
      </c>
      <c r="J883" s="42">
        <v>28</v>
      </c>
      <c r="K883" s="43">
        <v>109760</v>
      </c>
    </row>
    <row r="884" spans="1:11" x14ac:dyDescent="0.25">
      <c r="A884" s="38">
        <v>46053</v>
      </c>
      <c r="B884" s="33" t="s">
        <v>1232</v>
      </c>
      <c r="C884" s="36" t="s">
        <v>229</v>
      </c>
      <c r="D884" s="34" t="s">
        <v>561</v>
      </c>
      <c r="E884" s="34"/>
      <c r="F884" s="37">
        <v>95000</v>
      </c>
      <c r="G884" s="37">
        <v>93100</v>
      </c>
      <c r="H884" s="38">
        <v>46053</v>
      </c>
      <c r="I884" s="38" t="s">
        <v>1796</v>
      </c>
      <c r="J884" s="42">
        <v>28</v>
      </c>
      <c r="K884" s="43">
        <v>93100</v>
      </c>
    </row>
    <row r="885" spans="1:11" x14ac:dyDescent="0.25">
      <c r="A885" s="38">
        <v>46053</v>
      </c>
      <c r="B885" s="33" t="s">
        <v>1233</v>
      </c>
      <c r="C885" s="36" t="s">
        <v>229</v>
      </c>
      <c r="D885" s="34" t="s">
        <v>561</v>
      </c>
      <c r="E885" s="34"/>
      <c r="F885" s="37">
        <v>238000</v>
      </c>
      <c r="G885" s="37">
        <v>233240</v>
      </c>
      <c r="H885" s="38">
        <v>46053</v>
      </c>
      <c r="I885" s="38" t="s">
        <v>1796</v>
      </c>
      <c r="J885" s="42">
        <v>28</v>
      </c>
      <c r="K885" s="43">
        <v>233240</v>
      </c>
    </row>
    <row r="886" spans="1:11" x14ac:dyDescent="0.25">
      <c r="A886" s="38">
        <v>46053</v>
      </c>
      <c r="B886" s="33" t="s">
        <v>1234</v>
      </c>
      <c r="C886" s="36" t="s">
        <v>229</v>
      </c>
      <c r="D886" s="34" t="s">
        <v>616</v>
      </c>
      <c r="E886" s="34"/>
      <c r="F886" s="37">
        <v>10290</v>
      </c>
      <c r="G886" s="37">
        <v>10290</v>
      </c>
      <c r="H886" s="38">
        <v>46053</v>
      </c>
      <c r="I886" s="38" t="s">
        <v>1796</v>
      </c>
      <c r="J886" s="42">
        <v>28</v>
      </c>
      <c r="K886" s="43">
        <v>10290</v>
      </c>
    </row>
    <row r="887" spans="1:11" x14ac:dyDescent="0.25">
      <c r="A887" s="38">
        <v>46053</v>
      </c>
      <c r="B887" s="33" t="s">
        <v>1235</v>
      </c>
      <c r="C887" s="36" t="s">
        <v>244</v>
      </c>
      <c r="D887" s="34" t="s">
        <v>435</v>
      </c>
      <c r="E887" s="34"/>
      <c r="F887" s="37">
        <v>11760</v>
      </c>
      <c r="G887" s="37">
        <v>11760</v>
      </c>
      <c r="H887" s="38">
        <v>46083</v>
      </c>
      <c r="I887" s="38" t="s">
        <v>1796</v>
      </c>
      <c r="J887" s="42">
        <f t="shared" ref="J887:J888" si="21">$I$1-A887</f>
        <v>28</v>
      </c>
      <c r="K887" s="43">
        <v>11760</v>
      </c>
    </row>
    <row r="888" spans="1:11" x14ac:dyDescent="0.25">
      <c r="A888" s="38">
        <v>46053</v>
      </c>
      <c r="B888" s="33" t="s">
        <v>1236</v>
      </c>
      <c r="C888" s="36" t="s">
        <v>244</v>
      </c>
      <c r="D888" s="34" t="s">
        <v>412</v>
      </c>
      <c r="E888" s="34"/>
      <c r="F888" s="37">
        <v>970690</v>
      </c>
      <c r="G888" s="37">
        <v>970690</v>
      </c>
      <c r="H888" s="38">
        <v>46083</v>
      </c>
      <c r="I888" s="38" t="s">
        <v>1796</v>
      </c>
      <c r="J888" s="42">
        <f t="shared" si="21"/>
        <v>28</v>
      </c>
      <c r="K888" s="43">
        <v>970690</v>
      </c>
    </row>
    <row r="889" spans="1:11" x14ac:dyDescent="0.25">
      <c r="A889" s="38">
        <v>46053</v>
      </c>
      <c r="B889" s="33" t="s">
        <v>1237</v>
      </c>
      <c r="C889" s="36" t="s">
        <v>246</v>
      </c>
      <c r="D889" s="34" t="s">
        <v>449</v>
      </c>
      <c r="E889" s="34"/>
      <c r="F889" s="37">
        <v>20045.900000000001</v>
      </c>
      <c r="G889" s="37">
        <v>49481.9</v>
      </c>
      <c r="H889" s="38">
        <v>46053</v>
      </c>
      <c r="I889" s="38" t="s">
        <v>1796</v>
      </c>
      <c r="J889" s="42">
        <v>28</v>
      </c>
      <c r="K889" s="43">
        <v>49481.9</v>
      </c>
    </row>
    <row r="890" spans="1:11" x14ac:dyDescent="0.25">
      <c r="A890" s="38">
        <v>46053</v>
      </c>
      <c r="B890" s="33" t="s">
        <v>1238</v>
      </c>
      <c r="C890" s="36" t="s">
        <v>249</v>
      </c>
      <c r="D890" s="34" t="s">
        <v>341</v>
      </c>
      <c r="E890" s="34"/>
      <c r="F890" s="37">
        <v>185685.84</v>
      </c>
      <c r="G890" s="37">
        <v>185685.84</v>
      </c>
      <c r="H890" s="38">
        <v>46053</v>
      </c>
      <c r="I890" s="38" t="s">
        <v>1796</v>
      </c>
      <c r="J890" s="42">
        <v>28</v>
      </c>
      <c r="K890" s="43">
        <v>185685.84</v>
      </c>
    </row>
    <row r="891" spans="1:11" x14ac:dyDescent="0.25">
      <c r="A891" s="38">
        <v>46053</v>
      </c>
      <c r="B891" s="33" t="s">
        <v>1239</v>
      </c>
      <c r="C891" s="36" t="s">
        <v>253</v>
      </c>
      <c r="D891" s="34" t="s">
        <v>433</v>
      </c>
      <c r="E891" s="34"/>
      <c r="F891" s="37">
        <v>214373.4</v>
      </c>
      <c r="G891" s="37">
        <v>214373.4</v>
      </c>
      <c r="H891" s="38">
        <v>46053</v>
      </c>
      <c r="I891" s="38" t="s">
        <v>1796</v>
      </c>
      <c r="J891" s="42">
        <v>28</v>
      </c>
      <c r="K891" s="43">
        <v>214373.4</v>
      </c>
    </row>
    <row r="892" spans="1:11" x14ac:dyDescent="0.25">
      <c r="A892" s="38">
        <v>46053</v>
      </c>
      <c r="B892" s="33" t="s">
        <v>1240</v>
      </c>
      <c r="C892" s="36" t="s">
        <v>255</v>
      </c>
      <c r="D892" s="34" t="s">
        <v>402</v>
      </c>
      <c r="E892" s="34"/>
      <c r="F892" s="37">
        <v>412960</v>
      </c>
      <c r="G892" s="37">
        <v>412960</v>
      </c>
      <c r="H892" s="38">
        <v>46053</v>
      </c>
      <c r="I892" s="38" t="s">
        <v>1796</v>
      </c>
      <c r="J892" s="42">
        <v>28</v>
      </c>
      <c r="K892" s="43">
        <v>412960</v>
      </c>
    </row>
    <row r="893" spans="1:11" x14ac:dyDescent="0.25">
      <c r="A893" s="38">
        <v>46053</v>
      </c>
      <c r="B893" s="33" t="s">
        <v>1241</v>
      </c>
      <c r="C893" s="36" t="s">
        <v>265</v>
      </c>
      <c r="D893" s="34" t="s">
        <v>426</v>
      </c>
      <c r="E893" s="34"/>
      <c r="F893" s="37">
        <v>114935.62</v>
      </c>
      <c r="G893" s="37">
        <v>114935.62</v>
      </c>
      <c r="H893" s="38">
        <v>46068</v>
      </c>
      <c r="I893" s="38" t="s">
        <v>1796</v>
      </c>
      <c r="J893" s="42">
        <v>13</v>
      </c>
      <c r="K893" s="43">
        <v>114935.62</v>
      </c>
    </row>
    <row r="894" spans="1:11" x14ac:dyDescent="0.25">
      <c r="A894" s="38">
        <v>46053</v>
      </c>
      <c r="B894" s="33" t="s">
        <v>1242</v>
      </c>
      <c r="C894" s="36" t="s">
        <v>268</v>
      </c>
      <c r="D894" s="34" t="s">
        <v>565</v>
      </c>
      <c r="E894" s="34"/>
      <c r="F894" s="37">
        <v>447349</v>
      </c>
      <c r="G894" s="37">
        <v>447349</v>
      </c>
      <c r="H894" s="38">
        <v>46053</v>
      </c>
      <c r="I894" s="38" t="s">
        <v>1796</v>
      </c>
      <c r="J894" s="42">
        <v>28</v>
      </c>
      <c r="K894" s="43">
        <v>447349</v>
      </c>
    </row>
    <row r="895" spans="1:11" x14ac:dyDescent="0.25">
      <c r="A895" s="38">
        <v>46053</v>
      </c>
      <c r="B895" s="33" t="s">
        <v>1243</v>
      </c>
      <c r="C895" s="36" t="s">
        <v>268</v>
      </c>
      <c r="D895" s="34" t="s">
        <v>565</v>
      </c>
      <c r="E895" s="34"/>
      <c r="F895" s="37">
        <v>705767</v>
      </c>
      <c r="G895" s="37">
        <v>705767</v>
      </c>
      <c r="H895" s="38">
        <v>46053</v>
      </c>
      <c r="I895" s="38" t="s">
        <v>1796</v>
      </c>
      <c r="J895" s="42">
        <v>28</v>
      </c>
      <c r="K895" s="43">
        <v>705767</v>
      </c>
    </row>
    <row r="896" spans="1:11" x14ac:dyDescent="0.25">
      <c r="A896" s="38">
        <v>46053</v>
      </c>
      <c r="B896" s="33" t="s">
        <v>1244</v>
      </c>
      <c r="C896" s="36" t="s">
        <v>270</v>
      </c>
      <c r="D896" s="34" t="s">
        <v>8</v>
      </c>
      <c r="E896" s="34"/>
      <c r="F896" s="39">
        <v>15000</v>
      </c>
      <c r="G896" s="39">
        <v>15000</v>
      </c>
      <c r="H896" s="38">
        <v>46053</v>
      </c>
      <c r="I896" s="38" t="s">
        <v>1796</v>
      </c>
      <c r="J896" s="42">
        <v>28</v>
      </c>
      <c r="K896" s="43">
        <v>-15000</v>
      </c>
    </row>
    <row r="897" spans="1:11" x14ac:dyDescent="0.25">
      <c r="A897" s="38">
        <v>46053</v>
      </c>
      <c r="B897" s="33" t="s">
        <v>1245</v>
      </c>
      <c r="C897" s="36" t="s">
        <v>273</v>
      </c>
      <c r="D897" s="34" t="s">
        <v>600</v>
      </c>
      <c r="E897" s="34"/>
      <c r="F897" s="37">
        <v>96685</v>
      </c>
      <c r="G897" s="37">
        <v>100815</v>
      </c>
      <c r="H897" s="38">
        <v>46083</v>
      </c>
      <c r="I897" s="38" t="s">
        <v>1796</v>
      </c>
      <c r="J897" s="42">
        <f>$I$1-A897</f>
        <v>28</v>
      </c>
      <c r="K897" s="43">
        <v>100815</v>
      </c>
    </row>
    <row r="898" spans="1:11" x14ac:dyDescent="0.25">
      <c r="A898" s="38">
        <v>46053</v>
      </c>
      <c r="B898" s="33" t="s">
        <v>1246</v>
      </c>
      <c r="C898" s="36" t="s">
        <v>282</v>
      </c>
      <c r="D898" s="34" t="s">
        <v>373</v>
      </c>
      <c r="E898" s="34"/>
      <c r="F898" s="37">
        <v>355353.24</v>
      </c>
      <c r="G898" s="37">
        <v>55141.02</v>
      </c>
      <c r="H898" s="38">
        <v>46053</v>
      </c>
      <c r="I898" s="38" t="s">
        <v>1796</v>
      </c>
      <c r="J898" s="42">
        <v>28</v>
      </c>
      <c r="K898" s="43">
        <v>55141.02</v>
      </c>
    </row>
    <row r="899" spans="1:11" x14ac:dyDescent="0.25">
      <c r="A899" s="38">
        <v>46053</v>
      </c>
      <c r="B899" s="33" t="s">
        <v>1247</v>
      </c>
      <c r="C899" s="36" t="s">
        <v>288</v>
      </c>
      <c r="D899" s="34" t="s">
        <v>393</v>
      </c>
      <c r="E899" s="34"/>
      <c r="F899" s="37">
        <v>20298.82</v>
      </c>
      <c r="G899" s="37">
        <v>20298.82</v>
      </c>
      <c r="H899" s="38">
        <v>46053</v>
      </c>
      <c r="I899" s="38" t="s">
        <v>1796</v>
      </c>
      <c r="J899" s="42">
        <v>28</v>
      </c>
      <c r="K899" s="43">
        <v>20298.82</v>
      </c>
    </row>
    <row r="900" spans="1:11" x14ac:dyDescent="0.25">
      <c r="A900" s="38">
        <v>46053</v>
      </c>
      <c r="B900" s="33" t="s">
        <v>1248</v>
      </c>
      <c r="C900" s="36" t="s">
        <v>289</v>
      </c>
      <c r="D900" s="34" t="s">
        <v>412</v>
      </c>
      <c r="E900" s="34"/>
      <c r="F900" s="37">
        <v>1190504</v>
      </c>
      <c r="G900" s="37">
        <v>1190504</v>
      </c>
      <c r="H900" s="38">
        <v>46083</v>
      </c>
      <c r="I900" s="38" t="s">
        <v>1796</v>
      </c>
      <c r="J900" s="42">
        <f>$I$1-A900</f>
        <v>28</v>
      </c>
      <c r="K900" s="43">
        <v>1190504</v>
      </c>
    </row>
    <row r="901" spans="1:11" x14ac:dyDescent="0.25">
      <c r="A901" s="38">
        <v>46053</v>
      </c>
      <c r="B901" s="33" t="s">
        <v>508</v>
      </c>
      <c r="C901" s="36" t="s">
        <v>301</v>
      </c>
      <c r="D901" s="34" t="s">
        <v>402</v>
      </c>
      <c r="E901" s="34"/>
      <c r="F901" s="37">
        <v>233624</v>
      </c>
      <c r="G901" s="37">
        <v>84248.14</v>
      </c>
      <c r="H901" s="38">
        <v>46053</v>
      </c>
      <c r="I901" s="38" t="s">
        <v>1796</v>
      </c>
      <c r="J901" s="42">
        <v>28</v>
      </c>
      <c r="K901" s="43">
        <v>84248.14</v>
      </c>
    </row>
    <row r="902" spans="1:11" x14ac:dyDescent="0.25">
      <c r="A902" s="38">
        <v>46053</v>
      </c>
      <c r="B902" s="33" t="s">
        <v>1249</v>
      </c>
      <c r="C902" s="36" t="s">
        <v>305</v>
      </c>
      <c r="D902" s="34" t="s">
        <v>393</v>
      </c>
      <c r="E902" s="34"/>
      <c r="F902" s="37">
        <v>986000</v>
      </c>
      <c r="G902" s="37">
        <v>986000</v>
      </c>
      <c r="H902" s="38">
        <v>46053</v>
      </c>
      <c r="I902" s="38" t="s">
        <v>1796</v>
      </c>
      <c r="J902" s="42">
        <v>28</v>
      </c>
      <c r="K902" s="43">
        <v>986000</v>
      </c>
    </row>
    <row r="903" spans="1:11" x14ac:dyDescent="0.25">
      <c r="A903" s="38">
        <v>46053</v>
      </c>
      <c r="B903" s="33" t="s">
        <v>1250</v>
      </c>
      <c r="C903" s="36" t="s">
        <v>308</v>
      </c>
      <c r="D903" s="34" t="s">
        <v>553</v>
      </c>
      <c r="E903" s="34"/>
      <c r="F903" s="37">
        <v>710714</v>
      </c>
      <c r="G903" s="37">
        <v>710714</v>
      </c>
      <c r="H903" s="38">
        <v>46143</v>
      </c>
      <c r="I903" s="38" t="s">
        <v>1796</v>
      </c>
      <c r="J903" s="42">
        <f>$I$1-A903</f>
        <v>28</v>
      </c>
      <c r="K903" s="43">
        <v>710714</v>
      </c>
    </row>
    <row r="904" spans="1:11" x14ac:dyDescent="0.25">
      <c r="A904" s="38">
        <v>46053</v>
      </c>
      <c r="B904" s="33" t="s">
        <v>1251</v>
      </c>
      <c r="C904" s="36" t="s">
        <v>311</v>
      </c>
      <c r="D904" s="34" t="s">
        <v>8</v>
      </c>
      <c r="E904" s="34"/>
      <c r="F904" s="39">
        <v>32782.699999999997</v>
      </c>
      <c r="G904" s="39">
        <v>32782.699999999997</v>
      </c>
      <c r="H904" s="38">
        <v>46053</v>
      </c>
      <c r="I904" s="38" t="s">
        <v>1796</v>
      </c>
      <c r="J904" s="42">
        <v>28</v>
      </c>
      <c r="K904" s="43">
        <v>-32782.699999999997</v>
      </c>
    </row>
    <row r="905" spans="1:11" x14ac:dyDescent="0.25">
      <c r="A905" s="38">
        <v>46054</v>
      </c>
      <c r="B905" s="33" t="s">
        <v>1252</v>
      </c>
      <c r="C905" s="36" t="s">
        <v>32</v>
      </c>
      <c r="D905" s="34" t="s">
        <v>426</v>
      </c>
      <c r="E905" s="34"/>
      <c r="F905" s="37">
        <v>256527</v>
      </c>
      <c r="G905" s="37">
        <v>256527</v>
      </c>
      <c r="H905" s="38">
        <v>46061</v>
      </c>
      <c r="I905" s="38" t="s">
        <v>1796</v>
      </c>
      <c r="J905" s="42">
        <v>20</v>
      </c>
      <c r="K905" s="43">
        <v>256527</v>
      </c>
    </row>
    <row r="906" spans="1:11" x14ac:dyDescent="0.25">
      <c r="A906" s="38">
        <v>46054</v>
      </c>
      <c r="B906" s="33" t="s">
        <v>1253</v>
      </c>
      <c r="C906" s="36" t="s">
        <v>32</v>
      </c>
      <c r="D906" s="34" t="s">
        <v>426</v>
      </c>
      <c r="E906" s="34"/>
      <c r="F906" s="37">
        <v>297214.08000000002</v>
      </c>
      <c r="G906" s="37">
        <v>297214.08000000002</v>
      </c>
      <c r="H906" s="38">
        <v>46061</v>
      </c>
      <c r="I906" s="38" t="s">
        <v>1796</v>
      </c>
      <c r="J906" s="42">
        <v>20</v>
      </c>
      <c r="K906" s="43">
        <v>297214.08000000002</v>
      </c>
    </row>
    <row r="907" spans="1:11" x14ac:dyDescent="0.25">
      <c r="A907" s="38">
        <v>46054</v>
      </c>
      <c r="B907" s="33" t="s">
        <v>1254</v>
      </c>
      <c r="C907" s="36" t="s">
        <v>32</v>
      </c>
      <c r="D907" s="34" t="s">
        <v>426</v>
      </c>
      <c r="E907" s="34"/>
      <c r="F907" s="37">
        <v>1068128.28</v>
      </c>
      <c r="G907" s="37">
        <v>1068128.28</v>
      </c>
      <c r="H907" s="38">
        <v>46061</v>
      </c>
      <c r="I907" s="38" t="s">
        <v>1796</v>
      </c>
      <c r="J907" s="42">
        <v>20</v>
      </c>
      <c r="K907" s="43">
        <v>1068128.28</v>
      </c>
    </row>
    <row r="908" spans="1:11" x14ac:dyDescent="0.25">
      <c r="A908" s="38">
        <v>46054</v>
      </c>
      <c r="B908" s="33" t="s">
        <v>1255</v>
      </c>
      <c r="C908" s="36" t="s">
        <v>43</v>
      </c>
      <c r="D908" s="34" t="s">
        <v>642</v>
      </c>
      <c r="E908" s="34"/>
      <c r="F908" s="37">
        <v>69300</v>
      </c>
      <c r="G908" s="37">
        <v>69300</v>
      </c>
      <c r="H908" s="38">
        <v>46084</v>
      </c>
      <c r="I908" s="38" t="s">
        <v>1796</v>
      </c>
      <c r="J908" s="42">
        <f>$I$1-A908</f>
        <v>27</v>
      </c>
      <c r="K908" s="43">
        <v>69300</v>
      </c>
    </row>
    <row r="909" spans="1:11" x14ac:dyDescent="0.25">
      <c r="A909" s="38">
        <v>46054</v>
      </c>
      <c r="B909" s="33" t="s">
        <v>1256</v>
      </c>
      <c r="C909" s="36" t="s">
        <v>44</v>
      </c>
      <c r="D909" s="34" t="s">
        <v>341</v>
      </c>
      <c r="E909" s="34"/>
      <c r="F909" s="37">
        <v>16500</v>
      </c>
      <c r="G909" s="37">
        <v>16500</v>
      </c>
      <c r="H909" s="38">
        <v>46054</v>
      </c>
      <c r="I909" s="38" t="s">
        <v>1796</v>
      </c>
      <c r="J909" s="42">
        <v>27</v>
      </c>
      <c r="K909" s="43">
        <v>16500</v>
      </c>
    </row>
    <row r="910" spans="1:11" x14ac:dyDescent="0.25">
      <c r="A910" s="38">
        <v>46054</v>
      </c>
      <c r="B910" s="33" t="s">
        <v>1257</v>
      </c>
      <c r="C910" s="36" t="s">
        <v>44</v>
      </c>
      <c r="D910" s="34" t="s">
        <v>341</v>
      </c>
      <c r="E910" s="34"/>
      <c r="F910" s="37">
        <v>3465</v>
      </c>
      <c r="G910" s="37">
        <v>3465</v>
      </c>
      <c r="H910" s="38">
        <v>46054</v>
      </c>
      <c r="I910" s="38" t="s">
        <v>1796</v>
      </c>
      <c r="J910" s="42">
        <v>27</v>
      </c>
      <c r="K910" s="43">
        <v>3465</v>
      </c>
    </row>
    <row r="911" spans="1:11" x14ac:dyDescent="0.25">
      <c r="A911" s="38">
        <v>46054</v>
      </c>
      <c r="B911" s="33" t="s">
        <v>1258</v>
      </c>
      <c r="C911" s="36" t="s">
        <v>96</v>
      </c>
      <c r="D911" s="34" t="s">
        <v>412</v>
      </c>
      <c r="E911" s="34"/>
      <c r="F911" s="37">
        <v>54262</v>
      </c>
      <c r="G911" s="37">
        <v>54262</v>
      </c>
      <c r="H911" s="38">
        <v>46054</v>
      </c>
      <c r="I911" s="38" t="s">
        <v>1796</v>
      </c>
      <c r="J911" s="42">
        <v>27</v>
      </c>
      <c r="K911" s="43">
        <v>54262</v>
      </c>
    </row>
    <row r="912" spans="1:11" x14ac:dyDescent="0.25">
      <c r="A912" s="38">
        <v>46054</v>
      </c>
      <c r="B912" s="33" t="s">
        <v>1259</v>
      </c>
      <c r="C912" s="36" t="s">
        <v>96</v>
      </c>
      <c r="D912" s="34" t="s">
        <v>412</v>
      </c>
      <c r="E912" s="34"/>
      <c r="F912" s="37">
        <v>54261.760000000002</v>
      </c>
      <c r="G912" s="37">
        <v>54261.760000000002</v>
      </c>
      <c r="H912" s="38">
        <v>46054</v>
      </c>
      <c r="I912" s="38" t="s">
        <v>1796</v>
      </c>
      <c r="J912" s="42">
        <v>27</v>
      </c>
      <c r="K912" s="43">
        <v>54261.760000000002</v>
      </c>
    </row>
    <row r="913" spans="1:11" x14ac:dyDescent="0.25">
      <c r="A913" s="38">
        <v>46054</v>
      </c>
      <c r="B913" s="33" t="s">
        <v>1260</v>
      </c>
      <c r="C913" s="36" t="s">
        <v>96</v>
      </c>
      <c r="D913" s="34" t="s">
        <v>433</v>
      </c>
      <c r="E913" s="34"/>
      <c r="F913" s="37">
        <v>81393.64</v>
      </c>
      <c r="G913" s="37">
        <v>81393.64</v>
      </c>
      <c r="H913" s="38">
        <v>46054</v>
      </c>
      <c r="I913" s="38" t="s">
        <v>1796</v>
      </c>
      <c r="J913" s="42">
        <v>27</v>
      </c>
      <c r="K913" s="43">
        <v>81393.64</v>
      </c>
    </row>
    <row r="914" spans="1:11" x14ac:dyDescent="0.25">
      <c r="A914" s="38">
        <v>46054</v>
      </c>
      <c r="B914" s="33" t="s">
        <v>1261</v>
      </c>
      <c r="C914" s="36" t="s">
        <v>140</v>
      </c>
      <c r="D914" s="34" t="s">
        <v>8</v>
      </c>
      <c r="E914" s="34"/>
      <c r="F914" s="37">
        <v>61855.3</v>
      </c>
      <c r="G914" s="37">
        <v>61855.3</v>
      </c>
      <c r="H914" s="38">
        <v>46054</v>
      </c>
      <c r="I914" s="38" t="s">
        <v>1796</v>
      </c>
      <c r="J914" s="42">
        <v>27</v>
      </c>
      <c r="K914" s="43">
        <v>61855.3</v>
      </c>
    </row>
    <row r="915" spans="1:11" x14ac:dyDescent="0.25">
      <c r="A915" s="38">
        <v>46054</v>
      </c>
      <c r="B915" s="33" t="s">
        <v>1262</v>
      </c>
      <c r="C915" s="36" t="s">
        <v>140</v>
      </c>
      <c r="D915" s="34" t="s">
        <v>8</v>
      </c>
      <c r="E915" s="34"/>
      <c r="F915" s="39">
        <v>6873</v>
      </c>
      <c r="G915" s="39">
        <v>6873</v>
      </c>
      <c r="H915" s="38">
        <v>46054</v>
      </c>
      <c r="I915" s="38" t="s">
        <v>1796</v>
      </c>
      <c r="J915" s="42">
        <v>27</v>
      </c>
      <c r="K915" s="43">
        <v>-6873</v>
      </c>
    </row>
    <row r="916" spans="1:11" x14ac:dyDescent="0.25">
      <c r="A916" s="38">
        <v>46054</v>
      </c>
      <c r="B916" s="33" t="s">
        <v>1263</v>
      </c>
      <c r="C916" s="36" t="s">
        <v>140</v>
      </c>
      <c r="D916" s="34" t="s">
        <v>402</v>
      </c>
      <c r="E916" s="34"/>
      <c r="F916" s="37">
        <v>343640.5</v>
      </c>
      <c r="G916" s="37">
        <v>343640.5</v>
      </c>
      <c r="H916" s="38">
        <v>46054</v>
      </c>
      <c r="I916" s="38" t="s">
        <v>1796</v>
      </c>
      <c r="J916" s="42">
        <v>27</v>
      </c>
      <c r="K916" s="43">
        <v>343640.5</v>
      </c>
    </row>
    <row r="917" spans="1:11" x14ac:dyDescent="0.25">
      <c r="A917" s="38">
        <v>46054</v>
      </c>
      <c r="B917" s="33" t="s">
        <v>1264</v>
      </c>
      <c r="C917" s="36" t="s">
        <v>158</v>
      </c>
      <c r="D917" s="34" t="s">
        <v>616</v>
      </c>
      <c r="E917" s="34"/>
      <c r="F917" s="37">
        <v>11600</v>
      </c>
      <c r="G917" s="37">
        <v>11600</v>
      </c>
      <c r="H917" s="38">
        <v>46084</v>
      </c>
      <c r="I917" s="38" t="s">
        <v>1796</v>
      </c>
      <c r="J917" s="42">
        <f>$I$1-A917</f>
        <v>27</v>
      </c>
      <c r="K917" s="43">
        <v>11600</v>
      </c>
    </row>
    <row r="918" spans="1:11" x14ac:dyDescent="0.25">
      <c r="A918" s="38">
        <v>46054</v>
      </c>
      <c r="B918" s="33" t="s">
        <v>1265</v>
      </c>
      <c r="C918" s="36" t="s">
        <v>214</v>
      </c>
      <c r="D918" s="34" t="s">
        <v>373</v>
      </c>
      <c r="E918" s="34"/>
      <c r="F918" s="37">
        <v>442125</v>
      </c>
      <c r="G918" s="37">
        <v>442125</v>
      </c>
      <c r="H918" s="38">
        <v>46054</v>
      </c>
      <c r="I918" s="38" t="s">
        <v>1796</v>
      </c>
      <c r="J918" s="42">
        <v>27</v>
      </c>
      <c r="K918" s="43">
        <v>442125</v>
      </c>
    </row>
    <row r="919" spans="1:11" x14ac:dyDescent="0.25">
      <c r="A919" s="38">
        <v>46054</v>
      </c>
      <c r="B919" s="33" t="s">
        <v>1101</v>
      </c>
      <c r="C919" s="36" t="s">
        <v>221</v>
      </c>
      <c r="D919" s="34" t="s">
        <v>402</v>
      </c>
      <c r="E919" s="34"/>
      <c r="F919" s="37">
        <v>109550.39999999999</v>
      </c>
      <c r="G919" s="37">
        <v>109550.39999999999</v>
      </c>
      <c r="H919" s="38">
        <v>46084</v>
      </c>
      <c r="I919" s="38" t="s">
        <v>1796</v>
      </c>
      <c r="J919" s="42">
        <f>$I$1-A919</f>
        <v>27</v>
      </c>
      <c r="K919" s="43">
        <v>109550.39999999999</v>
      </c>
    </row>
    <row r="920" spans="1:11" x14ac:dyDescent="0.25">
      <c r="A920" s="38">
        <v>46054</v>
      </c>
      <c r="B920" s="33" t="s">
        <v>1266</v>
      </c>
      <c r="C920" s="36" t="s">
        <v>229</v>
      </c>
      <c r="D920" s="34" t="s">
        <v>565</v>
      </c>
      <c r="E920" s="34"/>
      <c r="F920" s="37">
        <v>128037</v>
      </c>
      <c r="G920" s="37">
        <v>128037</v>
      </c>
      <c r="H920" s="38">
        <v>46054</v>
      </c>
      <c r="I920" s="38" t="s">
        <v>1796</v>
      </c>
      <c r="J920" s="42">
        <v>27</v>
      </c>
      <c r="K920" s="43">
        <v>128037</v>
      </c>
    </row>
    <row r="921" spans="1:11" x14ac:dyDescent="0.25">
      <c r="A921" s="38">
        <v>46054</v>
      </c>
      <c r="B921" s="33" t="s">
        <v>1267</v>
      </c>
      <c r="C921" s="36" t="s">
        <v>245</v>
      </c>
      <c r="D921" s="34" t="s">
        <v>642</v>
      </c>
      <c r="E921" s="34"/>
      <c r="F921" s="37">
        <v>55825</v>
      </c>
      <c r="G921" s="37">
        <v>55825</v>
      </c>
      <c r="H921" s="38">
        <v>46054</v>
      </c>
      <c r="I921" s="38" t="s">
        <v>1796</v>
      </c>
      <c r="J921" s="42">
        <v>27</v>
      </c>
      <c r="K921" s="43">
        <v>55825</v>
      </c>
    </row>
    <row r="922" spans="1:11" x14ac:dyDescent="0.25">
      <c r="A922" s="38">
        <v>46054</v>
      </c>
      <c r="B922" s="33" t="s">
        <v>1268</v>
      </c>
      <c r="C922" s="36" t="s">
        <v>245</v>
      </c>
      <c r="D922" s="34" t="s">
        <v>642</v>
      </c>
      <c r="E922" s="34"/>
      <c r="F922" s="37">
        <v>55825</v>
      </c>
      <c r="G922" s="37">
        <v>55825</v>
      </c>
      <c r="H922" s="38">
        <v>46054</v>
      </c>
      <c r="I922" s="38" t="s">
        <v>1796</v>
      </c>
      <c r="J922" s="42">
        <v>27</v>
      </c>
      <c r="K922" s="43">
        <v>55825</v>
      </c>
    </row>
    <row r="923" spans="1:11" x14ac:dyDescent="0.25">
      <c r="A923" s="38">
        <v>46054</v>
      </c>
      <c r="B923" s="33" t="s">
        <v>1269</v>
      </c>
      <c r="C923" s="36" t="s">
        <v>245</v>
      </c>
      <c r="D923" s="34" t="s">
        <v>642</v>
      </c>
      <c r="E923" s="34"/>
      <c r="F923" s="37">
        <v>55825</v>
      </c>
      <c r="G923" s="37">
        <v>55825</v>
      </c>
      <c r="H923" s="38">
        <v>46054</v>
      </c>
      <c r="I923" s="38" t="s">
        <v>1796</v>
      </c>
      <c r="J923" s="42">
        <v>27</v>
      </c>
      <c r="K923" s="43">
        <v>55825</v>
      </c>
    </row>
    <row r="924" spans="1:11" x14ac:dyDescent="0.25">
      <c r="A924" s="38">
        <v>46054</v>
      </c>
      <c r="B924" s="33" t="s">
        <v>1270</v>
      </c>
      <c r="C924" s="36" t="s">
        <v>245</v>
      </c>
      <c r="D924" s="34" t="s">
        <v>642</v>
      </c>
      <c r="E924" s="34"/>
      <c r="F924" s="37">
        <v>55825</v>
      </c>
      <c r="G924" s="37">
        <v>55825</v>
      </c>
      <c r="H924" s="38">
        <v>46054</v>
      </c>
      <c r="I924" s="38" t="s">
        <v>1796</v>
      </c>
      <c r="J924" s="42">
        <v>27</v>
      </c>
      <c r="K924" s="43">
        <v>55825</v>
      </c>
    </row>
    <row r="925" spans="1:11" x14ac:dyDescent="0.25">
      <c r="A925" s="38">
        <v>46054</v>
      </c>
      <c r="B925" s="33" t="s">
        <v>1271</v>
      </c>
      <c r="C925" s="36" t="s">
        <v>254</v>
      </c>
      <c r="D925" s="34" t="s">
        <v>412</v>
      </c>
      <c r="E925" s="34"/>
      <c r="F925" s="37">
        <v>247800</v>
      </c>
      <c r="G925" s="37">
        <v>247800</v>
      </c>
      <c r="H925" s="38">
        <v>46054</v>
      </c>
      <c r="I925" s="38" t="s">
        <v>1796</v>
      </c>
      <c r="J925" s="42">
        <v>27</v>
      </c>
      <c r="K925" s="43">
        <v>247800</v>
      </c>
    </row>
    <row r="926" spans="1:11" x14ac:dyDescent="0.25">
      <c r="A926" s="38">
        <v>46054</v>
      </c>
      <c r="B926" s="33" t="s">
        <v>1272</v>
      </c>
      <c r="C926" s="36" t="s">
        <v>278</v>
      </c>
      <c r="D926" s="34" t="s">
        <v>642</v>
      </c>
      <c r="E926" s="34"/>
      <c r="F926" s="37">
        <v>313653.40000000002</v>
      </c>
      <c r="G926" s="37">
        <v>313653.40000000002</v>
      </c>
      <c r="H926" s="38">
        <v>46054</v>
      </c>
      <c r="I926" s="38" t="s">
        <v>1796</v>
      </c>
      <c r="J926" s="42">
        <v>27</v>
      </c>
      <c r="K926" s="43">
        <v>313653.40000000002</v>
      </c>
    </row>
    <row r="927" spans="1:11" x14ac:dyDescent="0.25">
      <c r="A927" s="38">
        <v>46055</v>
      </c>
      <c r="B927" s="33" t="s">
        <v>1273</v>
      </c>
      <c r="C927" s="36" t="s">
        <v>26</v>
      </c>
      <c r="D927" s="34" t="s">
        <v>426</v>
      </c>
      <c r="E927" s="34"/>
      <c r="F927" s="37">
        <v>94619.8</v>
      </c>
      <c r="G927" s="39">
        <v>180.4</v>
      </c>
      <c r="H927" s="38">
        <v>46055</v>
      </c>
      <c r="I927" s="38" t="s">
        <v>1796</v>
      </c>
      <c r="J927" s="42">
        <v>26</v>
      </c>
      <c r="K927" s="43">
        <v>-180.4</v>
      </c>
    </row>
    <row r="928" spans="1:11" x14ac:dyDescent="0.25">
      <c r="A928" s="38">
        <v>46055</v>
      </c>
      <c r="B928" s="33" t="s">
        <v>1274</v>
      </c>
      <c r="C928" s="36" t="s">
        <v>62</v>
      </c>
      <c r="D928" s="34" t="s">
        <v>561</v>
      </c>
      <c r="E928" s="34"/>
      <c r="F928" s="37">
        <v>77741</v>
      </c>
      <c r="G928" s="37">
        <v>77741</v>
      </c>
      <c r="H928" s="38">
        <v>46115</v>
      </c>
      <c r="I928" s="38" t="s">
        <v>1796</v>
      </c>
      <c r="J928" s="42">
        <f t="shared" ref="J928:J930" si="22">$I$1-A928</f>
        <v>26</v>
      </c>
      <c r="K928" s="43">
        <v>77741</v>
      </c>
    </row>
    <row r="929" spans="1:11" x14ac:dyDescent="0.25">
      <c r="A929" s="38">
        <v>46055</v>
      </c>
      <c r="B929" s="33" t="s">
        <v>1275</v>
      </c>
      <c r="C929" s="36" t="s">
        <v>62</v>
      </c>
      <c r="D929" s="34" t="s">
        <v>561</v>
      </c>
      <c r="E929" s="34"/>
      <c r="F929" s="37">
        <v>75052</v>
      </c>
      <c r="G929" s="37">
        <v>75052</v>
      </c>
      <c r="H929" s="38">
        <v>46115</v>
      </c>
      <c r="I929" s="38" t="s">
        <v>1796</v>
      </c>
      <c r="J929" s="42">
        <f t="shared" si="22"/>
        <v>26</v>
      </c>
      <c r="K929" s="43">
        <v>75052</v>
      </c>
    </row>
    <row r="930" spans="1:11" x14ac:dyDescent="0.25">
      <c r="A930" s="38">
        <v>46055</v>
      </c>
      <c r="B930" s="33" t="s">
        <v>1276</v>
      </c>
      <c r="C930" s="36" t="s">
        <v>62</v>
      </c>
      <c r="D930" s="34" t="s">
        <v>561</v>
      </c>
      <c r="E930" s="34"/>
      <c r="F930" s="37">
        <v>77089</v>
      </c>
      <c r="G930" s="37">
        <v>77089</v>
      </c>
      <c r="H930" s="38">
        <v>46115</v>
      </c>
      <c r="I930" s="38" t="s">
        <v>1796</v>
      </c>
      <c r="J930" s="42">
        <f t="shared" si="22"/>
        <v>26</v>
      </c>
      <c r="K930" s="43">
        <v>77089</v>
      </c>
    </row>
    <row r="931" spans="1:11" x14ac:dyDescent="0.25">
      <c r="A931" s="38">
        <v>46055</v>
      </c>
      <c r="B931" s="33" t="s">
        <v>1277</v>
      </c>
      <c r="C931" s="36" t="s">
        <v>91</v>
      </c>
      <c r="D931" s="34" t="s">
        <v>561</v>
      </c>
      <c r="E931" s="34"/>
      <c r="F931" s="37">
        <v>62304</v>
      </c>
      <c r="G931" s="37">
        <v>62304</v>
      </c>
      <c r="H931" s="38">
        <v>46055</v>
      </c>
      <c r="I931" s="38" t="s">
        <v>1796</v>
      </c>
      <c r="J931" s="42">
        <v>26</v>
      </c>
      <c r="K931" s="43">
        <v>62304</v>
      </c>
    </row>
    <row r="932" spans="1:11" x14ac:dyDescent="0.25">
      <c r="A932" s="38">
        <v>46055</v>
      </c>
      <c r="B932" s="33" t="s">
        <v>1278</v>
      </c>
      <c r="C932" s="36" t="s">
        <v>245</v>
      </c>
      <c r="D932" s="34" t="s">
        <v>642</v>
      </c>
      <c r="E932" s="34"/>
      <c r="F932" s="37">
        <v>60900</v>
      </c>
      <c r="G932" s="37">
        <v>60900</v>
      </c>
      <c r="H932" s="38">
        <v>46055</v>
      </c>
      <c r="I932" s="38" t="s">
        <v>1796</v>
      </c>
      <c r="J932" s="42">
        <v>26</v>
      </c>
      <c r="K932" s="43">
        <v>60900</v>
      </c>
    </row>
    <row r="933" spans="1:11" x14ac:dyDescent="0.25">
      <c r="A933" s="38">
        <v>46055</v>
      </c>
      <c r="B933" s="33" t="s">
        <v>1279</v>
      </c>
      <c r="C933" s="36" t="s">
        <v>258</v>
      </c>
      <c r="D933" s="34" t="s">
        <v>561</v>
      </c>
      <c r="E933" s="34"/>
      <c r="F933" s="37">
        <v>67140</v>
      </c>
      <c r="G933" s="37">
        <v>67140</v>
      </c>
      <c r="H933" s="38">
        <v>46055</v>
      </c>
      <c r="I933" s="38" t="s">
        <v>1796</v>
      </c>
      <c r="J933" s="42">
        <v>26</v>
      </c>
      <c r="K933" s="43">
        <v>67140</v>
      </c>
    </row>
    <row r="934" spans="1:11" x14ac:dyDescent="0.25">
      <c r="A934" s="38">
        <v>46055</v>
      </c>
      <c r="B934" s="33" t="s">
        <v>1280</v>
      </c>
      <c r="C934" s="36" t="s">
        <v>258</v>
      </c>
      <c r="D934" s="34" t="s">
        <v>561</v>
      </c>
      <c r="E934" s="34"/>
      <c r="F934" s="37">
        <v>198734</v>
      </c>
      <c r="G934" s="37">
        <v>198734</v>
      </c>
      <c r="H934" s="38">
        <v>46055</v>
      </c>
      <c r="I934" s="38" t="s">
        <v>1796</v>
      </c>
      <c r="J934" s="42">
        <v>26</v>
      </c>
      <c r="K934" s="43">
        <v>198734</v>
      </c>
    </row>
    <row r="935" spans="1:11" x14ac:dyDescent="0.25">
      <c r="A935" s="38">
        <v>46056</v>
      </c>
      <c r="B935" s="33" t="s">
        <v>1281</v>
      </c>
      <c r="C935" s="36" t="s">
        <v>26</v>
      </c>
      <c r="D935" s="34" t="s">
        <v>426</v>
      </c>
      <c r="E935" s="34"/>
      <c r="F935" s="37">
        <v>103620.22</v>
      </c>
      <c r="G935" s="37">
        <v>103620.22</v>
      </c>
      <c r="H935" s="38">
        <v>46056</v>
      </c>
      <c r="I935" s="38" t="s">
        <v>1796</v>
      </c>
      <c r="J935" s="42">
        <v>25</v>
      </c>
      <c r="K935" s="43">
        <v>103620.22</v>
      </c>
    </row>
    <row r="936" spans="1:11" x14ac:dyDescent="0.25">
      <c r="A936" s="38">
        <v>46056</v>
      </c>
      <c r="B936" s="33" t="s">
        <v>1282</v>
      </c>
      <c r="C936" s="36" t="s">
        <v>26</v>
      </c>
      <c r="D936" s="34" t="s">
        <v>426</v>
      </c>
      <c r="E936" s="34"/>
      <c r="F936" s="37">
        <v>98912.31</v>
      </c>
      <c r="G936" s="37">
        <v>98912.31</v>
      </c>
      <c r="H936" s="38">
        <v>46056</v>
      </c>
      <c r="I936" s="38" t="s">
        <v>1796</v>
      </c>
      <c r="J936" s="42">
        <v>25</v>
      </c>
      <c r="K936" s="43">
        <v>98912.31</v>
      </c>
    </row>
    <row r="937" spans="1:11" x14ac:dyDescent="0.25">
      <c r="A937" s="38">
        <v>46056</v>
      </c>
      <c r="B937" s="33" t="s">
        <v>1283</v>
      </c>
      <c r="C937" s="36" t="s">
        <v>26</v>
      </c>
      <c r="D937" s="34" t="s">
        <v>426</v>
      </c>
      <c r="E937" s="34"/>
      <c r="F937" s="37">
        <v>70318.149999999994</v>
      </c>
      <c r="G937" s="37">
        <v>70318.149999999994</v>
      </c>
      <c r="H937" s="38">
        <v>46056</v>
      </c>
      <c r="I937" s="38" t="s">
        <v>1796</v>
      </c>
      <c r="J937" s="42">
        <v>25</v>
      </c>
      <c r="K937" s="43">
        <v>70318.149999999994</v>
      </c>
    </row>
    <row r="938" spans="1:11" x14ac:dyDescent="0.25">
      <c r="A938" s="38">
        <v>46056</v>
      </c>
      <c r="B938" s="33" t="s">
        <v>1284</v>
      </c>
      <c r="C938" s="36" t="s">
        <v>26</v>
      </c>
      <c r="D938" s="34" t="s">
        <v>426</v>
      </c>
      <c r="E938" s="34"/>
      <c r="F938" s="37">
        <v>109717.53</v>
      </c>
      <c r="G938" s="37">
        <v>109717.53</v>
      </c>
      <c r="H938" s="38">
        <v>46056</v>
      </c>
      <c r="I938" s="38" t="s">
        <v>1796</v>
      </c>
      <c r="J938" s="42">
        <v>25</v>
      </c>
      <c r="K938" s="43">
        <v>109717.53</v>
      </c>
    </row>
    <row r="939" spans="1:11" x14ac:dyDescent="0.25">
      <c r="A939" s="38">
        <v>46056</v>
      </c>
      <c r="B939" s="33" t="s">
        <v>1285</v>
      </c>
      <c r="C939" s="36" t="s">
        <v>62</v>
      </c>
      <c r="D939" s="34" t="s">
        <v>561</v>
      </c>
      <c r="E939" s="34"/>
      <c r="F939" s="37">
        <v>77637</v>
      </c>
      <c r="G939" s="37">
        <v>77637</v>
      </c>
      <c r="H939" s="38">
        <v>46116</v>
      </c>
      <c r="I939" s="38" t="s">
        <v>1796</v>
      </c>
      <c r="J939" s="42">
        <f t="shared" ref="J939:J940" si="23">$I$1-A939</f>
        <v>25</v>
      </c>
      <c r="K939" s="43">
        <v>77637</v>
      </c>
    </row>
    <row r="940" spans="1:11" x14ac:dyDescent="0.25">
      <c r="A940" s="38">
        <v>46056</v>
      </c>
      <c r="B940" s="33" t="s">
        <v>1286</v>
      </c>
      <c r="C940" s="36" t="s">
        <v>62</v>
      </c>
      <c r="D940" s="34" t="s">
        <v>561</v>
      </c>
      <c r="E940" s="34"/>
      <c r="F940" s="37">
        <v>76671</v>
      </c>
      <c r="G940" s="37">
        <v>76671</v>
      </c>
      <c r="H940" s="38">
        <v>46116</v>
      </c>
      <c r="I940" s="38" t="s">
        <v>1796</v>
      </c>
      <c r="J940" s="42">
        <f t="shared" si="23"/>
        <v>25</v>
      </c>
      <c r="K940" s="43">
        <v>76671</v>
      </c>
    </row>
    <row r="941" spans="1:11" x14ac:dyDescent="0.25">
      <c r="A941" s="38">
        <v>46056</v>
      </c>
      <c r="B941" s="33" t="s">
        <v>1287</v>
      </c>
      <c r="C941" s="36" t="s">
        <v>239</v>
      </c>
      <c r="D941" s="34" t="s">
        <v>426</v>
      </c>
      <c r="E941" s="34"/>
      <c r="F941" s="37">
        <v>72379.88</v>
      </c>
      <c r="G941" s="37">
        <v>72379.88</v>
      </c>
      <c r="H941" s="38">
        <v>46056</v>
      </c>
      <c r="I941" s="38" t="s">
        <v>1796</v>
      </c>
      <c r="J941" s="42">
        <v>25</v>
      </c>
      <c r="K941" s="43">
        <v>72379.88</v>
      </c>
    </row>
    <row r="942" spans="1:11" x14ac:dyDescent="0.25">
      <c r="A942" s="38">
        <v>46057</v>
      </c>
      <c r="B942" s="33" t="s">
        <v>1288</v>
      </c>
      <c r="C942" s="36" t="s">
        <v>17</v>
      </c>
      <c r="D942" s="34" t="s">
        <v>561</v>
      </c>
      <c r="E942" s="34"/>
      <c r="F942" s="37">
        <v>58773</v>
      </c>
      <c r="G942" s="37">
        <v>58773</v>
      </c>
      <c r="H942" s="38">
        <v>46087</v>
      </c>
      <c r="I942" s="38" t="s">
        <v>1796</v>
      </c>
      <c r="J942" s="42">
        <f>$I$1-A942</f>
        <v>24</v>
      </c>
      <c r="K942" s="43">
        <v>58773</v>
      </c>
    </row>
    <row r="943" spans="1:11" x14ac:dyDescent="0.25">
      <c r="A943" s="38">
        <v>46057</v>
      </c>
      <c r="B943" s="33" t="s">
        <v>1289</v>
      </c>
      <c r="C943" s="36" t="s">
        <v>26</v>
      </c>
      <c r="D943" s="34" t="s">
        <v>426</v>
      </c>
      <c r="E943" s="34"/>
      <c r="F943" s="37">
        <v>70318.149999999994</v>
      </c>
      <c r="G943" s="37">
        <v>70318.149999999994</v>
      </c>
      <c r="H943" s="38">
        <v>46057</v>
      </c>
      <c r="I943" s="38" t="s">
        <v>1796</v>
      </c>
      <c r="J943" s="42">
        <v>24</v>
      </c>
      <c r="K943" s="43">
        <v>70318.149999999994</v>
      </c>
    </row>
    <row r="944" spans="1:11" x14ac:dyDescent="0.25">
      <c r="A944" s="38">
        <v>46057</v>
      </c>
      <c r="B944" s="33" t="s">
        <v>1290</v>
      </c>
      <c r="C944" s="36" t="s">
        <v>26</v>
      </c>
      <c r="D944" s="34" t="s">
        <v>426</v>
      </c>
      <c r="E944" s="34"/>
      <c r="F944" s="37">
        <v>43608.61</v>
      </c>
      <c r="G944" s="37">
        <v>43608.61</v>
      </c>
      <c r="H944" s="38">
        <v>46057</v>
      </c>
      <c r="I944" s="38" t="s">
        <v>1796</v>
      </c>
      <c r="J944" s="42">
        <v>24</v>
      </c>
      <c r="K944" s="43">
        <v>43608.61</v>
      </c>
    </row>
    <row r="945" spans="1:11" x14ac:dyDescent="0.25">
      <c r="A945" s="38">
        <v>46057</v>
      </c>
      <c r="B945" s="33" t="s">
        <v>1291</v>
      </c>
      <c r="C945" s="36" t="s">
        <v>26</v>
      </c>
      <c r="D945" s="34" t="s">
        <v>426</v>
      </c>
      <c r="E945" s="34"/>
      <c r="F945" s="37">
        <v>46548.7</v>
      </c>
      <c r="G945" s="37">
        <v>46548.7</v>
      </c>
      <c r="H945" s="38">
        <v>46057</v>
      </c>
      <c r="I945" s="38" t="s">
        <v>1796</v>
      </c>
      <c r="J945" s="42">
        <v>24</v>
      </c>
      <c r="K945" s="43">
        <v>46548.7</v>
      </c>
    </row>
    <row r="946" spans="1:11" x14ac:dyDescent="0.25">
      <c r="A946" s="38">
        <v>46057</v>
      </c>
      <c r="B946" s="33" t="s">
        <v>1292</v>
      </c>
      <c r="C946" s="36" t="s">
        <v>26</v>
      </c>
      <c r="D946" s="34" t="s">
        <v>426</v>
      </c>
      <c r="E946" s="34"/>
      <c r="F946" s="37">
        <v>43608.61</v>
      </c>
      <c r="G946" s="37">
        <v>43608.61</v>
      </c>
      <c r="H946" s="38">
        <v>46057</v>
      </c>
      <c r="I946" s="38" t="s">
        <v>1796</v>
      </c>
      <c r="J946" s="42">
        <v>24</v>
      </c>
      <c r="K946" s="43">
        <v>43608.61</v>
      </c>
    </row>
    <row r="947" spans="1:11" x14ac:dyDescent="0.25">
      <c r="A947" s="38">
        <v>46057</v>
      </c>
      <c r="B947" s="33" t="s">
        <v>1293</v>
      </c>
      <c r="C947" s="36" t="s">
        <v>124</v>
      </c>
      <c r="D947" s="34" t="s">
        <v>449</v>
      </c>
      <c r="E947" s="34"/>
      <c r="F947" s="37">
        <v>7330.7</v>
      </c>
      <c r="G947" s="37">
        <v>7330.7</v>
      </c>
      <c r="H947" s="38">
        <v>46057</v>
      </c>
      <c r="I947" s="38" t="s">
        <v>1796</v>
      </c>
      <c r="J947" s="42">
        <v>24</v>
      </c>
      <c r="K947" s="43">
        <v>7330.7</v>
      </c>
    </row>
    <row r="948" spans="1:11" x14ac:dyDescent="0.25">
      <c r="A948" s="38">
        <v>46057</v>
      </c>
      <c r="B948" s="33" t="s">
        <v>1294</v>
      </c>
      <c r="C948" s="36" t="s">
        <v>126</v>
      </c>
      <c r="D948" s="34" t="s">
        <v>426</v>
      </c>
      <c r="E948" s="34"/>
      <c r="F948" s="37">
        <v>109492</v>
      </c>
      <c r="G948" s="37">
        <v>109492</v>
      </c>
      <c r="H948" s="38">
        <v>46072</v>
      </c>
      <c r="I948" s="38" t="s">
        <v>1796</v>
      </c>
      <c r="J948" s="42">
        <v>9</v>
      </c>
      <c r="K948" s="43">
        <v>109492</v>
      </c>
    </row>
    <row r="949" spans="1:11" x14ac:dyDescent="0.25">
      <c r="A949" s="38">
        <v>46057</v>
      </c>
      <c r="B949" s="33" t="s">
        <v>1295</v>
      </c>
      <c r="C949" s="36" t="s">
        <v>245</v>
      </c>
      <c r="D949" s="34" t="s">
        <v>642</v>
      </c>
      <c r="E949" s="34"/>
      <c r="F949" s="37">
        <v>60900</v>
      </c>
      <c r="G949" s="37">
        <v>60900</v>
      </c>
      <c r="H949" s="38">
        <v>46057</v>
      </c>
      <c r="I949" s="38" t="s">
        <v>1796</v>
      </c>
      <c r="J949" s="42">
        <v>24</v>
      </c>
      <c r="K949" s="43">
        <v>60900</v>
      </c>
    </row>
    <row r="950" spans="1:11" x14ac:dyDescent="0.25">
      <c r="A950" s="38">
        <v>46057</v>
      </c>
      <c r="B950" s="33" t="s">
        <v>1296</v>
      </c>
      <c r="C950" s="36" t="s">
        <v>256</v>
      </c>
      <c r="D950" s="34" t="s">
        <v>642</v>
      </c>
      <c r="E950" s="34"/>
      <c r="F950" s="37">
        <v>3204</v>
      </c>
      <c r="G950" s="37">
        <v>3204</v>
      </c>
      <c r="H950" s="38">
        <v>46057</v>
      </c>
      <c r="I950" s="38" t="s">
        <v>1796</v>
      </c>
      <c r="J950" s="42">
        <v>24</v>
      </c>
      <c r="K950" s="43">
        <v>3204</v>
      </c>
    </row>
    <row r="951" spans="1:11" x14ac:dyDescent="0.25">
      <c r="A951" s="38">
        <v>46057</v>
      </c>
      <c r="B951" s="33" t="s">
        <v>1297</v>
      </c>
      <c r="C951" s="36" t="s">
        <v>258</v>
      </c>
      <c r="D951" s="34" t="s">
        <v>561</v>
      </c>
      <c r="E951" s="34"/>
      <c r="F951" s="37">
        <v>231633</v>
      </c>
      <c r="G951" s="37">
        <v>231633</v>
      </c>
      <c r="H951" s="38">
        <v>46057</v>
      </c>
      <c r="I951" s="38" t="s">
        <v>1796</v>
      </c>
      <c r="J951" s="42">
        <v>24</v>
      </c>
      <c r="K951" s="43">
        <v>231633</v>
      </c>
    </row>
    <row r="952" spans="1:11" x14ac:dyDescent="0.25">
      <c r="A952" s="38">
        <v>46058</v>
      </c>
      <c r="B952" s="33" t="s">
        <v>1298</v>
      </c>
      <c r="C952" s="36" t="s">
        <v>26</v>
      </c>
      <c r="D952" s="34" t="s">
        <v>426</v>
      </c>
      <c r="E952" s="34"/>
      <c r="F952" s="37">
        <v>102990.3</v>
      </c>
      <c r="G952" s="37">
        <v>102990.3</v>
      </c>
      <c r="H952" s="38">
        <v>46058</v>
      </c>
      <c r="I952" s="38" t="s">
        <v>1796</v>
      </c>
      <c r="J952" s="42">
        <v>23</v>
      </c>
      <c r="K952" s="43">
        <v>102990.3</v>
      </c>
    </row>
    <row r="953" spans="1:11" x14ac:dyDescent="0.25">
      <c r="A953" s="38">
        <v>46058</v>
      </c>
      <c r="B953" s="33" t="s">
        <v>1300</v>
      </c>
      <c r="C953" s="36" t="s">
        <v>26</v>
      </c>
      <c r="D953" s="34" t="s">
        <v>426</v>
      </c>
      <c r="E953" s="34"/>
      <c r="F953" s="37">
        <v>84742.42</v>
      </c>
      <c r="G953" s="37">
        <v>84742.42</v>
      </c>
      <c r="H953" s="38">
        <v>46058</v>
      </c>
      <c r="I953" s="38" t="s">
        <v>1796</v>
      </c>
      <c r="J953" s="42">
        <v>23</v>
      </c>
      <c r="K953" s="43">
        <v>84742.42</v>
      </c>
    </row>
    <row r="954" spans="1:11" x14ac:dyDescent="0.25">
      <c r="A954" s="38">
        <v>46058</v>
      </c>
      <c r="B954" s="33" t="s">
        <v>1301</v>
      </c>
      <c r="C954" s="36" t="s">
        <v>26</v>
      </c>
      <c r="D954" s="34" t="s">
        <v>426</v>
      </c>
      <c r="E954" s="34"/>
      <c r="F954" s="37">
        <v>49663.59</v>
      </c>
      <c r="G954" s="37">
        <v>49663.59</v>
      </c>
      <c r="H954" s="38">
        <v>46058</v>
      </c>
      <c r="I954" s="38" t="s">
        <v>1796</v>
      </c>
      <c r="J954" s="42">
        <v>23</v>
      </c>
      <c r="K954" s="43">
        <v>49663.59</v>
      </c>
    </row>
    <row r="955" spans="1:11" x14ac:dyDescent="0.25">
      <c r="A955" s="38">
        <v>46058</v>
      </c>
      <c r="B955" s="33" t="s">
        <v>1302</v>
      </c>
      <c r="C955" s="36" t="s">
        <v>26</v>
      </c>
      <c r="D955" s="34" t="s">
        <v>426</v>
      </c>
      <c r="E955" s="34"/>
      <c r="F955" s="37">
        <v>64929.37</v>
      </c>
      <c r="G955" s="37">
        <v>64929.37</v>
      </c>
      <c r="H955" s="38">
        <v>46058</v>
      </c>
      <c r="I955" s="38" t="s">
        <v>1796</v>
      </c>
      <c r="J955" s="42">
        <v>23</v>
      </c>
      <c r="K955" s="43">
        <v>64929.37</v>
      </c>
    </row>
    <row r="956" spans="1:11" x14ac:dyDescent="0.25">
      <c r="A956" s="38">
        <v>46058</v>
      </c>
      <c r="B956" s="33" t="s">
        <v>1303</v>
      </c>
      <c r="C956" s="36" t="s">
        <v>26</v>
      </c>
      <c r="D956" s="34" t="s">
        <v>426</v>
      </c>
      <c r="E956" s="34"/>
      <c r="F956" s="37">
        <v>49504.68</v>
      </c>
      <c r="G956" s="37">
        <v>49504.68</v>
      </c>
      <c r="H956" s="38">
        <v>46058</v>
      </c>
      <c r="I956" s="38" t="s">
        <v>1796</v>
      </c>
      <c r="J956" s="42">
        <v>23</v>
      </c>
      <c r="K956" s="43">
        <v>49504.68</v>
      </c>
    </row>
    <row r="957" spans="1:11" x14ac:dyDescent="0.25">
      <c r="A957" s="38">
        <v>46058</v>
      </c>
      <c r="B957" s="33" t="s">
        <v>1304</v>
      </c>
      <c r="C957" s="36" t="s">
        <v>37</v>
      </c>
      <c r="D957" s="34" t="s">
        <v>616</v>
      </c>
      <c r="E957" s="34"/>
      <c r="F957" s="39">
        <v>90000</v>
      </c>
      <c r="G957" s="39">
        <v>90000</v>
      </c>
      <c r="H957" s="38">
        <v>46058</v>
      </c>
      <c r="I957" s="38" t="s">
        <v>1796</v>
      </c>
      <c r="J957" s="42">
        <v>23</v>
      </c>
      <c r="K957" s="43">
        <v>-90000</v>
      </c>
    </row>
    <row r="958" spans="1:11" x14ac:dyDescent="0.25">
      <c r="A958" s="38">
        <v>46058</v>
      </c>
      <c r="B958" s="33" t="s">
        <v>1305</v>
      </c>
      <c r="C958" s="36" t="s">
        <v>96</v>
      </c>
      <c r="D958" s="34" t="s">
        <v>402</v>
      </c>
      <c r="E958" s="34"/>
      <c r="F958" s="37">
        <v>56262.34</v>
      </c>
      <c r="G958" s="37">
        <v>56262.34</v>
      </c>
      <c r="H958" s="38">
        <v>46058</v>
      </c>
      <c r="I958" s="38" t="s">
        <v>1796</v>
      </c>
      <c r="J958" s="42">
        <v>23</v>
      </c>
      <c r="K958" s="43">
        <v>56262.34</v>
      </c>
    </row>
    <row r="959" spans="1:11" x14ac:dyDescent="0.25">
      <c r="A959" s="38">
        <v>46058</v>
      </c>
      <c r="B959" s="33" t="s">
        <v>1306</v>
      </c>
      <c r="C959" s="36" t="s">
        <v>96</v>
      </c>
      <c r="D959" s="34" t="s">
        <v>402</v>
      </c>
      <c r="E959" s="34"/>
      <c r="F959" s="37">
        <v>56262.34</v>
      </c>
      <c r="G959" s="37">
        <v>56262.34</v>
      </c>
      <c r="H959" s="38">
        <v>46058</v>
      </c>
      <c r="I959" s="38" t="s">
        <v>1796</v>
      </c>
      <c r="J959" s="42">
        <v>23</v>
      </c>
      <c r="K959" s="43">
        <v>56262.34</v>
      </c>
    </row>
    <row r="960" spans="1:11" x14ac:dyDescent="0.25">
      <c r="A960" s="38">
        <v>46058</v>
      </c>
      <c r="B960" s="33" t="s">
        <v>1307</v>
      </c>
      <c r="C960" s="36" t="s">
        <v>258</v>
      </c>
      <c r="D960" s="34" t="s">
        <v>561</v>
      </c>
      <c r="E960" s="34"/>
      <c r="F960" s="37">
        <v>167850</v>
      </c>
      <c r="G960" s="37">
        <v>167850</v>
      </c>
      <c r="H960" s="38">
        <v>46058</v>
      </c>
      <c r="I960" s="38" t="s">
        <v>1796</v>
      </c>
      <c r="J960" s="42">
        <v>23</v>
      </c>
      <c r="K960" s="43">
        <v>167850</v>
      </c>
    </row>
    <row r="961" spans="1:11" x14ac:dyDescent="0.25">
      <c r="A961" s="38">
        <v>46059</v>
      </c>
      <c r="B961" s="33" t="s">
        <v>1308</v>
      </c>
      <c r="C961" s="36" t="s">
        <v>26</v>
      </c>
      <c r="D961" s="34" t="s">
        <v>426</v>
      </c>
      <c r="E961" s="34"/>
      <c r="F961" s="37">
        <v>69092.639999999999</v>
      </c>
      <c r="G961" s="37">
        <v>69092.639999999999</v>
      </c>
      <c r="H961" s="38">
        <v>46059</v>
      </c>
      <c r="I961" s="38" t="s">
        <v>1796</v>
      </c>
      <c r="J961" s="42">
        <v>22</v>
      </c>
      <c r="K961" s="43">
        <v>69092.639999999999</v>
      </c>
    </row>
    <row r="962" spans="1:11" x14ac:dyDescent="0.25">
      <c r="A962" s="38">
        <v>46059</v>
      </c>
      <c r="B962" s="33" t="s">
        <v>1309</v>
      </c>
      <c r="C962" s="36" t="s">
        <v>26</v>
      </c>
      <c r="D962" s="34" t="s">
        <v>426</v>
      </c>
      <c r="E962" s="34"/>
      <c r="F962" s="37">
        <v>70318.149999999994</v>
      </c>
      <c r="G962" s="37">
        <v>70318.149999999994</v>
      </c>
      <c r="H962" s="38">
        <v>46059</v>
      </c>
      <c r="I962" s="38" t="s">
        <v>1796</v>
      </c>
      <c r="J962" s="42">
        <v>22</v>
      </c>
      <c r="K962" s="43">
        <v>70318.149999999994</v>
      </c>
    </row>
    <row r="963" spans="1:11" x14ac:dyDescent="0.25">
      <c r="A963" s="38">
        <v>46059</v>
      </c>
      <c r="B963" s="33" t="s">
        <v>1310</v>
      </c>
      <c r="C963" s="36" t="s">
        <v>26</v>
      </c>
      <c r="D963" s="34" t="s">
        <v>426</v>
      </c>
      <c r="E963" s="34"/>
      <c r="F963" s="37">
        <v>88543.47</v>
      </c>
      <c r="G963" s="37">
        <v>88543.47</v>
      </c>
      <c r="H963" s="38">
        <v>46059</v>
      </c>
      <c r="I963" s="38" t="s">
        <v>1796</v>
      </c>
      <c r="J963" s="42">
        <v>22</v>
      </c>
      <c r="K963" s="43">
        <v>88543.47</v>
      </c>
    </row>
    <row r="964" spans="1:11" x14ac:dyDescent="0.25">
      <c r="A964" s="38">
        <v>46059</v>
      </c>
      <c r="B964" s="33" t="s">
        <v>1311</v>
      </c>
      <c r="C964" s="36" t="s">
        <v>37</v>
      </c>
      <c r="D964" s="34" t="s">
        <v>616</v>
      </c>
      <c r="E964" s="34"/>
      <c r="F964" s="39">
        <v>581500</v>
      </c>
      <c r="G964" s="39">
        <v>581500</v>
      </c>
      <c r="H964" s="38">
        <v>46059</v>
      </c>
      <c r="I964" s="38" t="s">
        <v>1796</v>
      </c>
      <c r="J964" s="42">
        <v>22</v>
      </c>
      <c r="K964" s="43">
        <v>-581500</v>
      </c>
    </row>
    <row r="965" spans="1:11" x14ac:dyDescent="0.25">
      <c r="A965" s="38">
        <v>46059</v>
      </c>
      <c r="B965" s="33" t="s">
        <v>1312</v>
      </c>
      <c r="C965" s="36" t="s">
        <v>62</v>
      </c>
      <c r="D965" s="34" t="s">
        <v>561</v>
      </c>
      <c r="E965" s="34"/>
      <c r="F965" s="37">
        <v>76410</v>
      </c>
      <c r="G965" s="37">
        <v>76410</v>
      </c>
      <c r="H965" s="38">
        <v>46119</v>
      </c>
      <c r="I965" s="38" t="s">
        <v>1796</v>
      </c>
      <c r="J965" s="42">
        <f t="shared" ref="J965:J966" si="24">$I$1-A965</f>
        <v>22</v>
      </c>
      <c r="K965" s="43">
        <v>76410</v>
      </c>
    </row>
    <row r="966" spans="1:11" x14ac:dyDescent="0.25">
      <c r="A966" s="38">
        <v>46059</v>
      </c>
      <c r="B966" s="33" t="s">
        <v>1313</v>
      </c>
      <c r="C966" s="36" t="s">
        <v>62</v>
      </c>
      <c r="D966" s="34" t="s">
        <v>561</v>
      </c>
      <c r="E966" s="34"/>
      <c r="F966" s="37">
        <v>77036</v>
      </c>
      <c r="G966" s="37">
        <v>77036</v>
      </c>
      <c r="H966" s="38">
        <v>46119</v>
      </c>
      <c r="I966" s="38" t="s">
        <v>1796</v>
      </c>
      <c r="J966" s="42">
        <f t="shared" si="24"/>
        <v>22</v>
      </c>
      <c r="K966" s="43">
        <v>77036</v>
      </c>
    </row>
    <row r="967" spans="1:11" x14ac:dyDescent="0.25">
      <c r="A967" s="38">
        <v>46059</v>
      </c>
      <c r="B967" s="33" t="s">
        <v>1314</v>
      </c>
      <c r="C967" s="36" t="s">
        <v>245</v>
      </c>
      <c r="D967" s="34" t="s">
        <v>642</v>
      </c>
      <c r="E967" s="34"/>
      <c r="F967" s="37">
        <v>60900</v>
      </c>
      <c r="G967" s="37">
        <v>60900</v>
      </c>
      <c r="H967" s="38">
        <v>46059</v>
      </c>
      <c r="I967" s="38" t="s">
        <v>1796</v>
      </c>
      <c r="J967" s="42">
        <v>22</v>
      </c>
      <c r="K967" s="43">
        <v>60900</v>
      </c>
    </row>
    <row r="968" spans="1:11" x14ac:dyDescent="0.25">
      <c r="A968" s="38">
        <v>46059</v>
      </c>
      <c r="B968" s="33" t="s">
        <v>1315</v>
      </c>
      <c r="C968" s="36" t="s">
        <v>258</v>
      </c>
      <c r="D968" s="34" t="s">
        <v>561</v>
      </c>
      <c r="E968" s="34"/>
      <c r="F968" s="37">
        <v>201420</v>
      </c>
      <c r="G968" s="37">
        <v>201420</v>
      </c>
      <c r="H968" s="38">
        <v>46059</v>
      </c>
      <c r="I968" s="38" t="s">
        <v>1796</v>
      </c>
      <c r="J968" s="42">
        <v>22</v>
      </c>
      <c r="K968" s="43">
        <v>201420</v>
      </c>
    </row>
    <row r="969" spans="1:11" x14ac:dyDescent="0.25">
      <c r="A969" s="38">
        <v>46059</v>
      </c>
      <c r="B969" s="33" t="s">
        <v>1316</v>
      </c>
      <c r="C969" s="36" t="s">
        <v>258</v>
      </c>
      <c r="D969" s="34" t="s">
        <v>561</v>
      </c>
      <c r="E969" s="34"/>
      <c r="F969" s="37">
        <v>198734</v>
      </c>
      <c r="G969" s="37">
        <v>198734</v>
      </c>
      <c r="H969" s="38">
        <v>46059</v>
      </c>
      <c r="I969" s="38" t="s">
        <v>1796</v>
      </c>
      <c r="J969" s="42">
        <v>22</v>
      </c>
      <c r="K969" s="43">
        <v>198734</v>
      </c>
    </row>
    <row r="970" spans="1:11" x14ac:dyDescent="0.25">
      <c r="A970" s="38">
        <v>46059</v>
      </c>
      <c r="B970" s="33" t="s">
        <v>1317</v>
      </c>
      <c r="C970" s="36" t="s">
        <v>291</v>
      </c>
      <c r="D970" s="34" t="s">
        <v>561</v>
      </c>
      <c r="E970" s="34"/>
      <c r="F970" s="37">
        <v>12250</v>
      </c>
      <c r="G970" s="37">
        <v>12250</v>
      </c>
      <c r="H970" s="38">
        <v>46059</v>
      </c>
      <c r="I970" s="38" t="s">
        <v>1796</v>
      </c>
      <c r="J970" s="42">
        <v>22</v>
      </c>
      <c r="K970" s="43">
        <v>12250</v>
      </c>
    </row>
    <row r="971" spans="1:11" x14ac:dyDescent="0.25">
      <c r="A971" s="38">
        <v>46059</v>
      </c>
      <c r="B971" s="33" t="s">
        <v>1318</v>
      </c>
      <c r="C971" s="36" t="s">
        <v>291</v>
      </c>
      <c r="D971" s="34" t="s">
        <v>561</v>
      </c>
      <c r="E971" s="34"/>
      <c r="F971" s="37">
        <v>52920</v>
      </c>
      <c r="G971" s="37">
        <v>52920</v>
      </c>
      <c r="H971" s="38">
        <v>46059</v>
      </c>
      <c r="I971" s="38" t="s">
        <v>1796</v>
      </c>
      <c r="J971" s="42">
        <v>22</v>
      </c>
      <c r="K971" s="43">
        <v>52920</v>
      </c>
    </row>
    <row r="972" spans="1:11" x14ac:dyDescent="0.25">
      <c r="A972" s="38">
        <v>46060</v>
      </c>
      <c r="B972" s="33" t="s">
        <v>1319</v>
      </c>
      <c r="C972" s="36" t="s">
        <v>26</v>
      </c>
      <c r="D972" s="34" t="s">
        <v>426</v>
      </c>
      <c r="E972" s="34"/>
      <c r="F972" s="37">
        <v>97070.26</v>
      </c>
      <c r="G972" s="37">
        <v>97070.26</v>
      </c>
      <c r="H972" s="38">
        <v>46060</v>
      </c>
      <c r="I972" s="38" t="s">
        <v>1796</v>
      </c>
      <c r="J972" s="42">
        <v>21</v>
      </c>
      <c r="K972" s="43">
        <v>97070.26</v>
      </c>
    </row>
    <row r="973" spans="1:11" x14ac:dyDescent="0.25">
      <c r="A973" s="38">
        <v>46060</v>
      </c>
      <c r="B973" s="33" t="s">
        <v>1320</v>
      </c>
      <c r="C973" s="36" t="s">
        <v>26</v>
      </c>
      <c r="D973" s="34" t="s">
        <v>426</v>
      </c>
      <c r="E973" s="34"/>
      <c r="F973" s="37">
        <v>46294.42</v>
      </c>
      <c r="G973" s="37">
        <v>46294.42</v>
      </c>
      <c r="H973" s="38">
        <v>46060</v>
      </c>
      <c r="I973" s="38" t="s">
        <v>1796</v>
      </c>
      <c r="J973" s="42">
        <v>21</v>
      </c>
      <c r="K973" s="43">
        <v>46294.42</v>
      </c>
    </row>
    <row r="974" spans="1:11" x14ac:dyDescent="0.25">
      <c r="A974" s="38">
        <v>46060</v>
      </c>
      <c r="B974" s="33" t="s">
        <v>1321</v>
      </c>
      <c r="C974" s="36" t="s">
        <v>26</v>
      </c>
      <c r="D974" s="34" t="s">
        <v>426</v>
      </c>
      <c r="E974" s="34"/>
      <c r="F974" s="37">
        <v>48122.05</v>
      </c>
      <c r="G974" s="37">
        <v>48122.05</v>
      </c>
      <c r="H974" s="38">
        <v>46060</v>
      </c>
      <c r="I974" s="38" t="s">
        <v>1796</v>
      </c>
      <c r="J974" s="42">
        <v>21</v>
      </c>
      <c r="K974" s="43">
        <v>48122.05</v>
      </c>
    </row>
    <row r="975" spans="1:11" x14ac:dyDescent="0.25">
      <c r="A975" s="38">
        <v>46060</v>
      </c>
      <c r="B975" s="33" t="s">
        <v>1322</v>
      </c>
      <c r="C975" s="36" t="s">
        <v>26</v>
      </c>
      <c r="D975" s="34" t="s">
        <v>426</v>
      </c>
      <c r="E975" s="34"/>
      <c r="F975" s="37">
        <v>44466.79</v>
      </c>
      <c r="G975" s="37">
        <v>44466.79</v>
      </c>
      <c r="H975" s="38">
        <v>46060</v>
      </c>
      <c r="I975" s="38" t="s">
        <v>1796</v>
      </c>
      <c r="J975" s="42">
        <v>21</v>
      </c>
      <c r="K975" s="43">
        <v>44466.79</v>
      </c>
    </row>
    <row r="976" spans="1:11" x14ac:dyDescent="0.25">
      <c r="A976" s="38">
        <v>46060</v>
      </c>
      <c r="B976" s="33" t="s">
        <v>1323</v>
      </c>
      <c r="C976" s="36" t="s">
        <v>26</v>
      </c>
      <c r="D976" s="34" t="s">
        <v>426</v>
      </c>
      <c r="E976" s="34"/>
      <c r="F976" s="37">
        <v>44307.88</v>
      </c>
      <c r="G976" s="37">
        <v>44307.88</v>
      </c>
      <c r="H976" s="38">
        <v>46060</v>
      </c>
      <c r="I976" s="38" t="s">
        <v>1796</v>
      </c>
      <c r="J976" s="42">
        <v>21</v>
      </c>
      <c r="K976" s="43">
        <v>44307.88</v>
      </c>
    </row>
    <row r="977" spans="1:11" x14ac:dyDescent="0.25">
      <c r="A977" s="38">
        <v>46060</v>
      </c>
      <c r="B977" s="33" t="s">
        <v>1324</v>
      </c>
      <c r="C977" s="36" t="s">
        <v>26</v>
      </c>
      <c r="D977" s="34" t="s">
        <v>426</v>
      </c>
      <c r="E977" s="34"/>
      <c r="F977" s="37">
        <v>45245.53</v>
      </c>
      <c r="G977" s="37">
        <v>45245.53</v>
      </c>
      <c r="H977" s="38">
        <v>46060</v>
      </c>
      <c r="I977" s="38" t="s">
        <v>1796</v>
      </c>
      <c r="J977" s="42">
        <v>21</v>
      </c>
      <c r="K977" s="43">
        <v>45245.53</v>
      </c>
    </row>
    <row r="978" spans="1:11" x14ac:dyDescent="0.25">
      <c r="A978" s="38">
        <v>46060</v>
      </c>
      <c r="B978" s="33" t="s">
        <v>1325</v>
      </c>
      <c r="C978" s="36" t="s">
        <v>26</v>
      </c>
      <c r="D978" s="34" t="s">
        <v>426</v>
      </c>
      <c r="E978" s="34"/>
      <c r="F978" s="37">
        <v>50283.41</v>
      </c>
      <c r="G978" s="37">
        <v>50283.41</v>
      </c>
      <c r="H978" s="38">
        <v>46060</v>
      </c>
      <c r="I978" s="38" t="s">
        <v>1796</v>
      </c>
      <c r="J978" s="42">
        <v>21</v>
      </c>
      <c r="K978" s="43">
        <v>50283.41</v>
      </c>
    </row>
    <row r="979" spans="1:11" x14ac:dyDescent="0.25">
      <c r="A979" s="38">
        <v>46060</v>
      </c>
      <c r="B979" s="33" t="s">
        <v>1326</v>
      </c>
      <c r="C979" s="36" t="s">
        <v>40</v>
      </c>
      <c r="D979" s="34" t="s">
        <v>402</v>
      </c>
      <c r="E979" s="34"/>
      <c r="F979" s="37">
        <v>424057</v>
      </c>
      <c r="G979" s="37">
        <v>424057</v>
      </c>
      <c r="H979" s="38">
        <v>46060</v>
      </c>
      <c r="I979" s="38" t="s">
        <v>1796</v>
      </c>
      <c r="J979" s="42">
        <v>21</v>
      </c>
      <c r="K979" s="43">
        <v>424057</v>
      </c>
    </row>
    <row r="980" spans="1:11" x14ac:dyDescent="0.25">
      <c r="A980" s="38">
        <v>46060</v>
      </c>
      <c r="B980" s="33" t="s">
        <v>1327</v>
      </c>
      <c r="C980" s="36" t="s">
        <v>60</v>
      </c>
      <c r="D980" s="34" t="s">
        <v>402</v>
      </c>
      <c r="E980" s="34"/>
      <c r="F980" s="37">
        <v>1312</v>
      </c>
      <c r="G980" s="37">
        <v>1312</v>
      </c>
      <c r="H980" s="38">
        <v>46090</v>
      </c>
      <c r="I980" s="38" t="s">
        <v>1796</v>
      </c>
      <c r="J980" s="42">
        <f t="shared" ref="J980:J981" si="25">$I$1-A980</f>
        <v>21</v>
      </c>
      <c r="K980" s="43">
        <v>1312</v>
      </c>
    </row>
    <row r="981" spans="1:11" x14ac:dyDescent="0.25">
      <c r="A981" s="38">
        <v>46060</v>
      </c>
      <c r="B981" s="33" t="s">
        <v>1328</v>
      </c>
      <c r="C981" s="36" t="s">
        <v>62</v>
      </c>
      <c r="D981" s="34" t="s">
        <v>561</v>
      </c>
      <c r="E981" s="34"/>
      <c r="F981" s="37">
        <v>77794</v>
      </c>
      <c r="G981" s="37">
        <v>77794</v>
      </c>
      <c r="H981" s="38">
        <v>46120</v>
      </c>
      <c r="I981" s="38" t="s">
        <v>1796</v>
      </c>
      <c r="J981" s="42">
        <f t="shared" si="25"/>
        <v>21</v>
      </c>
      <c r="K981" s="43">
        <v>77794</v>
      </c>
    </row>
    <row r="982" spans="1:11" x14ac:dyDescent="0.25">
      <c r="A982" s="38">
        <v>46060</v>
      </c>
      <c r="B982" s="33" t="s">
        <v>1329</v>
      </c>
      <c r="C982" s="36" t="s">
        <v>117</v>
      </c>
      <c r="D982" s="34" t="s">
        <v>8</v>
      </c>
      <c r="E982" s="34"/>
      <c r="F982" s="39">
        <v>72003</v>
      </c>
      <c r="G982" s="39">
        <v>72003</v>
      </c>
      <c r="H982" s="38">
        <v>46060</v>
      </c>
      <c r="I982" s="38" t="s">
        <v>1796</v>
      </c>
      <c r="J982" s="42">
        <v>21</v>
      </c>
      <c r="K982" s="43">
        <v>-72003</v>
      </c>
    </row>
    <row r="983" spans="1:11" x14ac:dyDescent="0.25">
      <c r="A983" s="38">
        <v>46060</v>
      </c>
      <c r="B983" s="33" t="s">
        <v>1330</v>
      </c>
      <c r="C983" s="36" t="s">
        <v>126</v>
      </c>
      <c r="D983" s="34" t="s">
        <v>426</v>
      </c>
      <c r="E983" s="34"/>
      <c r="F983" s="37">
        <v>123913.13</v>
      </c>
      <c r="G983" s="37">
        <v>123913.13</v>
      </c>
      <c r="H983" s="38">
        <v>46075</v>
      </c>
      <c r="I983" s="38" t="s">
        <v>1796</v>
      </c>
      <c r="J983" s="42">
        <v>6</v>
      </c>
      <c r="K983" s="43">
        <v>123913.13</v>
      </c>
    </row>
    <row r="984" spans="1:11" x14ac:dyDescent="0.25">
      <c r="A984" s="38">
        <v>46060</v>
      </c>
      <c r="B984" s="33" t="s">
        <v>1331</v>
      </c>
      <c r="C984" s="36" t="s">
        <v>182</v>
      </c>
      <c r="D984" s="34" t="s">
        <v>553</v>
      </c>
      <c r="E984" s="34"/>
      <c r="F984" s="37">
        <v>11854</v>
      </c>
      <c r="G984" s="37">
        <v>11854</v>
      </c>
      <c r="H984" s="38">
        <v>46060</v>
      </c>
      <c r="I984" s="38" t="s">
        <v>1796</v>
      </c>
      <c r="J984" s="42">
        <v>21</v>
      </c>
      <c r="K984" s="43">
        <v>11854</v>
      </c>
    </row>
    <row r="985" spans="1:11" x14ac:dyDescent="0.25">
      <c r="A985" s="38">
        <v>46060</v>
      </c>
      <c r="B985" s="33" t="s">
        <v>1332</v>
      </c>
      <c r="C985" s="36" t="s">
        <v>209</v>
      </c>
      <c r="D985" s="34" t="s">
        <v>561</v>
      </c>
      <c r="E985" s="34"/>
      <c r="F985" s="37">
        <v>76038</v>
      </c>
      <c r="G985" s="37">
        <v>76038</v>
      </c>
      <c r="H985" s="38">
        <v>46090</v>
      </c>
      <c r="I985" s="38" t="s">
        <v>1796</v>
      </c>
      <c r="J985" s="42">
        <f>$I$1-A985</f>
        <v>21</v>
      </c>
      <c r="K985" s="43">
        <v>76038</v>
      </c>
    </row>
    <row r="986" spans="1:11" x14ac:dyDescent="0.25">
      <c r="A986" s="38">
        <v>46060</v>
      </c>
      <c r="B986" s="33" t="s">
        <v>1333</v>
      </c>
      <c r="C986" s="36" t="s">
        <v>258</v>
      </c>
      <c r="D986" s="34" t="s">
        <v>561</v>
      </c>
      <c r="E986" s="34"/>
      <c r="F986" s="37">
        <v>228276</v>
      </c>
      <c r="G986" s="37">
        <v>228276</v>
      </c>
      <c r="H986" s="38">
        <v>46060</v>
      </c>
      <c r="I986" s="38" t="s">
        <v>1796</v>
      </c>
      <c r="J986" s="42">
        <v>21</v>
      </c>
      <c r="K986" s="43">
        <v>228276</v>
      </c>
    </row>
    <row r="987" spans="1:11" x14ac:dyDescent="0.25">
      <c r="A987" s="38">
        <v>46060</v>
      </c>
      <c r="B987" s="33" t="s">
        <v>1334</v>
      </c>
      <c r="C987" s="36" t="s">
        <v>258</v>
      </c>
      <c r="D987" s="34" t="s">
        <v>561</v>
      </c>
      <c r="E987" s="34"/>
      <c r="F987" s="37">
        <v>167850</v>
      </c>
      <c r="G987" s="37">
        <v>167850</v>
      </c>
      <c r="H987" s="38">
        <v>46060</v>
      </c>
      <c r="I987" s="38" t="s">
        <v>1796</v>
      </c>
      <c r="J987" s="42">
        <v>21</v>
      </c>
      <c r="K987" s="43">
        <v>167850</v>
      </c>
    </row>
    <row r="988" spans="1:11" x14ac:dyDescent="0.25">
      <c r="A988" s="38">
        <v>46061</v>
      </c>
      <c r="B988" s="33" t="s">
        <v>1335</v>
      </c>
      <c r="C988" s="36" t="s">
        <v>26</v>
      </c>
      <c r="D988" s="34" t="s">
        <v>426</v>
      </c>
      <c r="E988" s="34"/>
      <c r="F988" s="37">
        <v>105703.01</v>
      </c>
      <c r="G988" s="37">
        <v>105703.01</v>
      </c>
      <c r="H988" s="38">
        <v>46061</v>
      </c>
      <c r="I988" s="38" t="s">
        <v>1796</v>
      </c>
      <c r="J988" s="42">
        <v>20</v>
      </c>
      <c r="K988" s="43">
        <v>105703.01</v>
      </c>
    </row>
    <row r="989" spans="1:11" x14ac:dyDescent="0.25">
      <c r="A989" s="38">
        <v>46061</v>
      </c>
      <c r="B989" s="33" t="s">
        <v>1336</v>
      </c>
      <c r="C989" s="36" t="s">
        <v>26</v>
      </c>
      <c r="D989" s="34" t="s">
        <v>426</v>
      </c>
      <c r="E989" s="34"/>
      <c r="F989" s="37">
        <v>50060.9</v>
      </c>
      <c r="G989" s="37">
        <v>50060.9</v>
      </c>
      <c r="H989" s="38">
        <v>46061</v>
      </c>
      <c r="I989" s="38" t="s">
        <v>1796</v>
      </c>
      <c r="J989" s="42">
        <v>20</v>
      </c>
      <c r="K989" s="43">
        <v>50060.9</v>
      </c>
    </row>
    <row r="990" spans="1:11" x14ac:dyDescent="0.25">
      <c r="A990" s="38">
        <v>46061</v>
      </c>
      <c r="B990" s="33" t="s">
        <v>1337</v>
      </c>
      <c r="C990" s="36" t="s">
        <v>26</v>
      </c>
      <c r="D990" s="34" t="s">
        <v>426</v>
      </c>
      <c r="E990" s="34"/>
      <c r="F990" s="37">
        <v>44546.26</v>
      </c>
      <c r="G990" s="37">
        <v>44546.26</v>
      </c>
      <c r="H990" s="38">
        <v>46061</v>
      </c>
      <c r="I990" s="38" t="s">
        <v>1796</v>
      </c>
      <c r="J990" s="42">
        <v>20</v>
      </c>
      <c r="K990" s="43">
        <v>44546.26</v>
      </c>
    </row>
    <row r="991" spans="1:11" x14ac:dyDescent="0.25">
      <c r="A991" s="38">
        <v>46061</v>
      </c>
      <c r="B991" s="33" t="s">
        <v>1338</v>
      </c>
      <c r="C991" s="36" t="s">
        <v>43</v>
      </c>
      <c r="D991" s="34" t="s">
        <v>642</v>
      </c>
      <c r="E991" s="34"/>
      <c r="F991" s="37">
        <v>58870</v>
      </c>
      <c r="G991" s="37">
        <v>58870</v>
      </c>
      <c r="H991" s="38">
        <v>46091</v>
      </c>
      <c r="I991" s="38" t="s">
        <v>1796</v>
      </c>
      <c r="J991" s="42">
        <f>$I$1-A991</f>
        <v>20</v>
      </c>
      <c r="K991" s="43">
        <v>58870</v>
      </c>
    </row>
    <row r="992" spans="1:11" x14ac:dyDescent="0.25">
      <c r="A992" s="38">
        <v>46061</v>
      </c>
      <c r="B992" s="33" t="s">
        <v>1339</v>
      </c>
      <c r="C992" s="36" t="s">
        <v>98</v>
      </c>
      <c r="D992" s="34" t="s">
        <v>449</v>
      </c>
      <c r="E992" s="34"/>
      <c r="F992" s="37">
        <v>1831352</v>
      </c>
      <c r="G992" s="37">
        <v>1831352</v>
      </c>
      <c r="H992" s="38">
        <v>46061</v>
      </c>
      <c r="I992" s="38" t="s">
        <v>1796</v>
      </c>
      <c r="J992" s="42">
        <v>20</v>
      </c>
      <c r="K992" s="43">
        <v>1831352</v>
      </c>
    </row>
    <row r="993" spans="1:11" x14ac:dyDescent="0.25">
      <c r="A993" s="38">
        <v>46061</v>
      </c>
      <c r="B993" s="33" t="s">
        <v>1340</v>
      </c>
      <c r="C993" s="36" t="s">
        <v>258</v>
      </c>
      <c r="D993" s="34" t="s">
        <v>561</v>
      </c>
      <c r="E993" s="34"/>
      <c r="F993" s="37">
        <v>198734</v>
      </c>
      <c r="G993" s="37">
        <v>198734</v>
      </c>
      <c r="H993" s="38">
        <v>46061</v>
      </c>
      <c r="I993" s="38" t="s">
        <v>1796</v>
      </c>
      <c r="J993" s="42">
        <v>20</v>
      </c>
      <c r="K993" s="43">
        <v>198734</v>
      </c>
    </row>
    <row r="994" spans="1:11" x14ac:dyDescent="0.25">
      <c r="A994" s="38">
        <v>46061</v>
      </c>
      <c r="B994" s="33" t="s">
        <v>1341</v>
      </c>
      <c r="C994" s="36" t="s">
        <v>258</v>
      </c>
      <c r="D994" s="34" t="s">
        <v>561</v>
      </c>
      <c r="E994" s="34"/>
      <c r="F994" s="37">
        <v>67140</v>
      </c>
      <c r="G994" s="37">
        <v>67140</v>
      </c>
      <c r="H994" s="38">
        <v>46061</v>
      </c>
      <c r="I994" s="38" t="s">
        <v>1796</v>
      </c>
      <c r="J994" s="42">
        <v>20</v>
      </c>
      <c r="K994" s="43">
        <v>67140</v>
      </c>
    </row>
    <row r="995" spans="1:11" x14ac:dyDescent="0.25">
      <c r="A995" s="38">
        <v>46062</v>
      </c>
      <c r="B995" s="33" t="s">
        <v>1342</v>
      </c>
      <c r="C995" s="36" t="s">
        <v>26</v>
      </c>
      <c r="D995" s="34" t="s">
        <v>426</v>
      </c>
      <c r="E995" s="34"/>
      <c r="F995" s="37">
        <v>70318.149999999994</v>
      </c>
      <c r="G995" s="37">
        <v>70318.149999999994</v>
      </c>
      <c r="H995" s="38">
        <v>46062</v>
      </c>
      <c r="I995" s="38" t="s">
        <v>1796</v>
      </c>
      <c r="J995" s="42">
        <v>19</v>
      </c>
      <c r="K995" s="43">
        <v>70318.149999999994</v>
      </c>
    </row>
    <row r="996" spans="1:11" x14ac:dyDescent="0.25">
      <c r="A996" s="38">
        <v>46062</v>
      </c>
      <c r="B996" s="33" t="s">
        <v>1343</v>
      </c>
      <c r="C996" s="36" t="s">
        <v>26</v>
      </c>
      <c r="D996" s="34" t="s">
        <v>426</v>
      </c>
      <c r="E996" s="34"/>
      <c r="F996" s="37">
        <v>45563.38</v>
      </c>
      <c r="G996" s="37">
        <v>45563.38</v>
      </c>
      <c r="H996" s="38">
        <v>46062</v>
      </c>
      <c r="I996" s="38" t="s">
        <v>1796</v>
      </c>
      <c r="J996" s="42">
        <v>19</v>
      </c>
      <c r="K996" s="43">
        <v>45563.38</v>
      </c>
    </row>
    <row r="997" spans="1:11" x14ac:dyDescent="0.25">
      <c r="A997" s="38">
        <v>46062</v>
      </c>
      <c r="B997" s="33" t="s">
        <v>1344</v>
      </c>
      <c r="C997" s="36" t="s">
        <v>26</v>
      </c>
      <c r="D997" s="34" t="s">
        <v>426</v>
      </c>
      <c r="E997" s="34"/>
      <c r="F997" s="37">
        <v>71722.38</v>
      </c>
      <c r="G997" s="37">
        <v>71722.38</v>
      </c>
      <c r="H997" s="38">
        <v>46062</v>
      </c>
      <c r="I997" s="38" t="s">
        <v>1796</v>
      </c>
      <c r="J997" s="42">
        <v>19</v>
      </c>
      <c r="K997" s="43">
        <v>71722.38</v>
      </c>
    </row>
    <row r="998" spans="1:11" x14ac:dyDescent="0.25">
      <c r="A998" s="38">
        <v>46062</v>
      </c>
      <c r="B998" s="33" t="s">
        <v>1345</v>
      </c>
      <c r="C998" s="36" t="s">
        <v>26</v>
      </c>
      <c r="D998" s="34" t="s">
        <v>426</v>
      </c>
      <c r="E998" s="34"/>
      <c r="F998" s="37">
        <v>48344.53</v>
      </c>
      <c r="G998" s="37">
        <v>48344.53</v>
      </c>
      <c r="H998" s="38">
        <v>46062</v>
      </c>
      <c r="I998" s="38" t="s">
        <v>1796</v>
      </c>
      <c r="J998" s="42">
        <v>19</v>
      </c>
      <c r="K998" s="43">
        <v>48344.53</v>
      </c>
    </row>
    <row r="999" spans="1:11" x14ac:dyDescent="0.25">
      <c r="A999" s="38">
        <v>46062</v>
      </c>
      <c r="B999" s="33" t="s">
        <v>1346</v>
      </c>
      <c r="C999" s="36" t="s">
        <v>80</v>
      </c>
      <c r="D999" s="34" t="s">
        <v>402</v>
      </c>
      <c r="E999" s="34"/>
      <c r="F999" s="37">
        <v>311735</v>
      </c>
      <c r="G999" s="37">
        <v>305835</v>
      </c>
      <c r="H999" s="38">
        <v>46092</v>
      </c>
      <c r="I999" s="38" t="s">
        <v>1796</v>
      </c>
      <c r="J999" s="42">
        <f>$I$1-A999</f>
        <v>19</v>
      </c>
      <c r="K999" s="43">
        <v>305835</v>
      </c>
    </row>
    <row r="1000" spans="1:11" x14ac:dyDescent="0.25">
      <c r="A1000" s="38">
        <v>46062</v>
      </c>
      <c r="B1000" s="33" t="s">
        <v>1347</v>
      </c>
      <c r="C1000" s="36" t="s">
        <v>153</v>
      </c>
      <c r="D1000" s="34" t="s">
        <v>433</v>
      </c>
      <c r="E1000" s="34"/>
      <c r="F1000" s="37">
        <v>70004.02</v>
      </c>
      <c r="G1000" s="37">
        <v>70004.02</v>
      </c>
      <c r="H1000" s="38">
        <v>46069</v>
      </c>
      <c r="I1000" s="38" t="s">
        <v>1796</v>
      </c>
      <c r="J1000" s="42">
        <v>12</v>
      </c>
      <c r="K1000" s="43">
        <v>70004.02</v>
      </c>
    </row>
    <row r="1001" spans="1:11" x14ac:dyDescent="0.25">
      <c r="A1001" s="38">
        <v>46062</v>
      </c>
      <c r="B1001" s="33" t="s">
        <v>1348</v>
      </c>
      <c r="C1001" s="36" t="s">
        <v>256</v>
      </c>
      <c r="D1001" s="34" t="s">
        <v>642</v>
      </c>
      <c r="E1001" s="34"/>
      <c r="F1001" s="37">
        <v>593</v>
      </c>
      <c r="G1001" s="37">
        <v>593</v>
      </c>
      <c r="H1001" s="38">
        <v>46062</v>
      </c>
      <c r="I1001" s="38" t="s">
        <v>1796</v>
      </c>
      <c r="J1001" s="42">
        <v>19</v>
      </c>
      <c r="K1001" s="43">
        <v>593</v>
      </c>
    </row>
    <row r="1002" spans="1:11" x14ac:dyDescent="0.25">
      <c r="A1002" s="38">
        <v>46062</v>
      </c>
      <c r="B1002" s="33" t="s">
        <v>1349</v>
      </c>
      <c r="C1002" s="36" t="s">
        <v>272</v>
      </c>
      <c r="D1002" s="34" t="s">
        <v>433</v>
      </c>
      <c r="E1002" s="34"/>
      <c r="F1002" s="37">
        <v>37136.089999999997</v>
      </c>
      <c r="G1002" s="37">
        <v>37136.089999999997</v>
      </c>
      <c r="H1002" s="38">
        <v>46069</v>
      </c>
      <c r="I1002" s="38" t="s">
        <v>1796</v>
      </c>
      <c r="J1002" s="42">
        <v>12</v>
      </c>
      <c r="K1002" s="43">
        <v>37136.089999999997</v>
      </c>
    </row>
    <row r="1003" spans="1:11" x14ac:dyDescent="0.25">
      <c r="A1003" s="38">
        <v>46062</v>
      </c>
      <c r="B1003" s="33" t="s">
        <v>1350</v>
      </c>
      <c r="C1003" s="36" t="s">
        <v>291</v>
      </c>
      <c r="D1003" s="34" t="s">
        <v>561</v>
      </c>
      <c r="E1003" s="34"/>
      <c r="F1003" s="37">
        <v>52920</v>
      </c>
      <c r="G1003" s="37">
        <v>52920</v>
      </c>
      <c r="H1003" s="38">
        <v>46062</v>
      </c>
      <c r="I1003" s="38" t="s">
        <v>1796</v>
      </c>
      <c r="J1003" s="42">
        <v>19</v>
      </c>
      <c r="K1003" s="43">
        <v>52920</v>
      </c>
    </row>
    <row r="1004" spans="1:11" x14ac:dyDescent="0.25">
      <c r="A1004" s="38">
        <v>46063</v>
      </c>
      <c r="B1004" s="33" t="s">
        <v>1351</v>
      </c>
      <c r="C1004" s="36" t="s">
        <v>26</v>
      </c>
      <c r="D1004" s="34" t="s">
        <v>426</v>
      </c>
      <c r="E1004" s="34"/>
      <c r="F1004" s="37">
        <v>46564.59</v>
      </c>
      <c r="G1004" s="37">
        <v>46564.59</v>
      </c>
      <c r="H1004" s="38">
        <v>46063</v>
      </c>
      <c r="I1004" s="38" t="s">
        <v>1796</v>
      </c>
      <c r="J1004" s="42">
        <v>18</v>
      </c>
      <c r="K1004" s="43">
        <v>46564.59</v>
      </c>
    </row>
    <row r="1005" spans="1:11" x14ac:dyDescent="0.25">
      <c r="A1005" s="38">
        <v>46063</v>
      </c>
      <c r="B1005" s="33" t="s">
        <v>1352</v>
      </c>
      <c r="C1005" s="36" t="s">
        <v>26</v>
      </c>
      <c r="D1005" s="34" t="s">
        <v>426</v>
      </c>
      <c r="E1005" s="34"/>
      <c r="F1005" s="37">
        <v>71592.05</v>
      </c>
      <c r="G1005" s="37">
        <v>71592.05</v>
      </c>
      <c r="H1005" s="38">
        <v>46063</v>
      </c>
      <c r="I1005" s="38" t="s">
        <v>1796</v>
      </c>
      <c r="J1005" s="42">
        <v>18</v>
      </c>
      <c r="K1005" s="43">
        <v>71592.05</v>
      </c>
    </row>
    <row r="1006" spans="1:11" x14ac:dyDescent="0.25">
      <c r="A1006" s="38">
        <v>46063</v>
      </c>
      <c r="B1006" s="33" t="s">
        <v>1353</v>
      </c>
      <c r="C1006" s="36" t="s">
        <v>26</v>
      </c>
      <c r="D1006" s="34" t="s">
        <v>426</v>
      </c>
      <c r="E1006" s="34"/>
      <c r="F1006" s="37">
        <v>45102.48</v>
      </c>
      <c r="G1006" s="37">
        <v>45102.48</v>
      </c>
      <c r="H1006" s="38">
        <v>46063</v>
      </c>
      <c r="I1006" s="38" t="s">
        <v>1796</v>
      </c>
      <c r="J1006" s="42">
        <v>18</v>
      </c>
      <c r="K1006" s="43">
        <v>45102.48</v>
      </c>
    </row>
    <row r="1007" spans="1:11" x14ac:dyDescent="0.25">
      <c r="A1007" s="38">
        <v>46063</v>
      </c>
      <c r="B1007" s="33" t="s">
        <v>1354</v>
      </c>
      <c r="C1007" s="36" t="s">
        <v>26</v>
      </c>
      <c r="D1007" s="34" t="s">
        <v>426</v>
      </c>
      <c r="E1007" s="34"/>
      <c r="F1007" s="37">
        <v>71375.070000000007</v>
      </c>
      <c r="G1007" s="37">
        <v>71375.070000000007</v>
      </c>
      <c r="H1007" s="38">
        <v>46063</v>
      </c>
      <c r="I1007" s="38" t="s">
        <v>1796</v>
      </c>
      <c r="J1007" s="42">
        <v>18</v>
      </c>
      <c r="K1007" s="43">
        <v>71375.070000000007</v>
      </c>
    </row>
    <row r="1008" spans="1:11" x14ac:dyDescent="0.25">
      <c r="A1008" s="38">
        <v>46063</v>
      </c>
      <c r="B1008" s="33" t="s">
        <v>1355</v>
      </c>
      <c r="C1008" s="36" t="s">
        <v>26</v>
      </c>
      <c r="D1008" s="34" t="s">
        <v>426</v>
      </c>
      <c r="E1008" s="34"/>
      <c r="F1008" s="37">
        <v>43211.3</v>
      </c>
      <c r="G1008" s="37">
        <v>43211.3</v>
      </c>
      <c r="H1008" s="38">
        <v>46063</v>
      </c>
      <c r="I1008" s="38" t="s">
        <v>1796</v>
      </c>
      <c r="J1008" s="42">
        <v>18</v>
      </c>
      <c r="K1008" s="43">
        <v>43211.3</v>
      </c>
    </row>
    <row r="1009" spans="1:11" x14ac:dyDescent="0.25">
      <c r="A1009" s="38">
        <v>46063</v>
      </c>
      <c r="B1009" s="33" t="s">
        <v>1356</v>
      </c>
      <c r="C1009" s="36" t="s">
        <v>26</v>
      </c>
      <c r="D1009" s="34" t="s">
        <v>426</v>
      </c>
      <c r="E1009" s="34"/>
      <c r="F1009" s="37">
        <v>50950.87</v>
      </c>
      <c r="G1009" s="37">
        <v>50950.87</v>
      </c>
      <c r="H1009" s="38">
        <v>46063</v>
      </c>
      <c r="I1009" s="38" t="s">
        <v>1796</v>
      </c>
      <c r="J1009" s="42">
        <v>18</v>
      </c>
      <c r="K1009" s="43">
        <v>50950.87</v>
      </c>
    </row>
    <row r="1010" spans="1:11" x14ac:dyDescent="0.25">
      <c r="A1010" s="38">
        <v>46063</v>
      </c>
      <c r="B1010" s="33" t="s">
        <v>1357</v>
      </c>
      <c r="C1010" s="36" t="s">
        <v>26</v>
      </c>
      <c r="D1010" s="34" t="s">
        <v>426</v>
      </c>
      <c r="E1010" s="34"/>
      <c r="F1010" s="37">
        <v>45642.83</v>
      </c>
      <c r="G1010" s="37">
        <v>45642.83</v>
      </c>
      <c r="H1010" s="38">
        <v>46063</v>
      </c>
      <c r="I1010" s="38" t="s">
        <v>1796</v>
      </c>
      <c r="J1010" s="42">
        <v>18</v>
      </c>
      <c r="K1010" s="43">
        <v>45642.83</v>
      </c>
    </row>
    <row r="1011" spans="1:11" x14ac:dyDescent="0.25">
      <c r="A1011" s="38">
        <v>46063</v>
      </c>
      <c r="B1011" s="33" t="s">
        <v>1358</v>
      </c>
      <c r="C1011" s="36" t="s">
        <v>43</v>
      </c>
      <c r="D1011" s="34" t="s">
        <v>642</v>
      </c>
      <c r="E1011" s="34"/>
      <c r="F1011" s="37">
        <v>58870</v>
      </c>
      <c r="G1011" s="37">
        <v>58870</v>
      </c>
      <c r="H1011" s="38">
        <v>46093</v>
      </c>
      <c r="I1011" s="38" t="s">
        <v>1796</v>
      </c>
      <c r="J1011" s="42">
        <f>$I$1-A1011</f>
        <v>18</v>
      </c>
      <c r="K1011" s="43">
        <v>58870</v>
      </c>
    </row>
    <row r="1012" spans="1:11" x14ac:dyDescent="0.25">
      <c r="A1012" s="38">
        <v>46063</v>
      </c>
      <c r="B1012" s="33" t="s">
        <v>1359</v>
      </c>
      <c r="C1012" s="36" t="s">
        <v>49</v>
      </c>
      <c r="D1012" s="34" t="s">
        <v>412</v>
      </c>
      <c r="E1012" s="34"/>
      <c r="F1012" s="37">
        <v>110660.88</v>
      </c>
      <c r="G1012" s="37">
        <v>110660.88</v>
      </c>
      <c r="H1012" s="38">
        <v>46063</v>
      </c>
      <c r="I1012" s="38" t="s">
        <v>1796</v>
      </c>
      <c r="J1012" s="42">
        <v>18</v>
      </c>
      <c r="K1012" s="43">
        <v>110660.88</v>
      </c>
    </row>
    <row r="1013" spans="1:11" x14ac:dyDescent="0.25">
      <c r="A1013" s="38">
        <v>46063</v>
      </c>
      <c r="B1013" s="33" t="s">
        <v>1360</v>
      </c>
      <c r="C1013" s="36" t="s">
        <v>51</v>
      </c>
      <c r="D1013" s="34" t="s">
        <v>412</v>
      </c>
      <c r="E1013" s="34"/>
      <c r="F1013" s="37">
        <v>116296.01</v>
      </c>
      <c r="G1013" s="37">
        <v>116296.01</v>
      </c>
      <c r="H1013" s="38">
        <v>46063</v>
      </c>
      <c r="I1013" s="38" t="s">
        <v>1796</v>
      </c>
      <c r="J1013" s="42">
        <v>18</v>
      </c>
      <c r="K1013" s="43">
        <v>116296.01</v>
      </c>
    </row>
    <row r="1014" spans="1:11" x14ac:dyDescent="0.25">
      <c r="A1014" s="38">
        <v>46063</v>
      </c>
      <c r="B1014" s="33" t="s">
        <v>1361</v>
      </c>
      <c r="C1014" s="36" t="s">
        <v>51</v>
      </c>
      <c r="D1014" s="34" t="s">
        <v>412</v>
      </c>
      <c r="E1014" s="34"/>
      <c r="F1014" s="37">
        <v>132831.46</v>
      </c>
      <c r="G1014" s="37">
        <v>132831.46</v>
      </c>
      <c r="H1014" s="38">
        <v>46063</v>
      </c>
      <c r="I1014" s="38" t="s">
        <v>1796</v>
      </c>
      <c r="J1014" s="42">
        <v>18</v>
      </c>
      <c r="K1014" s="43">
        <v>132831.46</v>
      </c>
    </row>
    <row r="1015" spans="1:11" x14ac:dyDescent="0.25">
      <c r="A1015" s="38">
        <v>46063</v>
      </c>
      <c r="B1015" s="33" t="s">
        <v>1362</v>
      </c>
      <c r="C1015" s="36" t="s">
        <v>56</v>
      </c>
      <c r="D1015" s="34" t="s">
        <v>433</v>
      </c>
      <c r="E1015" s="34"/>
      <c r="F1015" s="37">
        <v>185826.1</v>
      </c>
      <c r="G1015" s="37">
        <v>36703.81</v>
      </c>
      <c r="H1015" s="38">
        <v>46063</v>
      </c>
      <c r="I1015" s="38" t="s">
        <v>1796</v>
      </c>
      <c r="J1015" s="42">
        <v>18</v>
      </c>
      <c r="K1015" s="43">
        <v>36703.81</v>
      </c>
    </row>
    <row r="1016" spans="1:11" x14ac:dyDescent="0.25">
      <c r="A1016" s="38">
        <v>46063</v>
      </c>
      <c r="B1016" s="33" t="s">
        <v>1363</v>
      </c>
      <c r="C1016" s="36" t="s">
        <v>56</v>
      </c>
      <c r="D1016" s="34" t="s">
        <v>433</v>
      </c>
      <c r="E1016" s="34"/>
      <c r="F1016" s="37">
        <v>162689.42000000001</v>
      </c>
      <c r="G1016" s="37">
        <v>162689.42000000001</v>
      </c>
      <c r="H1016" s="38">
        <v>46063</v>
      </c>
      <c r="I1016" s="38" t="s">
        <v>1796</v>
      </c>
      <c r="J1016" s="42">
        <v>18</v>
      </c>
      <c r="K1016" s="43">
        <v>162689.42000000001</v>
      </c>
    </row>
    <row r="1017" spans="1:11" x14ac:dyDescent="0.25">
      <c r="A1017" s="38">
        <v>46063</v>
      </c>
      <c r="B1017" s="33" t="s">
        <v>1364</v>
      </c>
      <c r="C1017" s="36" t="s">
        <v>62</v>
      </c>
      <c r="D1017" s="34" t="s">
        <v>561</v>
      </c>
      <c r="E1017" s="34"/>
      <c r="F1017" s="37">
        <v>76827</v>
      </c>
      <c r="G1017" s="37">
        <v>76827</v>
      </c>
      <c r="H1017" s="38">
        <v>46123</v>
      </c>
      <c r="I1017" s="38" t="s">
        <v>1796</v>
      </c>
      <c r="J1017" s="42">
        <f t="shared" ref="J1017:J1018" si="26">$I$1-A1017</f>
        <v>18</v>
      </c>
      <c r="K1017" s="43">
        <v>76827</v>
      </c>
    </row>
    <row r="1018" spans="1:11" x14ac:dyDescent="0.25">
      <c r="A1018" s="38">
        <v>46063</v>
      </c>
      <c r="B1018" s="33" t="s">
        <v>1365</v>
      </c>
      <c r="C1018" s="36" t="s">
        <v>62</v>
      </c>
      <c r="D1018" s="34" t="s">
        <v>561</v>
      </c>
      <c r="E1018" s="34"/>
      <c r="F1018" s="37">
        <v>90798</v>
      </c>
      <c r="G1018" s="37">
        <v>90798</v>
      </c>
      <c r="H1018" s="38">
        <v>46123</v>
      </c>
      <c r="I1018" s="38" t="s">
        <v>1796</v>
      </c>
      <c r="J1018" s="42">
        <f t="shared" si="26"/>
        <v>18</v>
      </c>
      <c r="K1018" s="43">
        <v>90798</v>
      </c>
    </row>
    <row r="1019" spans="1:11" x14ac:dyDescent="0.25">
      <c r="A1019" s="38">
        <v>46063</v>
      </c>
      <c r="B1019" s="33" t="s">
        <v>706</v>
      </c>
      <c r="C1019" s="36" t="s">
        <v>106</v>
      </c>
      <c r="D1019" s="34" t="s">
        <v>402</v>
      </c>
      <c r="E1019" s="34"/>
      <c r="F1019" s="37">
        <v>13460</v>
      </c>
      <c r="G1019" s="37">
        <v>13460</v>
      </c>
      <c r="H1019" s="38">
        <v>46063</v>
      </c>
      <c r="I1019" s="38" t="s">
        <v>1796</v>
      </c>
      <c r="J1019" s="42">
        <v>18</v>
      </c>
      <c r="K1019" s="43">
        <v>13460</v>
      </c>
    </row>
    <row r="1020" spans="1:11" x14ac:dyDescent="0.25">
      <c r="A1020" s="38">
        <v>46063</v>
      </c>
      <c r="B1020" s="33" t="s">
        <v>1366</v>
      </c>
      <c r="C1020" s="36" t="s">
        <v>126</v>
      </c>
      <c r="D1020" s="34" t="s">
        <v>426</v>
      </c>
      <c r="E1020" s="34"/>
      <c r="F1020" s="37">
        <v>120384.55</v>
      </c>
      <c r="G1020" s="37">
        <v>120384.55</v>
      </c>
      <c r="H1020" s="38">
        <v>46078</v>
      </c>
      <c r="I1020" s="38" t="s">
        <v>1796</v>
      </c>
      <c r="J1020" s="42">
        <v>3</v>
      </c>
      <c r="K1020" s="43">
        <v>120384.55</v>
      </c>
    </row>
    <row r="1021" spans="1:11" x14ac:dyDescent="0.25">
      <c r="A1021" s="38">
        <v>46063</v>
      </c>
      <c r="B1021" s="33" t="s">
        <v>1367</v>
      </c>
      <c r="C1021" s="36" t="s">
        <v>225</v>
      </c>
      <c r="D1021" s="34" t="s">
        <v>426</v>
      </c>
      <c r="E1021" s="34"/>
      <c r="F1021" s="37">
        <v>526336.85</v>
      </c>
      <c r="G1021" s="37">
        <v>526336.85</v>
      </c>
      <c r="H1021" s="38">
        <v>46063</v>
      </c>
      <c r="I1021" s="38" t="s">
        <v>1796</v>
      </c>
      <c r="J1021" s="42">
        <v>18</v>
      </c>
      <c r="K1021" s="43">
        <v>526336.85</v>
      </c>
    </row>
    <row r="1022" spans="1:11" x14ac:dyDescent="0.25">
      <c r="A1022" s="38">
        <v>46063</v>
      </c>
      <c r="B1022" s="33" t="s">
        <v>1368</v>
      </c>
      <c r="C1022" s="36" t="s">
        <v>234</v>
      </c>
      <c r="D1022" s="34" t="s">
        <v>561</v>
      </c>
      <c r="E1022" s="34"/>
      <c r="F1022" s="39">
        <v>400000</v>
      </c>
      <c r="G1022" s="39">
        <v>400000</v>
      </c>
      <c r="H1022" s="38">
        <v>46093</v>
      </c>
      <c r="I1022" s="38" t="s">
        <v>1796</v>
      </c>
      <c r="J1022" s="42">
        <f>$I$1-A1022</f>
        <v>18</v>
      </c>
      <c r="K1022" s="43">
        <v>-400000</v>
      </c>
    </row>
    <row r="1023" spans="1:11" x14ac:dyDescent="0.25">
      <c r="A1023" s="38">
        <v>46063</v>
      </c>
      <c r="B1023" s="33" t="s">
        <v>1369</v>
      </c>
      <c r="C1023" s="36" t="s">
        <v>245</v>
      </c>
      <c r="D1023" s="34" t="s">
        <v>642</v>
      </c>
      <c r="E1023" s="34"/>
      <c r="F1023" s="37">
        <v>60900</v>
      </c>
      <c r="G1023" s="37">
        <v>60900</v>
      </c>
      <c r="H1023" s="38">
        <v>46063</v>
      </c>
      <c r="I1023" s="38" t="s">
        <v>1796</v>
      </c>
      <c r="J1023" s="42">
        <v>18</v>
      </c>
      <c r="K1023" s="43">
        <v>60900</v>
      </c>
    </row>
    <row r="1024" spans="1:11" x14ac:dyDescent="0.25">
      <c r="A1024" s="38">
        <v>46063</v>
      </c>
      <c r="B1024" s="33" t="s">
        <v>1370</v>
      </c>
      <c r="C1024" s="36" t="s">
        <v>258</v>
      </c>
      <c r="D1024" s="34" t="s">
        <v>561</v>
      </c>
      <c r="E1024" s="34"/>
      <c r="F1024" s="37">
        <v>201420</v>
      </c>
      <c r="G1024" s="37">
        <v>201420</v>
      </c>
      <c r="H1024" s="38">
        <v>46063</v>
      </c>
      <c r="I1024" s="38" t="s">
        <v>1796</v>
      </c>
      <c r="J1024" s="42">
        <v>18</v>
      </c>
      <c r="K1024" s="43">
        <v>201420</v>
      </c>
    </row>
    <row r="1025" spans="1:11" x14ac:dyDescent="0.25">
      <c r="A1025" s="38">
        <v>46063</v>
      </c>
      <c r="B1025" s="33" t="s">
        <v>1371</v>
      </c>
      <c r="C1025" s="36" t="s">
        <v>291</v>
      </c>
      <c r="D1025" s="34" t="s">
        <v>561</v>
      </c>
      <c r="E1025" s="34"/>
      <c r="F1025" s="37">
        <v>52920</v>
      </c>
      <c r="G1025" s="37">
        <v>52920</v>
      </c>
      <c r="H1025" s="38">
        <v>46063</v>
      </c>
      <c r="I1025" s="38" t="s">
        <v>1796</v>
      </c>
      <c r="J1025" s="42">
        <v>18</v>
      </c>
      <c r="K1025" s="43">
        <v>52920</v>
      </c>
    </row>
    <row r="1026" spans="1:11" x14ac:dyDescent="0.25">
      <c r="A1026" s="38">
        <v>46063</v>
      </c>
      <c r="B1026" s="33" t="s">
        <v>1372</v>
      </c>
      <c r="C1026" s="36" t="s">
        <v>295</v>
      </c>
      <c r="D1026" s="34" t="s">
        <v>433</v>
      </c>
      <c r="E1026" s="34"/>
      <c r="F1026" s="37">
        <v>106731</v>
      </c>
      <c r="G1026" s="37">
        <v>106731</v>
      </c>
      <c r="H1026" s="38">
        <v>46063</v>
      </c>
      <c r="I1026" s="38" t="s">
        <v>1796</v>
      </c>
      <c r="J1026" s="42">
        <v>18</v>
      </c>
      <c r="K1026" s="43">
        <v>106731</v>
      </c>
    </row>
    <row r="1027" spans="1:11" x14ac:dyDescent="0.25">
      <c r="A1027" s="38">
        <v>46063</v>
      </c>
      <c r="B1027" s="33" t="s">
        <v>1373</v>
      </c>
      <c r="C1027" s="36" t="s">
        <v>302</v>
      </c>
      <c r="D1027" s="34" t="s">
        <v>433</v>
      </c>
      <c r="E1027" s="34"/>
      <c r="F1027" s="39">
        <v>487370.89</v>
      </c>
      <c r="G1027" s="39">
        <v>0.89</v>
      </c>
      <c r="H1027" s="38">
        <v>46063</v>
      </c>
      <c r="I1027" s="38" t="s">
        <v>1796</v>
      </c>
      <c r="J1027" s="42">
        <v>18</v>
      </c>
      <c r="K1027" s="43">
        <v>-0.89</v>
      </c>
    </row>
    <row r="1028" spans="1:11" x14ac:dyDescent="0.25">
      <c r="A1028" s="38">
        <v>46064</v>
      </c>
      <c r="B1028" s="33" t="s">
        <v>1374</v>
      </c>
      <c r="C1028" s="36" t="s">
        <v>26</v>
      </c>
      <c r="D1028" s="34" t="s">
        <v>426</v>
      </c>
      <c r="E1028" s="34"/>
      <c r="F1028" s="37">
        <v>45166.06</v>
      </c>
      <c r="G1028" s="37">
        <v>45166.06</v>
      </c>
      <c r="H1028" s="38">
        <v>46064</v>
      </c>
      <c r="I1028" s="38" t="s">
        <v>1796</v>
      </c>
      <c r="J1028" s="42">
        <v>17</v>
      </c>
      <c r="K1028" s="43">
        <v>45166.06</v>
      </c>
    </row>
    <row r="1029" spans="1:11" x14ac:dyDescent="0.25">
      <c r="A1029" s="38">
        <v>46064</v>
      </c>
      <c r="B1029" s="33" t="s">
        <v>1375</v>
      </c>
      <c r="C1029" s="36" t="s">
        <v>26</v>
      </c>
      <c r="D1029" s="34" t="s">
        <v>426</v>
      </c>
      <c r="E1029" s="34"/>
      <c r="F1029" s="37">
        <v>47263.839999999997</v>
      </c>
      <c r="G1029" s="37">
        <v>47263.839999999997</v>
      </c>
      <c r="H1029" s="38">
        <v>46064</v>
      </c>
      <c r="I1029" s="38" t="s">
        <v>1796</v>
      </c>
      <c r="J1029" s="42">
        <v>17</v>
      </c>
      <c r="K1029" s="43">
        <v>47263.839999999997</v>
      </c>
    </row>
    <row r="1030" spans="1:11" x14ac:dyDescent="0.25">
      <c r="A1030" s="38">
        <v>46064</v>
      </c>
      <c r="B1030" s="33" t="s">
        <v>1376</v>
      </c>
      <c r="C1030" s="36" t="s">
        <v>26</v>
      </c>
      <c r="D1030" s="34" t="s">
        <v>426</v>
      </c>
      <c r="E1030" s="34"/>
      <c r="F1030" s="37">
        <v>44895.89</v>
      </c>
      <c r="G1030" s="37">
        <v>44895.89</v>
      </c>
      <c r="H1030" s="38">
        <v>46064</v>
      </c>
      <c r="I1030" s="38" t="s">
        <v>1796</v>
      </c>
      <c r="J1030" s="42">
        <v>17</v>
      </c>
      <c r="K1030" s="43">
        <v>44895.89</v>
      </c>
    </row>
    <row r="1031" spans="1:11" x14ac:dyDescent="0.25">
      <c r="A1031" s="38">
        <v>46064</v>
      </c>
      <c r="B1031" s="33" t="s">
        <v>1377</v>
      </c>
      <c r="C1031" s="36" t="s">
        <v>43</v>
      </c>
      <c r="D1031" s="34" t="s">
        <v>642</v>
      </c>
      <c r="E1031" s="34"/>
      <c r="F1031" s="37">
        <v>73080</v>
      </c>
      <c r="G1031" s="37">
        <v>73080</v>
      </c>
      <c r="H1031" s="38">
        <v>46094</v>
      </c>
      <c r="I1031" s="38" t="s">
        <v>1796</v>
      </c>
      <c r="J1031" s="42">
        <f t="shared" ref="J1031:J1033" si="27">$I$1-A1031</f>
        <v>17</v>
      </c>
      <c r="K1031" s="43">
        <v>73080</v>
      </c>
    </row>
    <row r="1032" spans="1:11" x14ac:dyDescent="0.25">
      <c r="A1032" s="38">
        <v>46064</v>
      </c>
      <c r="B1032" s="33" t="s">
        <v>1378</v>
      </c>
      <c r="C1032" s="36" t="s">
        <v>62</v>
      </c>
      <c r="D1032" s="34" t="s">
        <v>561</v>
      </c>
      <c r="E1032" s="34"/>
      <c r="F1032" s="37">
        <v>77089</v>
      </c>
      <c r="G1032" s="37">
        <v>77089</v>
      </c>
      <c r="H1032" s="38">
        <v>46124</v>
      </c>
      <c r="I1032" s="38" t="s">
        <v>1796</v>
      </c>
      <c r="J1032" s="42">
        <f t="shared" si="27"/>
        <v>17</v>
      </c>
      <c r="K1032" s="43">
        <v>77089</v>
      </c>
    </row>
    <row r="1033" spans="1:11" x14ac:dyDescent="0.25">
      <c r="A1033" s="38">
        <v>46064</v>
      </c>
      <c r="B1033" s="33" t="s">
        <v>1379</v>
      </c>
      <c r="C1033" s="36" t="s">
        <v>62</v>
      </c>
      <c r="D1033" s="34" t="s">
        <v>561</v>
      </c>
      <c r="E1033" s="34"/>
      <c r="F1033" s="37">
        <v>76645</v>
      </c>
      <c r="G1033" s="37">
        <v>76645</v>
      </c>
      <c r="H1033" s="38">
        <v>46124</v>
      </c>
      <c r="I1033" s="38" t="s">
        <v>1796</v>
      </c>
      <c r="J1033" s="42">
        <f t="shared" si="27"/>
        <v>17</v>
      </c>
      <c r="K1033" s="43">
        <v>76645</v>
      </c>
    </row>
    <row r="1034" spans="1:11" x14ac:dyDescent="0.25">
      <c r="A1034" s="38">
        <v>46064</v>
      </c>
      <c r="B1034" s="33" t="s">
        <v>1380</v>
      </c>
      <c r="C1034" s="36" t="s">
        <v>126</v>
      </c>
      <c r="D1034" s="34" t="s">
        <v>426</v>
      </c>
      <c r="E1034" s="34"/>
      <c r="F1034" s="37">
        <v>116879.58</v>
      </c>
      <c r="G1034" s="37">
        <v>116879.58</v>
      </c>
      <c r="H1034" s="38">
        <v>46079</v>
      </c>
      <c r="I1034" s="38" t="s">
        <v>1796</v>
      </c>
      <c r="J1034" s="42">
        <v>2</v>
      </c>
      <c r="K1034" s="43">
        <v>116879.58</v>
      </c>
    </row>
    <row r="1035" spans="1:11" x14ac:dyDescent="0.25">
      <c r="A1035" s="38">
        <v>46064</v>
      </c>
      <c r="B1035" s="33" t="s">
        <v>1381</v>
      </c>
      <c r="C1035" s="36" t="s">
        <v>291</v>
      </c>
      <c r="D1035" s="34" t="s">
        <v>561</v>
      </c>
      <c r="E1035" s="34"/>
      <c r="F1035" s="37">
        <v>12250</v>
      </c>
      <c r="G1035" s="37">
        <v>12250</v>
      </c>
      <c r="H1035" s="38">
        <v>46064</v>
      </c>
      <c r="I1035" s="38" t="s">
        <v>1796</v>
      </c>
      <c r="J1035" s="42">
        <v>17</v>
      </c>
      <c r="K1035" s="43">
        <v>12250</v>
      </c>
    </row>
    <row r="1036" spans="1:11" x14ac:dyDescent="0.25">
      <c r="A1036" s="38">
        <v>46065</v>
      </c>
      <c r="B1036" s="33" t="s">
        <v>1382</v>
      </c>
      <c r="C1036" s="36" t="s">
        <v>26</v>
      </c>
      <c r="D1036" s="34" t="s">
        <v>426</v>
      </c>
      <c r="E1036" s="34"/>
      <c r="F1036" s="37">
        <v>47041.36</v>
      </c>
      <c r="G1036" s="37">
        <v>47041.36</v>
      </c>
      <c r="H1036" s="38">
        <v>46065</v>
      </c>
      <c r="I1036" s="38" t="s">
        <v>1796</v>
      </c>
      <c r="J1036" s="42">
        <v>16</v>
      </c>
      <c r="K1036" s="43">
        <v>47041.36</v>
      </c>
    </row>
    <row r="1037" spans="1:11" x14ac:dyDescent="0.25">
      <c r="A1037" s="38">
        <v>46065</v>
      </c>
      <c r="B1037" s="33" t="s">
        <v>1383</v>
      </c>
      <c r="C1037" s="36" t="s">
        <v>26</v>
      </c>
      <c r="D1037" s="34" t="s">
        <v>426</v>
      </c>
      <c r="E1037" s="34"/>
      <c r="F1037" s="37">
        <v>47486.35</v>
      </c>
      <c r="G1037" s="37">
        <v>47486.35</v>
      </c>
      <c r="H1037" s="38">
        <v>46065</v>
      </c>
      <c r="I1037" s="38" t="s">
        <v>1796</v>
      </c>
      <c r="J1037" s="42">
        <v>16</v>
      </c>
      <c r="K1037" s="43">
        <v>47486.35</v>
      </c>
    </row>
    <row r="1038" spans="1:11" x14ac:dyDescent="0.25">
      <c r="A1038" s="38">
        <v>46065</v>
      </c>
      <c r="B1038" s="33" t="s">
        <v>1384</v>
      </c>
      <c r="C1038" s="36" t="s">
        <v>26</v>
      </c>
      <c r="D1038" s="34" t="s">
        <v>426</v>
      </c>
      <c r="E1038" s="34"/>
      <c r="F1038" s="37">
        <v>74226.720000000001</v>
      </c>
      <c r="G1038" s="37">
        <v>74226.720000000001</v>
      </c>
      <c r="H1038" s="38">
        <v>46065</v>
      </c>
      <c r="I1038" s="38" t="s">
        <v>1796</v>
      </c>
      <c r="J1038" s="42">
        <v>16</v>
      </c>
      <c r="K1038" s="43">
        <v>74226.720000000001</v>
      </c>
    </row>
    <row r="1039" spans="1:11" x14ac:dyDescent="0.25">
      <c r="A1039" s="38">
        <v>46065</v>
      </c>
      <c r="B1039" s="33" t="s">
        <v>1385</v>
      </c>
      <c r="C1039" s="36" t="s">
        <v>26</v>
      </c>
      <c r="D1039" s="34" t="s">
        <v>426</v>
      </c>
      <c r="E1039" s="34"/>
      <c r="F1039" s="37">
        <v>43576.82</v>
      </c>
      <c r="G1039" s="37">
        <v>43576.82</v>
      </c>
      <c r="H1039" s="38">
        <v>46065</v>
      </c>
      <c r="I1039" s="38" t="s">
        <v>1796</v>
      </c>
      <c r="J1039" s="42">
        <v>16</v>
      </c>
      <c r="K1039" s="43">
        <v>43576.82</v>
      </c>
    </row>
    <row r="1040" spans="1:11" x14ac:dyDescent="0.25">
      <c r="A1040" s="38">
        <v>46065</v>
      </c>
      <c r="B1040" s="33" t="s">
        <v>1386</v>
      </c>
      <c r="C1040" s="36" t="s">
        <v>43</v>
      </c>
      <c r="D1040" s="34" t="s">
        <v>642</v>
      </c>
      <c r="E1040" s="34"/>
      <c r="F1040" s="37">
        <v>73080</v>
      </c>
      <c r="G1040" s="37">
        <v>73080</v>
      </c>
      <c r="H1040" s="38">
        <v>46095</v>
      </c>
      <c r="I1040" s="38" t="s">
        <v>1796</v>
      </c>
      <c r="J1040" s="42">
        <f>$I$1-A1040</f>
        <v>16</v>
      </c>
      <c r="K1040" s="43">
        <v>73080</v>
      </c>
    </row>
    <row r="1041" spans="1:11" x14ac:dyDescent="0.25">
      <c r="A1041" s="38">
        <v>46065</v>
      </c>
      <c r="B1041" s="33" t="s">
        <v>1387</v>
      </c>
      <c r="C1041" s="36" t="s">
        <v>115</v>
      </c>
      <c r="D1041" s="34" t="s">
        <v>642</v>
      </c>
      <c r="E1041" s="34"/>
      <c r="F1041" s="39">
        <v>250000</v>
      </c>
      <c r="G1041" s="37">
        <v>27453.599999999999</v>
      </c>
      <c r="H1041" s="38">
        <v>46065</v>
      </c>
      <c r="I1041" s="38" t="s">
        <v>1796</v>
      </c>
      <c r="J1041" s="42">
        <v>16</v>
      </c>
      <c r="K1041" s="43">
        <v>27453.599999999999</v>
      </c>
    </row>
    <row r="1042" spans="1:11" x14ac:dyDescent="0.25">
      <c r="A1042" s="38">
        <v>46065</v>
      </c>
      <c r="B1042" s="33" t="s">
        <v>1388</v>
      </c>
      <c r="C1042" s="36" t="s">
        <v>126</v>
      </c>
      <c r="D1042" s="34" t="s">
        <v>426</v>
      </c>
      <c r="E1042" s="34"/>
      <c r="F1042" s="37">
        <v>116383.93</v>
      </c>
      <c r="G1042" s="37">
        <v>116383.93</v>
      </c>
      <c r="H1042" s="38">
        <v>46080</v>
      </c>
      <c r="I1042" s="38" t="s">
        <v>1796</v>
      </c>
      <c r="J1042" s="42">
        <v>1</v>
      </c>
      <c r="K1042" s="43">
        <v>116383.93</v>
      </c>
    </row>
    <row r="1043" spans="1:11" x14ac:dyDescent="0.25">
      <c r="A1043" s="38">
        <v>46065</v>
      </c>
      <c r="B1043" s="33" t="s">
        <v>1389</v>
      </c>
      <c r="C1043" s="36" t="s">
        <v>126</v>
      </c>
      <c r="D1043" s="34" t="s">
        <v>426</v>
      </c>
      <c r="E1043" s="34"/>
      <c r="F1043" s="37">
        <v>125990.15</v>
      </c>
      <c r="G1043" s="37">
        <v>125990.15</v>
      </c>
      <c r="H1043" s="38">
        <v>46080</v>
      </c>
      <c r="I1043" s="38" t="s">
        <v>1796</v>
      </c>
      <c r="J1043" s="42">
        <v>1</v>
      </c>
      <c r="K1043" s="43">
        <v>125990.15</v>
      </c>
    </row>
    <row r="1044" spans="1:11" x14ac:dyDescent="0.25">
      <c r="A1044" s="38">
        <v>46065</v>
      </c>
      <c r="B1044" s="33" t="s">
        <v>1390</v>
      </c>
      <c r="C1044" s="36" t="s">
        <v>186</v>
      </c>
      <c r="D1044" s="34" t="s">
        <v>433</v>
      </c>
      <c r="E1044" s="34"/>
      <c r="F1044" s="37">
        <v>145718.68</v>
      </c>
      <c r="G1044" s="37">
        <v>145718.68</v>
      </c>
      <c r="H1044" s="38">
        <v>46072</v>
      </c>
      <c r="I1044" s="38" t="s">
        <v>1796</v>
      </c>
      <c r="J1044" s="42">
        <v>9</v>
      </c>
      <c r="K1044" s="43">
        <v>145718.68</v>
      </c>
    </row>
    <row r="1045" spans="1:11" x14ac:dyDescent="0.25">
      <c r="A1045" s="38">
        <v>46065</v>
      </c>
      <c r="B1045" s="33" t="s">
        <v>1391</v>
      </c>
      <c r="C1045" s="36" t="s">
        <v>209</v>
      </c>
      <c r="D1045" s="34" t="s">
        <v>561</v>
      </c>
      <c r="E1045" s="34"/>
      <c r="F1045" s="37">
        <v>76038</v>
      </c>
      <c r="G1045" s="37">
        <v>76038</v>
      </c>
      <c r="H1045" s="38">
        <v>46095</v>
      </c>
      <c r="I1045" s="38" t="s">
        <v>1796</v>
      </c>
      <c r="J1045" s="42">
        <f t="shared" ref="J1045:J1047" si="28">$I$1-A1045</f>
        <v>16</v>
      </c>
      <c r="K1045" s="43">
        <v>76038</v>
      </c>
    </row>
    <row r="1046" spans="1:11" x14ac:dyDescent="0.25">
      <c r="A1046" s="38">
        <v>46065</v>
      </c>
      <c r="B1046" s="33" t="s">
        <v>1392</v>
      </c>
      <c r="C1046" s="36" t="s">
        <v>209</v>
      </c>
      <c r="D1046" s="34" t="s">
        <v>561</v>
      </c>
      <c r="E1046" s="34"/>
      <c r="F1046" s="37">
        <v>76038</v>
      </c>
      <c r="G1046" s="37">
        <v>76038</v>
      </c>
      <c r="H1046" s="38">
        <v>46095</v>
      </c>
      <c r="I1046" s="38" t="s">
        <v>1796</v>
      </c>
      <c r="J1046" s="42">
        <f t="shared" si="28"/>
        <v>16</v>
      </c>
      <c r="K1046" s="43">
        <v>76038</v>
      </c>
    </row>
    <row r="1047" spans="1:11" x14ac:dyDescent="0.25">
      <c r="A1047" s="38">
        <v>46065</v>
      </c>
      <c r="B1047" s="33" t="s">
        <v>1393</v>
      </c>
      <c r="C1047" s="36" t="s">
        <v>209</v>
      </c>
      <c r="D1047" s="34" t="s">
        <v>561</v>
      </c>
      <c r="E1047" s="34"/>
      <c r="F1047" s="37">
        <v>74936</v>
      </c>
      <c r="G1047" s="37">
        <v>74936</v>
      </c>
      <c r="H1047" s="38">
        <v>46095</v>
      </c>
      <c r="I1047" s="38" t="s">
        <v>1796</v>
      </c>
      <c r="J1047" s="42">
        <f t="shared" si="28"/>
        <v>16</v>
      </c>
      <c r="K1047" s="43">
        <v>74936</v>
      </c>
    </row>
    <row r="1048" spans="1:11" x14ac:dyDescent="0.25">
      <c r="A1048" s="38">
        <v>46065</v>
      </c>
      <c r="B1048" s="33" t="s">
        <v>1394</v>
      </c>
      <c r="C1048" s="36" t="s">
        <v>217</v>
      </c>
      <c r="D1048" s="34" t="s">
        <v>8</v>
      </c>
      <c r="E1048" s="34"/>
      <c r="F1048" s="37">
        <v>13695</v>
      </c>
      <c r="G1048" s="37">
        <v>13695</v>
      </c>
      <c r="H1048" s="38">
        <v>46065</v>
      </c>
      <c r="I1048" s="38" t="s">
        <v>1796</v>
      </c>
      <c r="J1048" s="42">
        <v>16</v>
      </c>
      <c r="K1048" s="43">
        <v>13695</v>
      </c>
    </row>
    <row r="1049" spans="1:11" x14ac:dyDescent="0.25">
      <c r="A1049" s="38">
        <v>46065</v>
      </c>
      <c r="B1049" s="33" t="s">
        <v>1395</v>
      </c>
      <c r="C1049" s="36" t="s">
        <v>217</v>
      </c>
      <c r="D1049" s="34" t="s">
        <v>402</v>
      </c>
      <c r="E1049" s="34"/>
      <c r="F1049" s="37">
        <v>6855</v>
      </c>
      <c r="G1049" s="37">
        <v>6855</v>
      </c>
      <c r="H1049" s="38">
        <v>46065</v>
      </c>
      <c r="I1049" s="38" t="s">
        <v>1796</v>
      </c>
      <c r="J1049" s="42">
        <v>16</v>
      </c>
      <c r="K1049" s="43">
        <v>6855</v>
      </c>
    </row>
    <row r="1050" spans="1:11" x14ac:dyDescent="0.25">
      <c r="A1050" s="38">
        <v>46065</v>
      </c>
      <c r="B1050" s="33" t="s">
        <v>1396</v>
      </c>
      <c r="C1050" s="36" t="s">
        <v>221</v>
      </c>
      <c r="D1050" s="34" t="s">
        <v>426</v>
      </c>
      <c r="E1050" s="34"/>
      <c r="F1050" s="37">
        <v>277840.76</v>
      </c>
      <c r="G1050" s="37">
        <v>277840.76</v>
      </c>
      <c r="H1050" s="38">
        <v>46080</v>
      </c>
      <c r="I1050" s="38" t="s">
        <v>1796</v>
      </c>
      <c r="J1050" s="42">
        <v>1</v>
      </c>
      <c r="K1050" s="43">
        <v>277840.76</v>
      </c>
    </row>
    <row r="1051" spans="1:11" x14ac:dyDescent="0.25">
      <c r="A1051" s="38">
        <v>46065</v>
      </c>
      <c r="B1051" s="33" t="s">
        <v>1397</v>
      </c>
      <c r="C1051" s="36" t="s">
        <v>258</v>
      </c>
      <c r="D1051" s="34" t="s">
        <v>561</v>
      </c>
      <c r="E1051" s="34"/>
      <c r="F1051" s="37">
        <v>169752</v>
      </c>
      <c r="G1051" s="37">
        <v>169752</v>
      </c>
      <c r="H1051" s="38">
        <v>46065</v>
      </c>
      <c r="I1051" s="38" t="s">
        <v>1796</v>
      </c>
      <c r="J1051" s="42">
        <v>16</v>
      </c>
      <c r="K1051" s="43">
        <v>169752</v>
      </c>
    </row>
    <row r="1052" spans="1:11" x14ac:dyDescent="0.25">
      <c r="A1052" s="38">
        <v>46065</v>
      </c>
      <c r="B1052" s="33" t="s">
        <v>1398</v>
      </c>
      <c r="C1052" s="36" t="s">
        <v>258</v>
      </c>
      <c r="D1052" s="34" t="s">
        <v>561</v>
      </c>
      <c r="E1052" s="34"/>
      <c r="F1052" s="37">
        <v>57349</v>
      </c>
      <c r="G1052" s="37">
        <v>57349</v>
      </c>
      <c r="H1052" s="38">
        <v>46065</v>
      </c>
      <c r="I1052" s="38" t="s">
        <v>1796</v>
      </c>
      <c r="J1052" s="42">
        <v>16</v>
      </c>
      <c r="K1052" s="43">
        <v>57349</v>
      </c>
    </row>
    <row r="1053" spans="1:11" x14ac:dyDescent="0.25">
      <c r="A1053" s="38">
        <v>46065</v>
      </c>
      <c r="B1053" s="33" t="s">
        <v>1399</v>
      </c>
      <c r="C1053" s="36" t="s">
        <v>258</v>
      </c>
      <c r="D1053" s="34" t="s">
        <v>561</v>
      </c>
      <c r="E1053" s="34"/>
      <c r="F1053" s="37">
        <v>172046</v>
      </c>
      <c r="G1053" s="37">
        <v>172046</v>
      </c>
      <c r="H1053" s="38">
        <v>46065</v>
      </c>
      <c r="I1053" s="38" t="s">
        <v>1796</v>
      </c>
      <c r="J1053" s="42">
        <v>16</v>
      </c>
      <c r="K1053" s="43">
        <v>172046</v>
      </c>
    </row>
    <row r="1054" spans="1:11" x14ac:dyDescent="0.25">
      <c r="A1054" s="38">
        <v>46065</v>
      </c>
      <c r="B1054" s="33" t="s">
        <v>1400</v>
      </c>
      <c r="C1054" s="36" t="s">
        <v>258</v>
      </c>
      <c r="D1054" s="34" t="s">
        <v>561</v>
      </c>
      <c r="E1054" s="34"/>
      <c r="F1054" s="37">
        <v>57349</v>
      </c>
      <c r="G1054" s="37">
        <v>57349</v>
      </c>
      <c r="H1054" s="38">
        <v>46065</v>
      </c>
      <c r="I1054" s="38" t="s">
        <v>1796</v>
      </c>
      <c r="J1054" s="42">
        <v>16</v>
      </c>
      <c r="K1054" s="43">
        <v>57349</v>
      </c>
    </row>
    <row r="1055" spans="1:11" x14ac:dyDescent="0.25">
      <c r="A1055" s="38">
        <v>46065</v>
      </c>
      <c r="B1055" s="33" t="s">
        <v>1401</v>
      </c>
      <c r="C1055" s="36" t="s">
        <v>258</v>
      </c>
      <c r="D1055" s="34" t="s">
        <v>561</v>
      </c>
      <c r="E1055" s="34"/>
      <c r="F1055" s="37">
        <v>169752</v>
      </c>
      <c r="G1055" s="37">
        <v>169752</v>
      </c>
      <c r="H1055" s="38">
        <v>46065</v>
      </c>
      <c r="I1055" s="38" t="s">
        <v>1796</v>
      </c>
      <c r="J1055" s="42">
        <v>16</v>
      </c>
      <c r="K1055" s="43">
        <v>169752</v>
      </c>
    </row>
    <row r="1056" spans="1:11" x14ac:dyDescent="0.25">
      <c r="A1056" s="38">
        <v>46066</v>
      </c>
      <c r="B1056" s="33" t="s">
        <v>1402</v>
      </c>
      <c r="C1056" s="36" t="s">
        <v>26</v>
      </c>
      <c r="D1056" s="34" t="s">
        <v>426</v>
      </c>
      <c r="E1056" s="34"/>
      <c r="F1056" s="37">
        <v>48805.4</v>
      </c>
      <c r="G1056" s="37">
        <v>48805.4</v>
      </c>
      <c r="H1056" s="38">
        <v>46066</v>
      </c>
      <c r="I1056" s="38" t="s">
        <v>1796</v>
      </c>
      <c r="J1056" s="42">
        <v>15</v>
      </c>
      <c r="K1056" s="43">
        <v>48805.4</v>
      </c>
    </row>
    <row r="1057" spans="1:11" x14ac:dyDescent="0.25">
      <c r="A1057" s="38">
        <v>46066</v>
      </c>
      <c r="B1057" s="33" t="s">
        <v>1403</v>
      </c>
      <c r="C1057" s="36" t="s">
        <v>26</v>
      </c>
      <c r="D1057" s="34" t="s">
        <v>426</v>
      </c>
      <c r="E1057" s="34"/>
      <c r="F1057" s="37">
        <v>44546.26</v>
      </c>
      <c r="G1057" s="37">
        <v>44546.26</v>
      </c>
      <c r="H1057" s="38">
        <v>46066</v>
      </c>
      <c r="I1057" s="38" t="s">
        <v>1796</v>
      </c>
      <c r="J1057" s="42">
        <v>15</v>
      </c>
      <c r="K1057" s="43">
        <v>44546.26</v>
      </c>
    </row>
    <row r="1058" spans="1:11" x14ac:dyDescent="0.25">
      <c r="A1058" s="38">
        <v>46066</v>
      </c>
      <c r="B1058" s="33" t="s">
        <v>1404</v>
      </c>
      <c r="C1058" s="36" t="s">
        <v>26</v>
      </c>
      <c r="D1058" s="34" t="s">
        <v>426</v>
      </c>
      <c r="E1058" s="34"/>
      <c r="F1058" s="37">
        <v>45372.66</v>
      </c>
      <c r="G1058" s="37">
        <v>45372.66</v>
      </c>
      <c r="H1058" s="38">
        <v>46066</v>
      </c>
      <c r="I1058" s="38" t="s">
        <v>1796</v>
      </c>
      <c r="J1058" s="42">
        <v>15</v>
      </c>
      <c r="K1058" s="43">
        <v>45372.66</v>
      </c>
    </row>
    <row r="1059" spans="1:11" x14ac:dyDescent="0.25">
      <c r="A1059" s="38">
        <v>46066</v>
      </c>
      <c r="B1059" s="33" t="s">
        <v>1405</v>
      </c>
      <c r="C1059" s="36" t="s">
        <v>26</v>
      </c>
      <c r="D1059" s="34" t="s">
        <v>426</v>
      </c>
      <c r="E1059" s="34"/>
      <c r="F1059" s="37">
        <v>45960.69</v>
      </c>
      <c r="G1059" s="37">
        <v>45960.69</v>
      </c>
      <c r="H1059" s="38">
        <v>46066</v>
      </c>
      <c r="I1059" s="38" t="s">
        <v>1796</v>
      </c>
      <c r="J1059" s="42">
        <v>15</v>
      </c>
      <c r="K1059" s="43">
        <v>45960.69</v>
      </c>
    </row>
    <row r="1060" spans="1:11" x14ac:dyDescent="0.25">
      <c r="A1060" s="38">
        <v>46066</v>
      </c>
      <c r="B1060" s="33" t="s">
        <v>1406</v>
      </c>
      <c r="C1060" s="36" t="s">
        <v>26</v>
      </c>
      <c r="D1060" s="34" t="s">
        <v>426</v>
      </c>
      <c r="E1060" s="34"/>
      <c r="F1060" s="37">
        <v>59665.29</v>
      </c>
      <c r="G1060" s="37">
        <v>59665.29</v>
      </c>
      <c r="H1060" s="38">
        <v>46066</v>
      </c>
      <c r="I1060" s="38" t="s">
        <v>1796</v>
      </c>
      <c r="J1060" s="42">
        <v>15</v>
      </c>
      <c r="K1060" s="43">
        <v>59665.29</v>
      </c>
    </row>
    <row r="1061" spans="1:11" x14ac:dyDescent="0.25">
      <c r="A1061" s="38">
        <v>46066</v>
      </c>
      <c r="B1061" s="33" t="s">
        <v>1407</v>
      </c>
      <c r="C1061" s="36" t="s">
        <v>26</v>
      </c>
      <c r="D1061" s="34" t="s">
        <v>426</v>
      </c>
      <c r="E1061" s="34"/>
      <c r="F1061" s="37">
        <v>116774.68</v>
      </c>
      <c r="G1061" s="37">
        <v>116774.68</v>
      </c>
      <c r="H1061" s="38">
        <v>46066</v>
      </c>
      <c r="I1061" s="38" t="s">
        <v>1796</v>
      </c>
      <c r="J1061" s="42">
        <v>15</v>
      </c>
      <c r="K1061" s="43">
        <v>116774.68</v>
      </c>
    </row>
    <row r="1062" spans="1:11" x14ac:dyDescent="0.25">
      <c r="A1062" s="38">
        <v>46066</v>
      </c>
      <c r="B1062" s="33" t="s">
        <v>1408</v>
      </c>
      <c r="C1062" s="36" t="s">
        <v>36</v>
      </c>
      <c r="D1062" s="34" t="s">
        <v>426</v>
      </c>
      <c r="E1062" s="34"/>
      <c r="F1062" s="37">
        <v>85636</v>
      </c>
      <c r="G1062" s="37">
        <v>85636</v>
      </c>
      <c r="H1062" s="38">
        <v>46073</v>
      </c>
      <c r="I1062" s="38" t="s">
        <v>1796</v>
      </c>
      <c r="J1062" s="42">
        <v>8</v>
      </c>
      <c r="K1062" s="43">
        <v>85636</v>
      </c>
    </row>
    <row r="1063" spans="1:11" x14ac:dyDescent="0.25">
      <c r="A1063" s="38">
        <v>46066</v>
      </c>
      <c r="B1063" s="33" t="s">
        <v>1409</v>
      </c>
      <c r="C1063" s="36" t="s">
        <v>43</v>
      </c>
      <c r="D1063" s="34" t="s">
        <v>642</v>
      </c>
      <c r="E1063" s="34"/>
      <c r="F1063" s="37">
        <v>73080</v>
      </c>
      <c r="G1063" s="37">
        <v>73080</v>
      </c>
      <c r="H1063" s="38">
        <v>46096</v>
      </c>
      <c r="I1063" s="38" t="s">
        <v>1796</v>
      </c>
      <c r="J1063" s="42">
        <f>$I$1-A1063</f>
        <v>15</v>
      </c>
      <c r="K1063" s="43">
        <v>73080</v>
      </c>
    </row>
    <row r="1064" spans="1:11" x14ac:dyDescent="0.25">
      <c r="A1064" s="38">
        <v>46066</v>
      </c>
      <c r="B1064" s="33" t="s">
        <v>1410</v>
      </c>
      <c r="C1064" s="36" t="s">
        <v>55</v>
      </c>
      <c r="D1064" s="34" t="s">
        <v>8</v>
      </c>
      <c r="E1064" s="34"/>
      <c r="F1064" s="39">
        <v>24999.599999999999</v>
      </c>
      <c r="G1064" s="39">
        <v>24999.599999999999</v>
      </c>
      <c r="H1064" s="38">
        <v>46066</v>
      </c>
      <c r="I1064" s="38" t="s">
        <v>1796</v>
      </c>
      <c r="J1064" s="42">
        <v>15</v>
      </c>
      <c r="K1064" s="43">
        <v>-24999.599999999999</v>
      </c>
    </row>
    <row r="1065" spans="1:11" x14ac:dyDescent="0.25">
      <c r="A1065" s="38">
        <v>46066</v>
      </c>
      <c r="B1065" s="33" t="s">
        <v>1411</v>
      </c>
      <c r="C1065" s="36" t="s">
        <v>62</v>
      </c>
      <c r="D1065" s="34" t="s">
        <v>561</v>
      </c>
      <c r="E1065" s="34"/>
      <c r="F1065" s="37">
        <v>78603</v>
      </c>
      <c r="G1065" s="37">
        <v>78603</v>
      </c>
      <c r="H1065" s="38">
        <v>46126</v>
      </c>
      <c r="I1065" s="38" t="s">
        <v>1796</v>
      </c>
      <c r="J1065" s="42">
        <f t="shared" ref="J1065:J1066" si="29">$I$1-A1065</f>
        <v>15</v>
      </c>
      <c r="K1065" s="43">
        <v>78603</v>
      </c>
    </row>
    <row r="1066" spans="1:11" x14ac:dyDescent="0.25">
      <c r="A1066" s="38">
        <v>46066</v>
      </c>
      <c r="B1066" s="33" t="s">
        <v>1412</v>
      </c>
      <c r="C1066" s="36" t="s">
        <v>62</v>
      </c>
      <c r="D1066" s="34" t="s">
        <v>561</v>
      </c>
      <c r="E1066" s="34"/>
      <c r="F1066" s="37">
        <v>77976</v>
      </c>
      <c r="G1066" s="37">
        <v>77976</v>
      </c>
      <c r="H1066" s="38">
        <v>46126</v>
      </c>
      <c r="I1066" s="38" t="s">
        <v>1796</v>
      </c>
      <c r="J1066" s="42">
        <f t="shared" si="29"/>
        <v>15</v>
      </c>
      <c r="K1066" s="43">
        <v>77976</v>
      </c>
    </row>
    <row r="1067" spans="1:11" x14ac:dyDescent="0.25">
      <c r="A1067" s="38">
        <v>46066</v>
      </c>
      <c r="B1067" s="33" t="s">
        <v>1413</v>
      </c>
      <c r="C1067" s="36" t="s">
        <v>122</v>
      </c>
      <c r="D1067" s="34" t="s">
        <v>402</v>
      </c>
      <c r="E1067" s="34"/>
      <c r="F1067" s="37">
        <v>62556</v>
      </c>
      <c r="G1067" s="37">
        <v>62556</v>
      </c>
      <c r="H1067" s="38">
        <v>46081</v>
      </c>
      <c r="I1067" s="38" t="s">
        <v>1796</v>
      </c>
      <c r="J1067" s="42">
        <v>0</v>
      </c>
      <c r="K1067" s="43">
        <v>62556</v>
      </c>
    </row>
    <row r="1068" spans="1:11" x14ac:dyDescent="0.25">
      <c r="A1068" s="38">
        <v>46066</v>
      </c>
      <c r="B1068" s="33" t="s">
        <v>1414</v>
      </c>
      <c r="C1068" s="36" t="s">
        <v>144</v>
      </c>
      <c r="D1068" s="34" t="s">
        <v>341</v>
      </c>
      <c r="E1068" s="34"/>
      <c r="F1068" s="37">
        <v>35999.440000000002</v>
      </c>
      <c r="G1068" s="37">
        <v>35999.440000000002</v>
      </c>
      <c r="H1068" s="38">
        <v>46096</v>
      </c>
      <c r="I1068" s="38" t="s">
        <v>1796</v>
      </c>
      <c r="J1068" s="42">
        <f t="shared" ref="J1068:J1069" si="30">$I$1-A1068</f>
        <v>15</v>
      </c>
      <c r="K1068" s="43">
        <v>35999.440000000002</v>
      </c>
    </row>
    <row r="1069" spans="1:11" x14ac:dyDescent="0.25">
      <c r="A1069" s="38">
        <v>46066</v>
      </c>
      <c r="B1069" s="33" t="s">
        <v>1415</v>
      </c>
      <c r="C1069" s="36" t="s">
        <v>144</v>
      </c>
      <c r="D1069" s="34" t="s">
        <v>341</v>
      </c>
      <c r="E1069" s="34"/>
      <c r="F1069" s="37">
        <v>180000.2</v>
      </c>
      <c r="G1069" s="37">
        <v>180000.2</v>
      </c>
      <c r="H1069" s="38">
        <v>46096</v>
      </c>
      <c r="I1069" s="38" t="s">
        <v>1796</v>
      </c>
      <c r="J1069" s="42">
        <f t="shared" si="30"/>
        <v>15</v>
      </c>
      <c r="K1069" s="43">
        <v>180000.2</v>
      </c>
    </row>
    <row r="1070" spans="1:11" x14ac:dyDescent="0.25">
      <c r="A1070" s="38">
        <v>46066</v>
      </c>
      <c r="B1070" s="33" t="s">
        <v>1416</v>
      </c>
      <c r="C1070" s="36" t="s">
        <v>147</v>
      </c>
      <c r="D1070" s="34" t="s">
        <v>433</v>
      </c>
      <c r="E1070" s="34"/>
      <c r="F1070" s="37">
        <v>2953704.28</v>
      </c>
      <c r="G1070" s="37">
        <v>1026069.82</v>
      </c>
      <c r="H1070" s="38">
        <v>46066</v>
      </c>
      <c r="I1070" s="38" t="s">
        <v>1796</v>
      </c>
      <c r="J1070" s="42">
        <v>15</v>
      </c>
      <c r="K1070" s="43">
        <v>1026069.82</v>
      </c>
    </row>
    <row r="1071" spans="1:11" x14ac:dyDescent="0.25">
      <c r="A1071" s="38">
        <v>46066</v>
      </c>
      <c r="B1071" s="33" t="s">
        <v>1417</v>
      </c>
      <c r="C1071" s="36" t="s">
        <v>217</v>
      </c>
      <c r="D1071" s="34" t="s">
        <v>402</v>
      </c>
      <c r="E1071" s="34"/>
      <c r="F1071" s="39">
        <v>38695</v>
      </c>
      <c r="G1071" s="39">
        <v>38695</v>
      </c>
      <c r="H1071" s="38">
        <v>46066</v>
      </c>
      <c r="I1071" s="38" t="s">
        <v>1796</v>
      </c>
      <c r="J1071" s="42">
        <v>15</v>
      </c>
      <c r="K1071" s="43">
        <v>-38695</v>
      </c>
    </row>
    <row r="1072" spans="1:11" x14ac:dyDescent="0.25">
      <c r="A1072" s="38">
        <v>46066</v>
      </c>
      <c r="B1072" s="33" t="s">
        <v>1418</v>
      </c>
      <c r="C1072" s="36" t="s">
        <v>217</v>
      </c>
      <c r="D1072" s="34" t="s">
        <v>402</v>
      </c>
      <c r="E1072" s="34"/>
      <c r="F1072" s="39">
        <v>6855</v>
      </c>
      <c r="G1072" s="39">
        <v>6855</v>
      </c>
      <c r="H1072" s="38">
        <v>46066</v>
      </c>
      <c r="I1072" s="38" t="s">
        <v>1796</v>
      </c>
      <c r="J1072" s="42">
        <v>15</v>
      </c>
      <c r="K1072" s="43">
        <v>-6855</v>
      </c>
    </row>
    <row r="1073" spans="1:11" x14ac:dyDescent="0.25">
      <c r="A1073" s="38">
        <v>46066</v>
      </c>
      <c r="B1073" s="33" t="s">
        <v>1419</v>
      </c>
      <c r="C1073" s="36" t="s">
        <v>245</v>
      </c>
      <c r="D1073" s="34" t="s">
        <v>642</v>
      </c>
      <c r="E1073" s="34"/>
      <c r="F1073" s="37">
        <v>60900</v>
      </c>
      <c r="G1073" s="37">
        <v>60900</v>
      </c>
      <c r="H1073" s="38">
        <v>46066</v>
      </c>
      <c r="I1073" s="38" t="s">
        <v>1796</v>
      </c>
      <c r="J1073" s="42">
        <v>15</v>
      </c>
      <c r="K1073" s="43">
        <v>60900</v>
      </c>
    </row>
    <row r="1074" spans="1:11" x14ac:dyDescent="0.25">
      <c r="A1074" s="38">
        <v>46067</v>
      </c>
      <c r="B1074" s="33" t="s">
        <v>1420</v>
      </c>
      <c r="C1074" s="36" t="s">
        <v>26</v>
      </c>
      <c r="D1074" s="34" t="s">
        <v>426</v>
      </c>
      <c r="E1074" s="34"/>
      <c r="F1074" s="37">
        <v>44959.45</v>
      </c>
      <c r="G1074" s="37">
        <v>44959.45</v>
      </c>
      <c r="H1074" s="38">
        <v>46067</v>
      </c>
      <c r="I1074" s="38" t="s">
        <v>1796</v>
      </c>
      <c r="J1074" s="42">
        <v>14</v>
      </c>
      <c r="K1074" s="43">
        <v>44959.45</v>
      </c>
    </row>
    <row r="1075" spans="1:11" x14ac:dyDescent="0.25">
      <c r="A1075" s="38">
        <v>46067</v>
      </c>
      <c r="B1075" s="33" t="s">
        <v>1421</v>
      </c>
      <c r="C1075" s="36" t="s">
        <v>26</v>
      </c>
      <c r="D1075" s="34" t="s">
        <v>426</v>
      </c>
      <c r="E1075" s="34"/>
      <c r="F1075" s="37">
        <v>44196.62</v>
      </c>
      <c r="G1075" s="37">
        <v>44196.62</v>
      </c>
      <c r="H1075" s="38">
        <v>46067</v>
      </c>
      <c r="I1075" s="38" t="s">
        <v>1796</v>
      </c>
      <c r="J1075" s="42">
        <v>14</v>
      </c>
      <c r="K1075" s="43">
        <v>44196.62</v>
      </c>
    </row>
    <row r="1076" spans="1:11" x14ac:dyDescent="0.25">
      <c r="A1076" s="38">
        <v>46067</v>
      </c>
      <c r="B1076" s="33" t="s">
        <v>1422</v>
      </c>
      <c r="C1076" s="36" t="s">
        <v>26</v>
      </c>
      <c r="D1076" s="34" t="s">
        <v>426</v>
      </c>
      <c r="E1076" s="34"/>
      <c r="F1076" s="37">
        <v>73669.39</v>
      </c>
      <c r="G1076" s="37">
        <v>73669.39</v>
      </c>
      <c r="H1076" s="38">
        <v>46067</v>
      </c>
      <c r="I1076" s="38" t="s">
        <v>1796</v>
      </c>
      <c r="J1076" s="42">
        <v>14</v>
      </c>
      <c r="K1076" s="43">
        <v>73669.39</v>
      </c>
    </row>
    <row r="1077" spans="1:11" x14ac:dyDescent="0.25">
      <c r="A1077" s="38">
        <v>46067</v>
      </c>
      <c r="B1077" s="33" t="s">
        <v>1423</v>
      </c>
      <c r="C1077" s="36" t="s">
        <v>26</v>
      </c>
      <c r="D1077" s="34" t="s">
        <v>426</v>
      </c>
      <c r="E1077" s="34"/>
      <c r="F1077" s="37">
        <v>48058.47</v>
      </c>
      <c r="G1077" s="37">
        <v>48058.47</v>
      </c>
      <c r="H1077" s="38">
        <v>46067</v>
      </c>
      <c r="I1077" s="38" t="s">
        <v>1796</v>
      </c>
      <c r="J1077" s="42">
        <v>14</v>
      </c>
      <c r="K1077" s="43">
        <v>48058.47</v>
      </c>
    </row>
    <row r="1078" spans="1:11" x14ac:dyDescent="0.25">
      <c r="A1078" s="38">
        <v>46067</v>
      </c>
      <c r="B1078" s="33" t="s">
        <v>1424</v>
      </c>
      <c r="C1078" s="36" t="s">
        <v>35</v>
      </c>
      <c r="D1078" s="34" t="s">
        <v>341</v>
      </c>
      <c r="E1078" s="34"/>
      <c r="F1078" s="37">
        <v>1191092.01</v>
      </c>
      <c r="G1078" s="37">
        <v>1191092.01</v>
      </c>
      <c r="H1078" s="38">
        <v>46067</v>
      </c>
      <c r="I1078" s="38" t="s">
        <v>1796</v>
      </c>
      <c r="J1078" s="42">
        <v>14</v>
      </c>
      <c r="K1078" s="43">
        <v>1191092.01</v>
      </c>
    </row>
    <row r="1079" spans="1:11" x14ac:dyDescent="0.25">
      <c r="A1079" s="38">
        <v>46067</v>
      </c>
      <c r="B1079" s="33" t="s">
        <v>1425</v>
      </c>
      <c r="C1079" s="36" t="s">
        <v>62</v>
      </c>
      <c r="D1079" s="34" t="s">
        <v>561</v>
      </c>
      <c r="E1079" s="34"/>
      <c r="F1079" s="37">
        <v>76775</v>
      </c>
      <c r="G1079" s="37">
        <v>76775</v>
      </c>
      <c r="H1079" s="38">
        <v>46127</v>
      </c>
      <c r="I1079" s="38" t="s">
        <v>1796</v>
      </c>
      <c r="J1079" s="42">
        <f t="shared" ref="J1079:J1080" si="31">$I$1-A1079</f>
        <v>14</v>
      </c>
      <c r="K1079" s="43">
        <v>76775</v>
      </c>
    </row>
    <row r="1080" spans="1:11" x14ac:dyDescent="0.25">
      <c r="A1080" s="38">
        <v>46067</v>
      </c>
      <c r="B1080" s="33" t="s">
        <v>1426</v>
      </c>
      <c r="C1080" s="36" t="s">
        <v>62</v>
      </c>
      <c r="D1080" s="34" t="s">
        <v>561</v>
      </c>
      <c r="E1080" s="34"/>
      <c r="F1080" s="37">
        <v>84322</v>
      </c>
      <c r="G1080" s="37">
        <v>84322</v>
      </c>
      <c r="H1080" s="38">
        <v>46127</v>
      </c>
      <c r="I1080" s="38" t="s">
        <v>1796</v>
      </c>
      <c r="J1080" s="42">
        <f t="shared" si="31"/>
        <v>14</v>
      </c>
      <c r="K1080" s="43">
        <v>84322</v>
      </c>
    </row>
    <row r="1081" spans="1:11" x14ac:dyDescent="0.25">
      <c r="A1081" s="38">
        <v>46067</v>
      </c>
      <c r="B1081" s="33" t="s">
        <v>578</v>
      </c>
      <c r="C1081" s="36" t="s">
        <v>106</v>
      </c>
      <c r="D1081" s="34" t="s">
        <v>561</v>
      </c>
      <c r="E1081" s="34"/>
      <c r="F1081" s="37">
        <v>17240</v>
      </c>
      <c r="G1081" s="37">
        <v>17240</v>
      </c>
      <c r="H1081" s="38">
        <v>46067</v>
      </c>
      <c r="I1081" s="38" t="s">
        <v>1796</v>
      </c>
      <c r="J1081" s="42">
        <v>14</v>
      </c>
      <c r="K1081" s="43">
        <v>17240</v>
      </c>
    </row>
    <row r="1082" spans="1:11" x14ac:dyDescent="0.25">
      <c r="A1082" s="38">
        <v>46067</v>
      </c>
      <c r="B1082" s="33" t="s">
        <v>1427</v>
      </c>
      <c r="C1082" s="36" t="s">
        <v>126</v>
      </c>
      <c r="D1082" s="34" t="s">
        <v>426</v>
      </c>
      <c r="E1082" s="34"/>
      <c r="F1082" s="37">
        <v>117139.21</v>
      </c>
      <c r="G1082" s="37">
        <v>117139.21</v>
      </c>
      <c r="H1082" s="38">
        <v>46082</v>
      </c>
      <c r="I1082" s="38" t="s">
        <v>1796</v>
      </c>
      <c r="J1082" s="42">
        <f>$I$1-A1082</f>
        <v>14</v>
      </c>
      <c r="K1082" s="43">
        <v>117139.21</v>
      </c>
    </row>
    <row r="1083" spans="1:11" x14ac:dyDescent="0.25">
      <c r="A1083" s="38">
        <v>46067</v>
      </c>
      <c r="B1083" s="33" t="s">
        <v>1428</v>
      </c>
      <c r="C1083" s="36" t="s">
        <v>258</v>
      </c>
      <c r="D1083" s="34" t="s">
        <v>561</v>
      </c>
      <c r="E1083" s="34"/>
      <c r="F1083" s="37">
        <v>57349</v>
      </c>
      <c r="G1083" s="37">
        <v>57349</v>
      </c>
      <c r="H1083" s="38">
        <v>46067</v>
      </c>
      <c r="I1083" s="38" t="s">
        <v>1796</v>
      </c>
      <c r="J1083" s="42">
        <v>14</v>
      </c>
      <c r="K1083" s="43">
        <v>57349</v>
      </c>
    </row>
    <row r="1084" spans="1:11" x14ac:dyDescent="0.25">
      <c r="A1084" s="38">
        <v>46067</v>
      </c>
      <c r="B1084" s="33" t="s">
        <v>1429</v>
      </c>
      <c r="C1084" s="36" t="s">
        <v>286</v>
      </c>
      <c r="D1084" s="34" t="s">
        <v>616</v>
      </c>
      <c r="E1084" s="34"/>
      <c r="F1084" s="37">
        <v>212400</v>
      </c>
      <c r="G1084" s="37">
        <v>212400</v>
      </c>
      <c r="H1084" s="38">
        <v>46067</v>
      </c>
      <c r="I1084" s="38" t="s">
        <v>1796</v>
      </c>
      <c r="J1084" s="42">
        <v>14</v>
      </c>
      <c r="K1084" s="43">
        <v>212400</v>
      </c>
    </row>
    <row r="1085" spans="1:11" x14ac:dyDescent="0.25">
      <c r="A1085" s="38">
        <v>46067</v>
      </c>
      <c r="B1085" s="33" t="s">
        <v>1430</v>
      </c>
      <c r="C1085" s="36" t="s">
        <v>291</v>
      </c>
      <c r="D1085" s="34" t="s">
        <v>561</v>
      </c>
      <c r="E1085" s="34"/>
      <c r="F1085" s="37">
        <v>52920</v>
      </c>
      <c r="G1085" s="37">
        <v>52920</v>
      </c>
      <c r="H1085" s="38">
        <v>46067</v>
      </c>
      <c r="I1085" s="38" t="s">
        <v>1796</v>
      </c>
      <c r="J1085" s="42">
        <v>14</v>
      </c>
      <c r="K1085" s="43">
        <v>52920</v>
      </c>
    </row>
    <row r="1086" spans="1:11" x14ac:dyDescent="0.25">
      <c r="A1086" s="38">
        <v>46067</v>
      </c>
      <c r="B1086" s="33" t="s">
        <v>1431</v>
      </c>
      <c r="C1086" s="36" t="s">
        <v>291</v>
      </c>
      <c r="D1086" s="34" t="s">
        <v>561</v>
      </c>
      <c r="E1086" s="34"/>
      <c r="F1086" s="37">
        <v>52920</v>
      </c>
      <c r="G1086" s="37">
        <v>52920</v>
      </c>
      <c r="H1086" s="38">
        <v>46067</v>
      </c>
      <c r="I1086" s="38" t="s">
        <v>1796</v>
      </c>
      <c r="J1086" s="42">
        <v>14</v>
      </c>
      <c r="K1086" s="43">
        <v>52920</v>
      </c>
    </row>
    <row r="1087" spans="1:11" x14ac:dyDescent="0.25">
      <c r="A1087" s="38">
        <v>46068</v>
      </c>
      <c r="B1087" s="33" t="s">
        <v>1432</v>
      </c>
      <c r="C1087" s="36" t="s">
        <v>17</v>
      </c>
      <c r="D1087" s="34" t="s">
        <v>402</v>
      </c>
      <c r="E1087" s="34"/>
      <c r="F1087" s="37">
        <v>47052</v>
      </c>
      <c r="G1087" s="37">
        <v>47052</v>
      </c>
      <c r="H1087" s="38">
        <v>46098</v>
      </c>
      <c r="I1087" s="38" t="s">
        <v>1796</v>
      </c>
      <c r="J1087" s="42">
        <f>$I$1-A1087</f>
        <v>13</v>
      </c>
      <c r="K1087" s="43">
        <v>47052</v>
      </c>
    </row>
    <row r="1088" spans="1:11" x14ac:dyDescent="0.25">
      <c r="A1088" s="38">
        <v>46068</v>
      </c>
      <c r="B1088" s="33" t="s">
        <v>1433</v>
      </c>
      <c r="C1088" s="36" t="s">
        <v>26</v>
      </c>
      <c r="D1088" s="34" t="s">
        <v>426</v>
      </c>
      <c r="E1088" s="34"/>
      <c r="F1088" s="37">
        <v>49059.68</v>
      </c>
      <c r="G1088" s="37">
        <v>49059.68</v>
      </c>
      <c r="H1088" s="38">
        <v>46068</v>
      </c>
      <c r="I1088" s="38" t="s">
        <v>1796</v>
      </c>
      <c r="J1088" s="42">
        <v>13</v>
      </c>
      <c r="K1088" s="43">
        <v>49059.68</v>
      </c>
    </row>
    <row r="1089" spans="1:11" x14ac:dyDescent="0.25">
      <c r="A1089" s="38">
        <v>46068</v>
      </c>
      <c r="B1089" s="33" t="s">
        <v>1434</v>
      </c>
      <c r="C1089" s="36" t="s">
        <v>26</v>
      </c>
      <c r="D1089" s="34" t="s">
        <v>426</v>
      </c>
      <c r="E1089" s="34"/>
      <c r="F1089" s="37">
        <v>50490</v>
      </c>
      <c r="G1089" s="37">
        <v>50490</v>
      </c>
      <c r="H1089" s="38">
        <v>46068</v>
      </c>
      <c r="I1089" s="38" t="s">
        <v>1796</v>
      </c>
      <c r="J1089" s="42">
        <v>13</v>
      </c>
      <c r="K1089" s="43">
        <v>50490</v>
      </c>
    </row>
    <row r="1090" spans="1:11" x14ac:dyDescent="0.25">
      <c r="A1090" s="38">
        <v>46068</v>
      </c>
      <c r="B1090" s="33" t="s">
        <v>1435</v>
      </c>
      <c r="C1090" s="36" t="s">
        <v>26</v>
      </c>
      <c r="D1090" s="34" t="s">
        <v>426</v>
      </c>
      <c r="E1090" s="34"/>
      <c r="F1090" s="37">
        <v>45388.55</v>
      </c>
      <c r="G1090" s="37">
        <v>45388.55</v>
      </c>
      <c r="H1090" s="38">
        <v>46068</v>
      </c>
      <c r="I1090" s="38" t="s">
        <v>1796</v>
      </c>
      <c r="J1090" s="42">
        <v>13</v>
      </c>
      <c r="K1090" s="43">
        <v>45388.55</v>
      </c>
    </row>
    <row r="1091" spans="1:11" x14ac:dyDescent="0.25">
      <c r="A1091" s="38">
        <v>46068</v>
      </c>
      <c r="B1091" s="33" t="s">
        <v>1436</v>
      </c>
      <c r="C1091" s="36" t="s">
        <v>26</v>
      </c>
      <c r="D1091" s="34" t="s">
        <v>426</v>
      </c>
      <c r="E1091" s="34"/>
      <c r="F1091" s="37">
        <v>46898.32</v>
      </c>
      <c r="G1091" s="37">
        <v>46898.32</v>
      </c>
      <c r="H1091" s="38">
        <v>46068</v>
      </c>
      <c r="I1091" s="38" t="s">
        <v>1796</v>
      </c>
      <c r="J1091" s="42">
        <v>13</v>
      </c>
      <c r="K1091" s="43">
        <v>46898.32</v>
      </c>
    </row>
    <row r="1092" spans="1:11" x14ac:dyDescent="0.25">
      <c r="A1092" s="38">
        <v>46068</v>
      </c>
      <c r="B1092" s="33" t="s">
        <v>1437</v>
      </c>
      <c r="C1092" s="36" t="s">
        <v>26</v>
      </c>
      <c r="D1092" s="34" t="s">
        <v>426</v>
      </c>
      <c r="E1092" s="34"/>
      <c r="F1092" s="37">
        <v>72453.39</v>
      </c>
      <c r="G1092" s="37">
        <v>72453.39</v>
      </c>
      <c r="H1092" s="38">
        <v>46068</v>
      </c>
      <c r="I1092" s="38" t="s">
        <v>1796</v>
      </c>
      <c r="J1092" s="42">
        <v>13</v>
      </c>
      <c r="K1092" s="43">
        <v>72453.39</v>
      </c>
    </row>
    <row r="1093" spans="1:11" x14ac:dyDescent="0.25">
      <c r="A1093" s="38">
        <v>46068</v>
      </c>
      <c r="B1093" s="33" t="s">
        <v>1438</v>
      </c>
      <c r="C1093" s="36" t="s">
        <v>26</v>
      </c>
      <c r="D1093" s="34" t="s">
        <v>426</v>
      </c>
      <c r="E1093" s="34"/>
      <c r="F1093" s="37">
        <v>71921.39</v>
      </c>
      <c r="G1093" s="37">
        <v>71921.39</v>
      </c>
      <c r="H1093" s="38">
        <v>46068</v>
      </c>
      <c r="I1093" s="38" t="s">
        <v>1796</v>
      </c>
      <c r="J1093" s="42">
        <v>13</v>
      </c>
      <c r="K1093" s="43">
        <v>71921.39</v>
      </c>
    </row>
    <row r="1094" spans="1:11" x14ac:dyDescent="0.25">
      <c r="A1094" s="38">
        <v>46068</v>
      </c>
      <c r="B1094" s="33" t="s">
        <v>1439</v>
      </c>
      <c r="C1094" s="36" t="s">
        <v>26</v>
      </c>
      <c r="D1094" s="34" t="s">
        <v>426</v>
      </c>
      <c r="E1094" s="34"/>
      <c r="F1094" s="37">
        <v>41574.39</v>
      </c>
      <c r="G1094" s="37">
        <v>41574.39</v>
      </c>
      <c r="H1094" s="38">
        <v>46068</v>
      </c>
      <c r="I1094" s="38" t="s">
        <v>1796</v>
      </c>
      <c r="J1094" s="42">
        <v>13</v>
      </c>
      <c r="K1094" s="43">
        <v>41574.39</v>
      </c>
    </row>
    <row r="1095" spans="1:11" x14ac:dyDescent="0.25">
      <c r="A1095" s="38">
        <v>46068</v>
      </c>
      <c r="B1095" s="33" t="s">
        <v>1440</v>
      </c>
      <c r="C1095" s="36" t="s">
        <v>36</v>
      </c>
      <c r="D1095" s="34" t="s">
        <v>402</v>
      </c>
      <c r="E1095" s="34"/>
      <c r="F1095" s="37">
        <v>391683.44</v>
      </c>
      <c r="G1095" s="37">
        <v>391683.44</v>
      </c>
      <c r="H1095" s="38">
        <v>46068</v>
      </c>
      <c r="I1095" s="38" t="s">
        <v>1796</v>
      </c>
      <c r="J1095" s="42">
        <v>13</v>
      </c>
      <c r="K1095" s="43">
        <v>391683.44</v>
      </c>
    </row>
    <row r="1096" spans="1:11" x14ac:dyDescent="0.25">
      <c r="A1096" s="38">
        <v>46068</v>
      </c>
      <c r="B1096" s="33" t="s">
        <v>1441</v>
      </c>
      <c r="C1096" s="36" t="s">
        <v>48</v>
      </c>
      <c r="D1096" s="34" t="s">
        <v>402</v>
      </c>
      <c r="E1096" s="34"/>
      <c r="F1096" s="37">
        <v>8000</v>
      </c>
      <c r="G1096" s="37">
        <v>8000</v>
      </c>
      <c r="H1096" s="38">
        <v>46068</v>
      </c>
      <c r="I1096" s="38" t="s">
        <v>1796</v>
      </c>
      <c r="J1096" s="42">
        <v>13</v>
      </c>
      <c r="K1096" s="43">
        <v>8000</v>
      </c>
    </row>
    <row r="1097" spans="1:11" x14ac:dyDescent="0.25">
      <c r="A1097" s="38">
        <v>46068</v>
      </c>
      <c r="B1097" s="33" t="s">
        <v>1442</v>
      </c>
      <c r="C1097" s="36" t="s">
        <v>54</v>
      </c>
      <c r="D1097" s="34" t="s">
        <v>402</v>
      </c>
      <c r="E1097" s="34"/>
      <c r="F1097" s="37">
        <v>664448.05000000005</v>
      </c>
      <c r="G1097" s="37">
        <v>664448.05000000005</v>
      </c>
      <c r="H1097" s="38">
        <v>46068</v>
      </c>
      <c r="I1097" s="38" t="s">
        <v>1796</v>
      </c>
      <c r="J1097" s="42">
        <v>13</v>
      </c>
      <c r="K1097" s="43">
        <v>664448.05000000005</v>
      </c>
    </row>
    <row r="1098" spans="1:11" x14ac:dyDescent="0.25">
      <c r="A1098" s="38">
        <v>46068</v>
      </c>
      <c r="B1098" s="33" t="s">
        <v>1443</v>
      </c>
      <c r="C1098" s="36" t="s">
        <v>87</v>
      </c>
      <c r="D1098" s="34" t="s">
        <v>402</v>
      </c>
      <c r="E1098" s="34"/>
      <c r="F1098" s="37">
        <v>20000</v>
      </c>
      <c r="G1098" s="37">
        <v>20000</v>
      </c>
      <c r="H1098" s="38">
        <v>46068</v>
      </c>
      <c r="I1098" s="38" t="s">
        <v>1796</v>
      </c>
      <c r="J1098" s="42">
        <v>13</v>
      </c>
      <c r="K1098" s="43">
        <v>20000</v>
      </c>
    </row>
    <row r="1099" spans="1:11" x14ac:dyDescent="0.25">
      <c r="A1099" s="38">
        <v>46068</v>
      </c>
      <c r="B1099" s="33" t="s">
        <v>1444</v>
      </c>
      <c r="C1099" s="36" t="s">
        <v>126</v>
      </c>
      <c r="D1099" s="34" t="s">
        <v>426</v>
      </c>
      <c r="E1099" s="34"/>
      <c r="F1099" s="37">
        <v>121647.29</v>
      </c>
      <c r="G1099" s="37">
        <v>121647.29</v>
      </c>
      <c r="H1099" s="38">
        <v>46083</v>
      </c>
      <c r="I1099" s="38" t="s">
        <v>1796</v>
      </c>
      <c r="J1099" s="42">
        <f t="shared" ref="J1099:J1106" si="32">$I$1-A1099</f>
        <v>13</v>
      </c>
      <c r="K1099" s="43">
        <v>121647.29</v>
      </c>
    </row>
    <row r="1100" spans="1:11" x14ac:dyDescent="0.25">
      <c r="A1100" s="38">
        <v>46068</v>
      </c>
      <c r="B1100" s="33" t="s">
        <v>1445</v>
      </c>
      <c r="C1100" s="36" t="s">
        <v>158</v>
      </c>
      <c r="D1100" s="34" t="s">
        <v>616</v>
      </c>
      <c r="E1100" s="34"/>
      <c r="F1100" s="37">
        <v>11000</v>
      </c>
      <c r="G1100" s="37">
        <v>11000</v>
      </c>
      <c r="H1100" s="38">
        <v>46098</v>
      </c>
      <c r="I1100" s="38" t="s">
        <v>1796</v>
      </c>
      <c r="J1100" s="42">
        <f t="shared" si="32"/>
        <v>13</v>
      </c>
      <c r="K1100" s="43">
        <v>11000</v>
      </c>
    </row>
    <row r="1101" spans="1:11" x14ac:dyDescent="0.25">
      <c r="A1101" s="38">
        <v>46068</v>
      </c>
      <c r="B1101" s="33" t="s">
        <v>1446</v>
      </c>
      <c r="C1101" s="36" t="s">
        <v>158</v>
      </c>
      <c r="D1101" s="34" t="s">
        <v>616</v>
      </c>
      <c r="E1101" s="34"/>
      <c r="F1101" s="37">
        <v>11000</v>
      </c>
      <c r="G1101" s="37">
        <v>11000</v>
      </c>
      <c r="H1101" s="38">
        <v>46098</v>
      </c>
      <c r="I1101" s="38" t="s">
        <v>1796</v>
      </c>
      <c r="J1101" s="42">
        <f t="shared" si="32"/>
        <v>13</v>
      </c>
      <c r="K1101" s="43">
        <v>11000</v>
      </c>
    </row>
    <row r="1102" spans="1:11" x14ac:dyDescent="0.25">
      <c r="A1102" s="38">
        <v>46068</v>
      </c>
      <c r="B1102" s="33" t="s">
        <v>1447</v>
      </c>
      <c r="C1102" s="36" t="s">
        <v>158</v>
      </c>
      <c r="D1102" s="34" t="s">
        <v>616</v>
      </c>
      <c r="E1102" s="34"/>
      <c r="F1102" s="37">
        <v>29000</v>
      </c>
      <c r="G1102" s="37">
        <v>29000</v>
      </c>
      <c r="H1102" s="38">
        <v>46098</v>
      </c>
      <c r="I1102" s="38" t="s">
        <v>1796</v>
      </c>
      <c r="J1102" s="42">
        <f t="shared" si="32"/>
        <v>13</v>
      </c>
      <c r="K1102" s="43">
        <v>29000</v>
      </c>
    </row>
    <row r="1103" spans="1:11" x14ac:dyDescent="0.25">
      <c r="A1103" s="38">
        <v>46068</v>
      </c>
      <c r="B1103" s="33" t="s">
        <v>1448</v>
      </c>
      <c r="C1103" s="36" t="s">
        <v>158</v>
      </c>
      <c r="D1103" s="34" t="s">
        <v>616</v>
      </c>
      <c r="E1103" s="34"/>
      <c r="F1103" s="37">
        <v>11600</v>
      </c>
      <c r="G1103" s="37">
        <v>11600</v>
      </c>
      <c r="H1103" s="38">
        <v>46098</v>
      </c>
      <c r="I1103" s="38" t="s">
        <v>1796</v>
      </c>
      <c r="J1103" s="42">
        <f t="shared" si="32"/>
        <v>13</v>
      </c>
      <c r="K1103" s="43">
        <v>11600</v>
      </c>
    </row>
    <row r="1104" spans="1:11" x14ac:dyDescent="0.25">
      <c r="A1104" s="38">
        <v>46068</v>
      </c>
      <c r="B1104" s="33" t="s">
        <v>460</v>
      </c>
      <c r="C1104" s="36" t="s">
        <v>188</v>
      </c>
      <c r="D1104" s="34" t="s">
        <v>373</v>
      </c>
      <c r="E1104" s="34"/>
      <c r="F1104" s="37">
        <v>149796</v>
      </c>
      <c r="G1104" s="37">
        <v>149796</v>
      </c>
      <c r="H1104" s="38">
        <v>46088</v>
      </c>
      <c r="I1104" s="38" t="s">
        <v>1796</v>
      </c>
      <c r="J1104" s="42">
        <f t="shared" si="32"/>
        <v>13</v>
      </c>
      <c r="K1104" s="43">
        <v>149796</v>
      </c>
    </row>
    <row r="1105" spans="1:11" x14ac:dyDescent="0.25">
      <c r="A1105" s="38">
        <v>46068</v>
      </c>
      <c r="B1105" s="33" t="s">
        <v>1449</v>
      </c>
      <c r="C1105" s="36" t="s">
        <v>188</v>
      </c>
      <c r="D1105" s="34" t="s">
        <v>402</v>
      </c>
      <c r="E1105" s="34"/>
      <c r="F1105" s="37">
        <v>132678</v>
      </c>
      <c r="G1105" s="37">
        <v>132678</v>
      </c>
      <c r="H1105" s="38">
        <v>46088</v>
      </c>
      <c r="I1105" s="38" t="s">
        <v>1796</v>
      </c>
      <c r="J1105" s="42">
        <f t="shared" si="32"/>
        <v>13</v>
      </c>
      <c r="K1105" s="43">
        <v>132678</v>
      </c>
    </row>
    <row r="1106" spans="1:11" x14ac:dyDescent="0.25">
      <c r="A1106" s="38">
        <v>46068</v>
      </c>
      <c r="B1106" s="33" t="s">
        <v>1450</v>
      </c>
      <c r="C1106" s="36" t="s">
        <v>243</v>
      </c>
      <c r="D1106" s="34" t="s">
        <v>341</v>
      </c>
      <c r="E1106" s="34"/>
      <c r="F1106" s="37">
        <v>98928</v>
      </c>
      <c r="G1106" s="37">
        <v>98928</v>
      </c>
      <c r="H1106" s="38">
        <v>46088</v>
      </c>
      <c r="I1106" s="38" t="s">
        <v>1796</v>
      </c>
      <c r="J1106" s="42">
        <f t="shared" si="32"/>
        <v>13</v>
      </c>
      <c r="K1106" s="43">
        <v>98928</v>
      </c>
    </row>
    <row r="1107" spans="1:11" x14ac:dyDescent="0.25">
      <c r="A1107" s="38">
        <v>46069</v>
      </c>
      <c r="B1107" s="33" t="s">
        <v>1451</v>
      </c>
      <c r="C1107" s="36" t="s">
        <v>26</v>
      </c>
      <c r="D1107" s="34" t="s">
        <v>426</v>
      </c>
      <c r="E1107" s="34"/>
      <c r="F1107" s="37">
        <v>44530.37</v>
      </c>
      <c r="G1107" s="37">
        <v>44530.37</v>
      </c>
      <c r="H1107" s="38">
        <v>46069</v>
      </c>
      <c r="I1107" s="38" t="s">
        <v>1796</v>
      </c>
      <c r="J1107" s="42">
        <v>12</v>
      </c>
      <c r="K1107" s="43">
        <v>44530.37</v>
      </c>
    </row>
    <row r="1108" spans="1:11" x14ac:dyDescent="0.25">
      <c r="A1108" s="38">
        <v>46069</v>
      </c>
      <c r="B1108" s="33" t="s">
        <v>1452</v>
      </c>
      <c r="C1108" s="36" t="s">
        <v>46</v>
      </c>
      <c r="D1108" s="34" t="s">
        <v>402</v>
      </c>
      <c r="E1108" s="34"/>
      <c r="F1108" s="37">
        <v>136880</v>
      </c>
      <c r="G1108" s="37">
        <v>136880</v>
      </c>
      <c r="H1108" s="38">
        <v>46099</v>
      </c>
      <c r="I1108" s="38" t="s">
        <v>1796</v>
      </c>
      <c r="J1108" s="42">
        <f t="shared" ref="J1108:J1111" si="33">$I$1-A1108</f>
        <v>12</v>
      </c>
      <c r="K1108" s="43">
        <v>136880</v>
      </c>
    </row>
    <row r="1109" spans="1:11" x14ac:dyDescent="0.25">
      <c r="A1109" s="38">
        <v>46069</v>
      </c>
      <c r="B1109" s="33" t="s">
        <v>1453</v>
      </c>
      <c r="C1109" s="36" t="s">
        <v>57</v>
      </c>
      <c r="D1109" s="34" t="s">
        <v>341</v>
      </c>
      <c r="E1109" s="34"/>
      <c r="F1109" s="39">
        <v>14632</v>
      </c>
      <c r="G1109" s="39">
        <v>14632</v>
      </c>
      <c r="H1109" s="38">
        <v>46099</v>
      </c>
      <c r="I1109" s="38" t="s">
        <v>1796</v>
      </c>
      <c r="J1109" s="42">
        <f t="shared" si="33"/>
        <v>12</v>
      </c>
      <c r="K1109" s="43">
        <v>-14632</v>
      </c>
    </row>
    <row r="1110" spans="1:11" x14ac:dyDescent="0.25">
      <c r="A1110" s="38">
        <v>46069</v>
      </c>
      <c r="B1110" s="33" t="s">
        <v>1454</v>
      </c>
      <c r="C1110" s="36" t="s">
        <v>122</v>
      </c>
      <c r="D1110" s="34" t="s">
        <v>402</v>
      </c>
      <c r="E1110" s="34"/>
      <c r="F1110" s="37">
        <v>68487</v>
      </c>
      <c r="G1110" s="37">
        <v>68487</v>
      </c>
      <c r="H1110" s="38">
        <v>46084</v>
      </c>
      <c r="I1110" s="38" t="s">
        <v>1796</v>
      </c>
      <c r="J1110" s="42">
        <f t="shared" si="33"/>
        <v>12</v>
      </c>
      <c r="K1110" s="43">
        <v>68487</v>
      </c>
    </row>
    <row r="1111" spans="1:11" x14ac:dyDescent="0.25">
      <c r="A1111" s="38">
        <v>46069</v>
      </c>
      <c r="B1111" s="33" t="s">
        <v>1455</v>
      </c>
      <c r="C1111" s="36" t="s">
        <v>126</v>
      </c>
      <c r="D1111" s="34" t="s">
        <v>426</v>
      </c>
      <c r="E1111" s="34"/>
      <c r="F1111" s="37">
        <v>134227.42000000001</v>
      </c>
      <c r="G1111" s="37">
        <v>134227.42000000001</v>
      </c>
      <c r="H1111" s="38">
        <v>46084</v>
      </c>
      <c r="I1111" s="38" t="s">
        <v>1796</v>
      </c>
      <c r="J1111" s="42">
        <f t="shared" si="33"/>
        <v>12</v>
      </c>
      <c r="K1111" s="43">
        <v>134227.42000000001</v>
      </c>
    </row>
    <row r="1112" spans="1:11" x14ac:dyDescent="0.25">
      <c r="A1112" s="38">
        <v>46069</v>
      </c>
      <c r="B1112" s="33" t="s">
        <v>1456</v>
      </c>
      <c r="C1112" s="36" t="s">
        <v>140</v>
      </c>
      <c r="D1112" s="34" t="s">
        <v>402</v>
      </c>
      <c r="E1112" s="34"/>
      <c r="F1112" s="37">
        <v>125031.35</v>
      </c>
      <c r="G1112" s="37">
        <v>125031.35</v>
      </c>
      <c r="H1112" s="38">
        <v>46069</v>
      </c>
      <c r="I1112" s="38" t="s">
        <v>1796</v>
      </c>
      <c r="J1112" s="42">
        <v>12</v>
      </c>
      <c r="K1112" s="43">
        <v>125031.35</v>
      </c>
    </row>
    <row r="1113" spans="1:11" x14ac:dyDescent="0.25">
      <c r="A1113" s="38">
        <v>46069</v>
      </c>
      <c r="B1113" s="33" t="s">
        <v>1457</v>
      </c>
      <c r="C1113" s="36" t="s">
        <v>140</v>
      </c>
      <c r="D1113" s="34" t="s">
        <v>8</v>
      </c>
      <c r="E1113" s="34"/>
      <c r="F1113" s="37">
        <v>22505.64</v>
      </c>
      <c r="G1113" s="37">
        <v>22505.64</v>
      </c>
      <c r="H1113" s="38">
        <v>46069</v>
      </c>
      <c r="I1113" s="38" t="s">
        <v>1796</v>
      </c>
      <c r="J1113" s="42">
        <v>12</v>
      </c>
      <c r="K1113" s="43">
        <v>22505.64</v>
      </c>
    </row>
    <row r="1114" spans="1:11" x14ac:dyDescent="0.25">
      <c r="A1114" s="38">
        <v>46069</v>
      </c>
      <c r="B1114" s="33" t="s">
        <v>1458</v>
      </c>
      <c r="C1114" s="36" t="s">
        <v>140</v>
      </c>
      <c r="D1114" s="34" t="s">
        <v>8</v>
      </c>
      <c r="E1114" s="34"/>
      <c r="F1114" s="39">
        <v>2501</v>
      </c>
      <c r="G1114" s="39">
        <v>2501</v>
      </c>
      <c r="H1114" s="38">
        <v>46069</v>
      </c>
      <c r="I1114" s="38" t="s">
        <v>1796</v>
      </c>
      <c r="J1114" s="42">
        <v>12</v>
      </c>
      <c r="K1114" s="43">
        <v>-2501</v>
      </c>
    </row>
    <row r="1115" spans="1:11" x14ac:dyDescent="0.25">
      <c r="A1115" s="38">
        <v>46069</v>
      </c>
      <c r="B1115" s="33" t="s">
        <v>1459</v>
      </c>
      <c r="C1115" s="36" t="s">
        <v>258</v>
      </c>
      <c r="D1115" s="34" t="s">
        <v>561</v>
      </c>
      <c r="E1115" s="34"/>
      <c r="F1115" s="37">
        <v>199574</v>
      </c>
      <c r="G1115" s="37">
        <v>199574</v>
      </c>
      <c r="H1115" s="38">
        <v>46069</v>
      </c>
      <c r="I1115" s="38" t="s">
        <v>1796</v>
      </c>
      <c r="J1115" s="42">
        <v>12</v>
      </c>
      <c r="K1115" s="43">
        <v>199574</v>
      </c>
    </row>
    <row r="1116" spans="1:11" x14ac:dyDescent="0.25">
      <c r="A1116" s="38">
        <v>46069</v>
      </c>
      <c r="B1116" s="33" t="s">
        <v>1460</v>
      </c>
      <c r="C1116" s="36" t="s">
        <v>258</v>
      </c>
      <c r="D1116" s="34" t="s">
        <v>561</v>
      </c>
      <c r="E1116" s="34"/>
      <c r="F1116" s="37">
        <v>198427</v>
      </c>
      <c r="G1116" s="37">
        <v>198427</v>
      </c>
      <c r="H1116" s="38">
        <v>46069</v>
      </c>
      <c r="I1116" s="38" t="s">
        <v>1796</v>
      </c>
      <c r="J1116" s="42">
        <v>12</v>
      </c>
      <c r="K1116" s="43">
        <v>198427</v>
      </c>
    </row>
    <row r="1117" spans="1:11" x14ac:dyDescent="0.25">
      <c r="A1117" s="38">
        <v>46069</v>
      </c>
      <c r="B1117" s="33" t="s">
        <v>1461</v>
      </c>
      <c r="C1117" s="36" t="s">
        <v>290</v>
      </c>
      <c r="D1117" s="34" t="s">
        <v>402</v>
      </c>
      <c r="E1117" s="34"/>
      <c r="F1117" s="39">
        <v>350000</v>
      </c>
      <c r="G1117" s="39">
        <v>350000</v>
      </c>
      <c r="H1117" s="38">
        <v>46069</v>
      </c>
      <c r="I1117" s="38" t="s">
        <v>1796</v>
      </c>
      <c r="J1117" s="42">
        <v>12</v>
      </c>
      <c r="K1117" s="43">
        <v>-350000</v>
      </c>
    </row>
    <row r="1118" spans="1:11" x14ac:dyDescent="0.25">
      <c r="A1118" s="38">
        <v>46069</v>
      </c>
      <c r="B1118" s="33" t="s">
        <v>1462</v>
      </c>
      <c r="C1118" s="36" t="s">
        <v>301</v>
      </c>
      <c r="D1118" s="34" t="s">
        <v>402</v>
      </c>
      <c r="E1118" s="34"/>
      <c r="F1118" s="37">
        <v>341141.84</v>
      </c>
      <c r="G1118" s="37">
        <v>241335.18</v>
      </c>
      <c r="H1118" s="38">
        <v>46069</v>
      </c>
      <c r="I1118" s="38" t="s">
        <v>1796</v>
      </c>
      <c r="J1118" s="42">
        <v>12</v>
      </c>
      <c r="K1118" s="43">
        <v>241335.18</v>
      </c>
    </row>
    <row r="1119" spans="1:11" x14ac:dyDescent="0.25">
      <c r="A1119" s="38">
        <v>46069</v>
      </c>
      <c r="B1119" s="33" t="s">
        <v>1463</v>
      </c>
      <c r="C1119" s="36" t="s">
        <v>1464</v>
      </c>
      <c r="D1119" s="34" t="s">
        <v>402</v>
      </c>
      <c r="E1119" s="34"/>
      <c r="F1119" s="37">
        <v>173612</v>
      </c>
      <c r="G1119" s="37">
        <v>11129</v>
      </c>
      <c r="H1119" s="38">
        <v>46069</v>
      </c>
      <c r="I1119" s="38" t="s">
        <v>1796</v>
      </c>
      <c r="J1119" s="42">
        <v>12</v>
      </c>
      <c r="K1119" s="43">
        <v>11129</v>
      </c>
    </row>
    <row r="1120" spans="1:11" x14ac:dyDescent="0.25">
      <c r="A1120" s="38">
        <v>46070</v>
      </c>
      <c r="B1120" s="33" t="s">
        <v>1465</v>
      </c>
      <c r="C1120" s="36" t="s">
        <v>23</v>
      </c>
      <c r="D1120" s="34" t="s">
        <v>449</v>
      </c>
      <c r="E1120" s="34"/>
      <c r="F1120" s="37">
        <v>17098.2</v>
      </c>
      <c r="G1120" s="37">
        <v>17098.2</v>
      </c>
      <c r="H1120" s="38">
        <v>46070</v>
      </c>
      <c r="I1120" s="38" t="s">
        <v>1796</v>
      </c>
      <c r="J1120" s="42">
        <v>11</v>
      </c>
      <c r="K1120" s="43">
        <v>17098.2</v>
      </c>
    </row>
    <row r="1121" spans="1:11" x14ac:dyDescent="0.25">
      <c r="A1121" s="38">
        <v>46070</v>
      </c>
      <c r="B1121" s="33" t="s">
        <v>1466</v>
      </c>
      <c r="C1121" s="36" t="s">
        <v>26</v>
      </c>
      <c r="D1121" s="34" t="s">
        <v>426</v>
      </c>
      <c r="E1121" s="34"/>
      <c r="F1121" s="37">
        <v>46866.53</v>
      </c>
      <c r="G1121" s="37">
        <v>46866.53</v>
      </c>
      <c r="H1121" s="38">
        <v>46070</v>
      </c>
      <c r="I1121" s="38" t="s">
        <v>1796</v>
      </c>
      <c r="J1121" s="42">
        <v>11</v>
      </c>
      <c r="K1121" s="43">
        <v>46866.53</v>
      </c>
    </row>
    <row r="1122" spans="1:11" x14ac:dyDescent="0.25">
      <c r="A1122" s="38">
        <v>46070</v>
      </c>
      <c r="B1122" s="33" t="s">
        <v>1467</v>
      </c>
      <c r="C1122" s="36" t="s">
        <v>26</v>
      </c>
      <c r="D1122" s="34" t="s">
        <v>426</v>
      </c>
      <c r="E1122" s="34"/>
      <c r="F1122" s="37">
        <v>45976.56</v>
      </c>
      <c r="G1122" s="37">
        <v>45976.56</v>
      </c>
      <c r="H1122" s="38">
        <v>46070</v>
      </c>
      <c r="I1122" s="38" t="s">
        <v>1796</v>
      </c>
      <c r="J1122" s="42">
        <v>11</v>
      </c>
      <c r="K1122" s="43">
        <v>45976.56</v>
      </c>
    </row>
    <row r="1123" spans="1:11" x14ac:dyDescent="0.25">
      <c r="A1123" s="38">
        <v>46070</v>
      </c>
      <c r="B1123" s="33" t="s">
        <v>1468</v>
      </c>
      <c r="C1123" s="36" t="s">
        <v>26</v>
      </c>
      <c r="D1123" s="34" t="s">
        <v>426</v>
      </c>
      <c r="E1123" s="34"/>
      <c r="F1123" s="37">
        <v>42766.32</v>
      </c>
      <c r="G1123" s="37">
        <v>42766.32</v>
      </c>
      <c r="H1123" s="38">
        <v>46070</v>
      </c>
      <c r="I1123" s="38" t="s">
        <v>1796</v>
      </c>
      <c r="J1123" s="42">
        <v>11</v>
      </c>
      <c r="K1123" s="43">
        <v>42766.32</v>
      </c>
    </row>
    <row r="1124" spans="1:11" x14ac:dyDescent="0.25">
      <c r="A1124" s="38">
        <v>46070</v>
      </c>
      <c r="B1124" s="33" t="s">
        <v>1469</v>
      </c>
      <c r="C1124" s="36" t="s">
        <v>26</v>
      </c>
      <c r="D1124" s="34" t="s">
        <v>426</v>
      </c>
      <c r="E1124" s="34"/>
      <c r="F1124" s="37">
        <v>46739.39</v>
      </c>
      <c r="G1124" s="37">
        <v>46739.39</v>
      </c>
      <c r="H1124" s="38">
        <v>46070</v>
      </c>
      <c r="I1124" s="38" t="s">
        <v>1796</v>
      </c>
      <c r="J1124" s="42">
        <v>11</v>
      </c>
      <c r="K1124" s="43">
        <v>46739.39</v>
      </c>
    </row>
    <row r="1125" spans="1:11" x14ac:dyDescent="0.25">
      <c r="A1125" s="38">
        <v>46070</v>
      </c>
      <c r="B1125" s="33" t="s">
        <v>1470</v>
      </c>
      <c r="C1125" s="36" t="s">
        <v>26</v>
      </c>
      <c r="D1125" s="34" t="s">
        <v>426</v>
      </c>
      <c r="E1125" s="34"/>
      <c r="F1125" s="37">
        <v>44927.68</v>
      </c>
      <c r="G1125" s="37">
        <v>44927.68</v>
      </c>
      <c r="H1125" s="38">
        <v>46070</v>
      </c>
      <c r="I1125" s="38" t="s">
        <v>1796</v>
      </c>
      <c r="J1125" s="42">
        <v>11</v>
      </c>
      <c r="K1125" s="43">
        <v>44927.68</v>
      </c>
    </row>
    <row r="1126" spans="1:11" x14ac:dyDescent="0.25">
      <c r="A1126" s="38">
        <v>46070</v>
      </c>
      <c r="B1126" s="33" t="s">
        <v>1471</v>
      </c>
      <c r="C1126" s="36" t="s">
        <v>26</v>
      </c>
      <c r="D1126" s="34" t="s">
        <v>426</v>
      </c>
      <c r="E1126" s="34"/>
      <c r="F1126" s="37">
        <v>79072.58</v>
      </c>
      <c r="G1126" s="37">
        <v>79072.58</v>
      </c>
      <c r="H1126" s="38">
        <v>46070</v>
      </c>
      <c r="I1126" s="38" t="s">
        <v>1796</v>
      </c>
      <c r="J1126" s="42">
        <v>11</v>
      </c>
      <c r="K1126" s="43">
        <v>79072.58</v>
      </c>
    </row>
    <row r="1127" spans="1:11" x14ac:dyDescent="0.25">
      <c r="A1127" s="38">
        <v>46070</v>
      </c>
      <c r="B1127" s="33" t="s">
        <v>1472</v>
      </c>
      <c r="C1127" s="36" t="s">
        <v>26</v>
      </c>
      <c r="D1127" s="34" t="s">
        <v>426</v>
      </c>
      <c r="E1127" s="34"/>
      <c r="F1127" s="37">
        <v>83726.98</v>
      </c>
      <c r="G1127" s="37">
        <v>83726.98</v>
      </c>
      <c r="H1127" s="38">
        <v>46070</v>
      </c>
      <c r="I1127" s="38" t="s">
        <v>1796</v>
      </c>
      <c r="J1127" s="42">
        <v>11</v>
      </c>
      <c r="K1127" s="43">
        <v>83726.98</v>
      </c>
    </row>
    <row r="1128" spans="1:11" x14ac:dyDescent="0.25">
      <c r="A1128" s="38">
        <v>46070</v>
      </c>
      <c r="B1128" s="33" t="s">
        <v>1473</v>
      </c>
      <c r="C1128" s="36" t="s">
        <v>62</v>
      </c>
      <c r="D1128" s="34" t="s">
        <v>561</v>
      </c>
      <c r="E1128" s="34"/>
      <c r="F1128" s="37">
        <v>76932</v>
      </c>
      <c r="G1128" s="37">
        <v>76932</v>
      </c>
      <c r="H1128" s="38">
        <v>46130</v>
      </c>
      <c r="I1128" s="38" t="s">
        <v>1796</v>
      </c>
      <c r="J1128" s="42">
        <f t="shared" ref="J1128:J1130" si="34">$I$1-A1128</f>
        <v>11</v>
      </c>
      <c r="K1128" s="43">
        <v>76932</v>
      </c>
    </row>
    <row r="1129" spans="1:11" x14ac:dyDescent="0.25">
      <c r="A1129" s="38">
        <v>46070</v>
      </c>
      <c r="B1129" s="33" t="s">
        <v>1474</v>
      </c>
      <c r="C1129" s="36" t="s">
        <v>62</v>
      </c>
      <c r="D1129" s="34" t="s">
        <v>561</v>
      </c>
      <c r="E1129" s="34"/>
      <c r="F1129" s="37">
        <v>78577</v>
      </c>
      <c r="G1129" s="37">
        <v>78577</v>
      </c>
      <c r="H1129" s="38">
        <v>46130</v>
      </c>
      <c r="I1129" s="38" t="s">
        <v>1796</v>
      </c>
      <c r="J1129" s="42">
        <f t="shared" si="34"/>
        <v>11</v>
      </c>
      <c r="K1129" s="43">
        <v>78577</v>
      </c>
    </row>
    <row r="1130" spans="1:11" x14ac:dyDescent="0.25">
      <c r="A1130" s="38">
        <v>46070</v>
      </c>
      <c r="B1130" s="33" t="s">
        <v>1475</v>
      </c>
      <c r="C1130" s="36" t="s">
        <v>89</v>
      </c>
      <c r="D1130" s="34" t="s">
        <v>402</v>
      </c>
      <c r="E1130" s="34"/>
      <c r="F1130" s="39">
        <v>581250</v>
      </c>
      <c r="G1130" s="39">
        <v>581250</v>
      </c>
      <c r="H1130" s="38">
        <v>46100</v>
      </c>
      <c r="I1130" s="38" t="s">
        <v>1796</v>
      </c>
      <c r="J1130" s="42">
        <f t="shared" si="34"/>
        <v>11</v>
      </c>
      <c r="K1130" s="43">
        <v>-581250</v>
      </c>
    </row>
    <row r="1131" spans="1:11" x14ac:dyDescent="0.25">
      <c r="A1131" s="38">
        <v>46070</v>
      </c>
      <c r="B1131" s="33" t="s">
        <v>1476</v>
      </c>
      <c r="C1131" s="36" t="s">
        <v>118</v>
      </c>
      <c r="D1131" s="34" t="s">
        <v>8</v>
      </c>
      <c r="E1131" s="34"/>
      <c r="F1131" s="37">
        <v>24300</v>
      </c>
      <c r="G1131" s="37">
        <v>24300</v>
      </c>
      <c r="H1131" s="38">
        <v>46070</v>
      </c>
      <c r="I1131" s="38" t="s">
        <v>1796</v>
      </c>
      <c r="J1131" s="42">
        <v>11</v>
      </c>
      <c r="K1131" s="43">
        <v>24300</v>
      </c>
    </row>
    <row r="1132" spans="1:11" x14ac:dyDescent="0.25">
      <c r="A1132" s="38">
        <v>46070</v>
      </c>
      <c r="B1132" s="33" t="s">
        <v>1477</v>
      </c>
      <c r="C1132" s="36" t="s">
        <v>126</v>
      </c>
      <c r="D1132" s="34" t="s">
        <v>426</v>
      </c>
      <c r="E1132" s="34"/>
      <c r="F1132" s="37">
        <v>132174</v>
      </c>
      <c r="G1132" s="37">
        <v>132174</v>
      </c>
      <c r="H1132" s="38">
        <v>46085</v>
      </c>
      <c r="I1132" s="38" t="s">
        <v>1796</v>
      </c>
      <c r="J1132" s="42">
        <f>$I$1-A1132</f>
        <v>11</v>
      </c>
      <c r="K1132" s="43">
        <v>132174</v>
      </c>
    </row>
    <row r="1133" spans="1:11" x14ac:dyDescent="0.25">
      <c r="A1133" s="38">
        <v>46070</v>
      </c>
      <c r="B1133" s="33" t="s">
        <v>1478</v>
      </c>
      <c r="C1133" s="36" t="s">
        <v>136</v>
      </c>
      <c r="D1133" s="34" t="s">
        <v>433</v>
      </c>
      <c r="E1133" s="34"/>
      <c r="F1133" s="37">
        <v>75000</v>
      </c>
      <c r="G1133" s="37">
        <v>75000</v>
      </c>
      <c r="H1133" s="38">
        <v>46070</v>
      </c>
      <c r="I1133" s="38" t="s">
        <v>1796</v>
      </c>
      <c r="J1133" s="42">
        <v>11</v>
      </c>
      <c r="K1133" s="43">
        <v>75000</v>
      </c>
    </row>
    <row r="1134" spans="1:11" x14ac:dyDescent="0.25">
      <c r="A1134" s="38">
        <v>46070</v>
      </c>
      <c r="B1134" s="33" t="s">
        <v>1479</v>
      </c>
      <c r="C1134" s="36" t="s">
        <v>136</v>
      </c>
      <c r="D1134" s="34" t="s">
        <v>433</v>
      </c>
      <c r="E1134" s="34"/>
      <c r="F1134" s="37">
        <v>79500</v>
      </c>
      <c r="G1134" s="37">
        <v>79500</v>
      </c>
      <c r="H1134" s="38">
        <v>46070</v>
      </c>
      <c r="I1134" s="38" t="s">
        <v>1796</v>
      </c>
      <c r="J1134" s="42">
        <v>11</v>
      </c>
      <c r="K1134" s="43">
        <v>79500</v>
      </c>
    </row>
    <row r="1135" spans="1:11" x14ac:dyDescent="0.25">
      <c r="A1135" s="38">
        <v>46070</v>
      </c>
      <c r="B1135" s="33" t="s">
        <v>1480</v>
      </c>
      <c r="C1135" s="36" t="s">
        <v>136</v>
      </c>
      <c r="D1135" s="34" t="s">
        <v>433</v>
      </c>
      <c r="E1135" s="34"/>
      <c r="F1135" s="37">
        <v>79500</v>
      </c>
      <c r="G1135" s="37">
        <v>79500</v>
      </c>
      <c r="H1135" s="38">
        <v>46070</v>
      </c>
      <c r="I1135" s="38" t="s">
        <v>1796</v>
      </c>
      <c r="J1135" s="42">
        <v>11</v>
      </c>
      <c r="K1135" s="43">
        <v>79500</v>
      </c>
    </row>
    <row r="1136" spans="1:11" x14ac:dyDescent="0.25">
      <c r="A1136" s="38">
        <v>46070</v>
      </c>
      <c r="B1136" s="33" t="s">
        <v>1481</v>
      </c>
      <c r="C1136" s="36" t="s">
        <v>136</v>
      </c>
      <c r="D1136" s="34" t="s">
        <v>433</v>
      </c>
      <c r="E1136" s="34"/>
      <c r="F1136" s="37">
        <v>91000</v>
      </c>
      <c r="G1136" s="37">
        <v>91000</v>
      </c>
      <c r="H1136" s="38">
        <v>46070</v>
      </c>
      <c r="I1136" s="38" t="s">
        <v>1796</v>
      </c>
      <c r="J1136" s="42">
        <v>11</v>
      </c>
      <c r="K1136" s="43">
        <v>91000</v>
      </c>
    </row>
    <row r="1137" spans="1:11" x14ac:dyDescent="0.25">
      <c r="A1137" s="38">
        <v>46070</v>
      </c>
      <c r="B1137" s="33" t="s">
        <v>1482</v>
      </c>
      <c r="C1137" s="36" t="s">
        <v>149</v>
      </c>
      <c r="D1137" s="34" t="s">
        <v>449</v>
      </c>
      <c r="E1137" s="34"/>
      <c r="F1137" s="39">
        <v>7727.3</v>
      </c>
      <c r="G1137" s="39">
        <v>0.3</v>
      </c>
      <c r="H1137" s="38">
        <v>46070</v>
      </c>
      <c r="I1137" s="38" t="s">
        <v>1796</v>
      </c>
      <c r="J1137" s="42">
        <v>11</v>
      </c>
      <c r="K1137" s="43">
        <v>-0.3</v>
      </c>
    </row>
    <row r="1138" spans="1:11" x14ac:dyDescent="0.25">
      <c r="A1138" s="38">
        <v>46070</v>
      </c>
      <c r="B1138" s="33" t="s">
        <v>1299</v>
      </c>
      <c r="C1138" s="36" t="s">
        <v>163</v>
      </c>
      <c r="D1138" s="34" t="s">
        <v>433</v>
      </c>
      <c r="E1138" s="34"/>
      <c r="F1138" s="37">
        <v>230100</v>
      </c>
      <c r="G1138" s="37">
        <v>230100</v>
      </c>
      <c r="H1138" s="38">
        <v>46100</v>
      </c>
      <c r="I1138" s="38" t="s">
        <v>1796</v>
      </c>
      <c r="J1138" s="42">
        <f>$I$1-A1138</f>
        <v>11</v>
      </c>
      <c r="K1138" s="43">
        <v>230100</v>
      </c>
    </row>
    <row r="1139" spans="1:11" x14ac:dyDescent="0.25">
      <c r="A1139" s="38">
        <v>46070</v>
      </c>
      <c r="B1139" s="33" t="s">
        <v>1483</v>
      </c>
      <c r="C1139" s="36" t="s">
        <v>186</v>
      </c>
      <c r="D1139" s="34" t="s">
        <v>433</v>
      </c>
      <c r="E1139" s="34"/>
      <c r="F1139" s="37">
        <v>569000.26</v>
      </c>
      <c r="G1139" s="37">
        <v>569000.26</v>
      </c>
      <c r="H1139" s="38">
        <v>46077</v>
      </c>
      <c r="I1139" s="38" t="s">
        <v>1796</v>
      </c>
      <c r="J1139" s="42">
        <v>4</v>
      </c>
      <c r="K1139" s="43">
        <v>569000.26</v>
      </c>
    </row>
    <row r="1140" spans="1:11" x14ac:dyDescent="0.25">
      <c r="A1140" s="38">
        <v>46070</v>
      </c>
      <c r="B1140" s="33" t="s">
        <v>1484</v>
      </c>
      <c r="C1140" s="36" t="s">
        <v>243</v>
      </c>
      <c r="D1140" s="34" t="s">
        <v>373</v>
      </c>
      <c r="E1140" s="34"/>
      <c r="F1140" s="37">
        <v>142506</v>
      </c>
      <c r="G1140" s="37">
        <v>142506</v>
      </c>
      <c r="H1140" s="38">
        <v>46090</v>
      </c>
      <c r="I1140" s="38" t="s">
        <v>1796</v>
      </c>
      <c r="J1140" s="42">
        <f>$I$1-A1140</f>
        <v>11</v>
      </c>
      <c r="K1140" s="43">
        <v>142506</v>
      </c>
    </row>
    <row r="1141" spans="1:11" x14ac:dyDescent="0.25">
      <c r="A1141" s="38">
        <v>46070</v>
      </c>
      <c r="B1141" s="33" t="s">
        <v>1485</v>
      </c>
      <c r="C1141" s="36" t="s">
        <v>258</v>
      </c>
      <c r="D1141" s="34" t="s">
        <v>561</v>
      </c>
      <c r="E1141" s="34"/>
      <c r="F1141" s="37">
        <v>169752</v>
      </c>
      <c r="G1141" s="37">
        <v>169752</v>
      </c>
      <c r="H1141" s="38">
        <v>46070</v>
      </c>
      <c r="I1141" s="38" t="s">
        <v>1796</v>
      </c>
      <c r="J1141" s="42">
        <v>11</v>
      </c>
      <c r="K1141" s="43">
        <v>169752</v>
      </c>
    </row>
    <row r="1142" spans="1:11" x14ac:dyDescent="0.25">
      <c r="A1142" s="38">
        <v>46070</v>
      </c>
      <c r="B1142" s="33" t="s">
        <v>1486</v>
      </c>
      <c r="C1142" s="36" t="s">
        <v>258</v>
      </c>
      <c r="D1142" s="34" t="s">
        <v>561</v>
      </c>
      <c r="E1142" s="34"/>
      <c r="F1142" s="37">
        <v>57349</v>
      </c>
      <c r="G1142" s="37">
        <v>57349</v>
      </c>
      <c r="H1142" s="38">
        <v>46070</v>
      </c>
      <c r="I1142" s="38" t="s">
        <v>1796</v>
      </c>
      <c r="J1142" s="42">
        <v>11</v>
      </c>
      <c r="K1142" s="43">
        <v>57349</v>
      </c>
    </row>
    <row r="1143" spans="1:11" x14ac:dyDescent="0.25">
      <c r="A1143" s="38">
        <v>46070</v>
      </c>
      <c r="B1143" s="33" t="s">
        <v>1487</v>
      </c>
      <c r="C1143" s="36" t="s">
        <v>1464</v>
      </c>
      <c r="D1143" s="34" t="s">
        <v>402</v>
      </c>
      <c r="E1143" s="34"/>
      <c r="F1143" s="39">
        <v>11129</v>
      </c>
      <c r="G1143" s="39">
        <v>11129</v>
      </c>
      <c r="H1143" s="38">
        <v>46070</v>
      </c>
      <c r="I1143" s="38" t="s">
        <v>1796</v>
      </c>
      <c r="J1143" s="42">
        <v>11</v>
      </c>
      <c r="K1143" s="43">
        <v>-11129</v>
      </c>
    </row>
    <row r="1144" spans="1:11" x14ac:dyDescent="0.25">
      <c r="A1144" s="38">
        <v>46071</v>
      </c>
      <c r="B1144" s="33" t="s">
        <v>1488</v>
      </c>
      <c r="C1144" s="36" t="s">
        <v>26</v>
      </c>
      <c r="D1144" s="34" t="s">
        <v>426</v>
      </c>
      <c r="E1144" s="34"/>
      <c r="F1144" s="37">
        <v>45769.97</v>
      </c>
      <c r="G1144" s="37">
        <v>45769.97</v>
      </c>
      <c r="H1144" s="38">
        <v>46071</v>
      </c>
      <c r="I1144" s="38" t="s">
        <v>1796</v>
      </c>
      <c r="J1144" s="42">
        <v>10</v>
      </c>
      <c r="K1144" s="43">
        <v>45769.97</v>
      </c>
    </row>
    <row r="1145" spans="1:11" x14ac:dyDescent="0.25">
      <c r="A1145" s="38">
        <v>46071</v>
      </c>
      <c r="B1145" s="33" t="s">
        <v>1489</v>
      </c>
      <c r="C1145" s="36" t="s">
        <v>26</v>
      </c>
      <c r="D1145" s="34" t="s">
        <v>426</v>
      </c>
      <c r="E1145" s="34"/>
      <c r="F1145" s="37">
        <v>49981.440000000002</v>
      </c>
      <c r="G1145" s="37">
        <v>49981.440000000002</v>
      </c>
      <c r="H1145" s="38">
        <v>46071</v>
      </c>
      <c r="I1145" s="38" t="s">
        <v>1796</v>
      </c>
      <c r="J1145" s="42">
        <v>10</v>
      </c>
      <c r="K1145" s="43">
        <v>49981.440000000002</v>
      </c>
    </row>
    <row r="1146" spans="1:11" x14ac:dyDescent="0.25">
      <c r="A1146" s="38">
        <v>46071</v>
      </c>
      <c r="B1146" s="33" t="s">
        <v>1490</v>
      </c>
      <c r="C1146" s="36" t="s">
        <v>54</v>
      </c>
      <c r="D1146" s="34" t="s">
        <v>402</v>
      </c>
      <c r="E1146" s="34"/>
      <c r="F1146" s="37">
        <v>16240</v>
      </c>
      <c r="G1146" s="37">
        <v>16240</v>
      </c>
      <c r="H1146" s="38">
        <v>46071</v>
      </c>
      <c r="I1146" s="38" t="s">
        <v>1796</v>
      </c>
      <c r="J1146" s="42">
        <v>10</v>
      </c>
      <c r="K1146" s="43">
        <v>16240</v>
      </c>
    </row>
    <row r="1147" spans="1:11" x14ac:dyDescent="0.25">
      <c r="A1147" s="38">
        <v>46071</v>
      </c>
      <c r="B1147" s="33" t="s">
        <v>1491</v>
      </c>
      <c r="C1147" s="36" t="s">
        <v>62</v>
      </c>
      <c r="D1147" s="34" t="s">
        <v>561</v>
      </c>
      <c r="E1147" s="34"/>
      <c r="F1147" s="37">
        <v>77298</v>
      </c>
      <c r="G1147" s="37">
        <v>77298</v>
      </c>
      <c r="H1147" s="38">
        <v>46131</v>
      </c>
      <c r="I1147" s="38" t="s">
        <v>1796</v>
      </c>
      <c r="J1147" s="42">
        <f t="shared" ref="J1147:J1148" si="35">$I$1-A1147</f>
        <v>10</v>
      </c>
      <c r="K1147" s="43">
        <v>77298</v>
      </c>
    </row>
    <row r="1148" spans="1:11" x14ac:dyDescent="0.25">
      <c r="A1148" s="38">
        <v>46071</v>
      </c>
      <c r="B1148" s="33" t="s">
        <v>1492</v>
      </c>
      <c r="C1148" s="36" t="s">
        <v>62</v>
      </c>
      <c r="D1148" s="34" t="s">
        <v>561</v>
      </c>
      <c r="E1148" s="34"/>
      <c r="F1148" s="37">
        <v>77167</v>
      </c>
      <c r="G1148" s="37">
        <v>77167</v>
      </c>
      <c r="H1148" s="38">
        <v>46131</v>
      </c>
      <c r="I1148" s="38" t="s">
        <v>1796</v>
      </c>
      <c r="J1148" s="42">
        <f t="shared" si="35"/>
        <v>10</v>
      </c>
      <c r="K1148" s="43">
        <v>77167</v>
      </c>
    </row>
    <row r="1149" spans="1:11" x14ac:dyDescent="0.25">
      <c r="A1149" s="38">
        <v>46071</v>
      </c>
      <c r="B1149" s="33" t="s">
        <v>1493</v>
      </c>
      <c r="C1149" s="36" t="s">
        <v>136</v>
      </c>
      <c r="D1149" s="34" t="s">
        <v>433</v>
      </c>
      <c r="E1149" s="34"/>
      <c r="F1149" s="37">
        <v>97000</v>
      </c>
      <c r="G1149" s="37">
        <v>97000</v>
      </c>
      <c r="H1149" s="38">
        <v>46071</v>
      </c>
      <c r="I1149" s="38" t="s">
        <v>1796</v>
      </c>
      <c r="J1149" s="42">
        <v>10</v>
      </c>
      <c r="K1149" s="43">
        <v>97000</v>
      </c>
    </row>
    <row r="1150" spans="1:11" x14ac:dyDescent="0.25">
      <c r="A1150" s="38">
        <v>46071</v>
      </c>
      <c r="B1150" s="33" t="s">
        <v>1494</v>
      </c>
      <c r="C1150" s="36" t="s">
        <v>245</v>
      </c>
      <c r="D1150" s="34" t="s">
        <v>642</v>
      </c>
      <c r="E1150" s="34"/>
      <c r="F1150" s="37">
        <v>60900</v>
      </c>
      <c r="G1150" s="37">
        <v>60900</v>
      </c>
      <c r="H1150" s="38">
        <v>46071</v>
      </c>
      <c r="I1150" s="38" t="s">
        <v>1796</v>
      </c>
      <c r="J1150" s="42">
        <v>10</v>
      </c>
      <c r="K1150" s="43">
        <v>60900</v>
      </c>
    </row>
    <row r="1151" spans="1:11" x14ac:dyDescent="0.25">
      <c r="A1151" s="38">
        <v>46071</v>
      </c>
      <c r="B1151" s="33" t="s">
        <v>1495</v>
      </c>
      <c r="C1151" s="36" t="s">
        <v>291</v>
      </c>
      <c r="D1151" s="34" t="s">
        <v>561</v>
      </c>
      <c r="E1151" s="34"/>
      <c r="F1151" s="37">
        <v>12250</v>
      </c>
      <c r="G1151" s="37">
        <v>12250</v>
      </c>
      <c r="H1151" s="38">
        <v>46071</v>
      </c>
      <c r="I1151" s="38" t="s">
        <v>1796</v>
      </c>
      <c r="J1151" s="42">
        <v>10</v>
      </c>
      <c r="K1151" s="43">
        <v>12250</v>
      </c>
    </row>
    <row r="1152" spans="1:11" x14ac:dyDescent="0.25">
      <c r="A1152" s="38">
        <v>46071</v>
      </c>
      <c r="B1152" s="33" t="s">
        <v>1496</v>
      </c>
      <c r="C1152" s="36" t="s">
        <v>296</v>
      </c>
      <c r="D1152" s="34" t="s">
        <v>341</v>
      </c>
      <c r="E1152" s="34"/>
      <c r="F1152" s="39">
        <v>55000</v>
      </c>
      <c r="G1152" s="39">
        <v>604.41999999999996</v>
      </c>
      <c r="H1152" s="38">
        <v>46101</v>
      </c>
      <c r="I1152" s="38" t="s">
        <v>1796</v>
      </c>
      <c r="J1152" s="42">
        <f>$I$1-A1152</f>
        <v>10</v>
      </c>
      <c r="K1152" s="43">
        <v>-604.41999999999996</v>
      </c>
    </row>
    <row r="1153" spans="1:11" x14ac:dyDescent="0.25">
      <c r="A1153" s="38">
        <v>46072</v>
      </c>
      <c r="B1153" s="33" t="s">
        <v>1497</v>
      </c>
      <c r="C1153" s="36" t="s">
        <v>26</v>
      </c>
      <c r="D1153" s="34" t="s">
        <v>426</v>
      </c>
      <c r="E1153" s="34"/>
      <c r="F1153" s="37">
        <v>44419.13</v>
      </c>
      <c r="G1153" s="37">
        <v>44419.13</v>
      </c>
      <c r="H1153" s="38">
        <v>46072</v>
      </c>
      <c r="I1153" s="38" t="s">
        <v>1796</v>
      </c>
      <c r="J1153" s="42">
        <v>9</v>
      </c>
      <c r="K1153" s="43">
        <v>44419.13</v>
      </c>
    </row>
    <row r="1154" spans="1:11" x14ac:dyDescent="0.25">
      <c r="A1154" s="38">
        <v>46072</v>
      </c>
      <c r="B1154" s="33" t="s">
        <v>1498</v>
      </c>
      <c r="C1154" s="36" t="s">
        <v>26</v>
      </c>
      <c r="D1154" s="34" t="s">
        <v>426</v>
      </c>
      <c r="E1154" s="34"/>
      <c r="F1154" s="37">
        <v>44593.93</v>
      </c>
      <c r="G1154" s="37">
        <v>44593.93</v>
      </c>
      <c r="H1154" s="38">
        <v>46072</v>
      </c>
      <c r="I1154" s="38" t="s">
        <v>1796</v>
      </c>
      <c r="J1154" s="42">
        <v>9</v>
      </c>
      <c r="K1154" s="43">
        <v>44593.93</v>
      </c>
    </row>
    <row r="1155" spans="1:11" x14ac:dyDescent="0.25">
      <c r="A1155" s="38">
        <v>46072</v>
      </c>
      <c r="B1155" s="33" t="s">
        <v>572</v>
      </c>
      <c r="C1155" s="36" t="s">
        <v>40</v>
      </c>
      <c r="D1155" s="34" t="s">
        <v>426</v>
      </c>
      <c r="E1155" s="34"/>
      <c r="F1155" s="37">
        <v>408221</v>
      </c>
      <c r="G1155" s="37">
        <v>408221</v>
      </c>
      <c r="H1155" s="38">
        <v>46072</v>
      </c>
      <c r="I1155" s="38" t="s">
        <v>1796</v>
      </c>
      <c r="J1155" s="42">
        <v>9</v>
      </c>
      <c r="K1155" s="43">
        <v>408221</v>
      </c>
    </row>
    <row r="1156" spans="1:11" x14ac:dyDescent="0.25">
      <c r="A1156" s="38">
        <v>46072</v>
      </c>
      <c r="B1156" s="33" t="s">
        <v>1499</v>
      </c>
      <c r="C1156" s="36" t="s">
        <v>43</v>
      </c>
      <c r="D1156" s="34" t="s">
        <v>642</v>
      </c>
      <c r="E1156" s="34"/>
      <c r="F1156" s="37">
        <v>58870</v>
      </c>
      <c r="G1156" s="37">
        <v>58870</v>
      </c>
      <c r="H1156" s="38">
        <v>46102</v>
      </c>
      <c r="I1156" s="38" t="s">
        <v>1796</v>
      </c>
      <c r="J1156" s="42">
        <f t="shared" ref="J1156:J1157" si="36">$I$1-A1156</f>
        <v>9</v>
      </c>
      <c r="K1156" s="43">
        <v>58870</v>
      </c>
    </row>
    <row r="1157" spans="1:11" x14ac:dyDescent="0.25">
      <c r="A1157" s="38">
        <v>46072</v>
      </c>
      <c r="B1157" s="33" t="s">
        <v>1500</v>
      </c>
      <c r="C1157" s="36" t="s">
        <v>43</v>
      </c>
      <c r="D1157" s="34" t="s">
        <v>642</v>
      </c>
      <c r="E1157" s="34"/>
      <c r="F1157" s="37">
        <v>73080</v>
      </c>
      <c r="G1157" s="37">
        <v>73080</v>
      </c>
      <c r="H1157" s="38">
        <v>46102</v>
      </c>
      <c r="I1157" s="38" t="s">
        <v>1796</v>
      </c>
      <c r="J1157" s="42">
        <f t="shared" si="36"/>
        <v>9</v>
      </c>
      <c r="K1157" s="43">
        <v>73080</v>
      </c>
    </row>
    <row r="1158" spans="1:11" x14ac:dyDescent="0.25">
      <c r="A1158" s="38">
        <v>46072</v>
      </c>
      <c r="B1158" s="33" t="s">
        <v>1501</v>
      </c>
      <c r="C1158" s="36" t="s">
        <v>56</v>
      </c>
      <c r="D1158" s="34" t="s">
        <v>433</v>
      </c>
      <c r="E1158" s="34"/>
      <c r="F1158" s="37">
        <v>123441.7</v>
      </c>
      <c r="G1158" s="37">
        <v>123441.7</v>
      </c>
      <c r="H1158" s="38">
        <v>46072</v>
      </c>
      <c r="I1158" s="38" t="s">
        <v>1796</v>
      </c>
      <c r="J1158" s="42">
        <v>9</v>
      </c>
      <c r="K1158" s="43">
        <v>123441.7</v>
      </c>
    </row>
    <row r="1159" spans="1:11" x14ac:dyDescent="0.25">
      <c r="A1159" s="38">
        <v>46072</v>
      </c>
      <c r="B1159" s="33" t="s">
        <v>1502</v>
      </c>
      <c r="C1159" s="36" t="s">
        <v>56</v>
      </c>
      <c r="D1159" s="34" t="s">
        <v>433</v>
      </c>
      <c r="E1159" s="34"/>
      <c r="F1159" s="37">
        <v>20957.580000000002</v>
      </c>
      <c r="G1159" s="37">
        <v>20957.580000000002</v>
      </c>
      <c r="H1159" s="38">
        <v>46079</v>
      </c>
      <c r="I1159" s="38" t="s">
        <v>1796</v>
      </c>
      <c r="J1159" s="42">
        <v>2</v>
      </c>
      <c r="K1159" s="43">
        <v>20957.580000000002</v>
      </c>
    </row>
    <row r="1160" spans="1:11" x14ac:dyDescent="0.25">
      <c r="A1160" s="38">
        <v>46072</v>
      </c>
      <c r="B1160" s="33" t="s">
        <v>1503</v>
      </c>
      <c r="C1160" s="36" t="s">
        <v>102</v>
      </c>
      <c r="D1160" s="34" t="s">
        <v>341</v>
      </c>
      <c r="E1160" s="34"/>
      <c r="F1160" s="37">
        <v>9280</v>
      </c>
      <c r="G1160" s="37">
        <v>9280</v>
      </c>
      <c r="H1160" s="38">
        <v>46072</v>
      </c>
      <c r="I1160" s="38" t="s">
        <v>1796</v>
      </c>
      <c r="J1160" s="42">
        <v>9</v>
      </c>
      <c r="K1160" s="43">
        <v>9280</v>
      </c>
    </row>
    <row r="1161" spans="1:11" x14ac:dyDescent="0.25">
      <c r="A1161" s="38">
        <v>46072</v>
      </c>
      <c r="B1161" s="33" t="s">
        <v>1504</v>
      </c>
      <c r="C1161" s="36" t="s">
        <v>272</v>
      </c>
      <c r="D1161" s="34" t="s">
        <v>433</v>
      </c>
      <c r="E1161" s="34"/>
      <c r="F1161" s="37">
        <v>228813.54</v>
      </c>
      <c r="G1161" s="37">
        <v>228813.54</v>
      </c>
      <c r="H1161" s="38">
        <v>46102</v>
      </c>
      <c r="I1161" s="38" t="s">
        <v>1796</v>
      </c>
      <c r="J1161" s="42">
        <f t="shared" ref="J1161:J1162" si="37">$I$1-A1161</f>
        <v>9</v>
      </c>
      <c r="K1161" s="43">
        <v>228813.54</v>
      </c>
    </row>
    <row r="1162" spans="1:11" x14ac:dyDescent="0.25">
      <c r="A1162" s="38">
        <v>46073</v>
      </c>
      <c r="B1162" s="33" t="s">
        <v>1505</v>
      </c>
      <c r="C1162" s="36" t="s">
        <v>17</v>
      </c>
      <c r="D1162" s="34" t="s">
        <v>402</v>
      </c>
      <c r="E1162" s="34"/>
      <c r="F1162" s="37">
        <v>82976</v>
      </c>
      <c r="G1162" s="37">
        <v>82976</v>
      </c>
      <c r="H1162" s="38">
        <v>46103</v>
      </c>
      <c r="I1162" s="38" t="s">
        <v>1796</v>
      </c>
      <c r="J1162" s="42">
        <f t="shared" si="37"/>
        <v>8</v>
      </c>
      <c r="K1162" s="43">
        <v>82976</v>
      </c>
    </row>
    <row r="1163" spans="1:11" x14ac:dyDescent="0.25">
      <c r="A1163" s="38">
        <v>46073</v>
      </c>
      <c r="B1163" s="33" t="s">
        <v>1506</v>
      </c>
      <c r="C1163" s="36" t="s">
        <v>26</v>
      </c>
      <c r="D1163" s="34" t="s">
        <v>426</v>
      </c>
      <c r="E1163" s="34"/>
      <c r="F1163" s="37">
        <v>43576.82</v>
      </c>
      <c r="G1163" s="37">
        <v>43576.82</v>
      </c>
      <c r="H1163" s="38">
        <v>46073</v>
      </c>
      <c r="I1163" s="38" t="s">
        <v>1796</v>
      </c>
      <c r="J1163" s="42">
        <v>8</v>
      </c>
      <c r="K1163" s="43">
        <v>43576.82</v>
      </c>
    </row>
    <row r="1164" spans="1:11" x14ac:dyDescent="0.25">
      <c r="A1164" s="38">
        <v>46073</v>
      </c>
      <c r="B1164" s="33" t="s">
        <v>1507</v>
      </c>
      <c r="C1164" s="36" t="s">
        <v>26</v>
      </c>
      <c r="D1164" s="34" t="s">
        <v>426</v>
      </c>
      <c r="E1164" s="34"/>
      <c r="F1164" s="37">
        <v>51618.35</v>
      </c>
      <c r="G1164" s="37">
        <v>51618.35</v>
      </c>
      <c r="H1164" s="38">
        <v>46073</v>
      </c>
      <c r="I1164" s="38" t="s">
        <v>1796</v>
      </c>
      <c r="J1164" s="42">
        <v>8</v>
      </c>
      <c r="K1164" s="43">
        <v>51618.35</v>
      </c>
    </row>
    <row r="1165" spans="1:11" x14ac:dyDescent="0.25">
      <c r="A1165" s="38">
        <v>46073</v>
      </c>
      <c r="B1165" s="33" t="s">
        <v>1508</v>
      </c>
      <c r="C1165" s="36" t="s">
        <v>26</v>
      </c>
      <c r="D1165" s="34" t="s">
        <v>426</v>
      </c>
      <c r="E1165" s="34"/>
      <c r="F1165" s="37">
        <v>83948.85</v>
      </c>
      <c r="G1165" s="37">
        <v>83948.85</v>
      </c>
      <c r="H1165" s="38">
        <v>46073</v>
      </c>
      <c r="I1165" s="38" t="s">
        <v>1796</v>
      </c>
      <c r="J1165" s="42">
        <v>8</v>
      </c>
      <c r="K1165" s="43">
        <v>83948.85</v>
      </c>
    </row>
    <row r="1166" spans="1:11" x14ac:dyDescent="0.25">
      <c r="A1166" s="38">
        <v>46073</v>
      </c>
      <c r="B1166" s="33" t="s">
        <v>1509</v>
      </c>
      <c r="C1166" s="36" t="s">
        <v>26</v>
      </c>
      <c r="D1166" s="34" t="s">
        <v>426</v>
      </c>
      <c r="E1166" s="34"/>
      <c r="F1166" s="37">
        <v>82296.149999999994</v>
      </c>
      <c r="G1166" s="37">
        <v>82296.149999999994</v>
      </c>
      <c r="H1166" s="38">
        <v>46073</v>
      </c>
      <c r="I1166" s="38" t="s">
        <v>1796</v>
      </c>
      <c r="J1166" s="42">
        <v>8</v>
      </c>
      <c r="K1166" s="43">
        <v>82296.149999999994</v>
      </c>
    </row>
    <row r="1167" spans="1:11" x14ac:dyDescent="0.25">
      <c r="A1167" s="38">
        <v>46073</v>
      </c>
      <c r="B1167" s="33" t="s">
        <v>1510</v>
      </c>
      <c r="C1167" s="36" t="s">
        <v>26</v>
      </c>
      <c r="D1167" s="34" t="s">
        <v>426</v>
      </c>
      <c r="E1167" s="34"/>
      <c r="F1167" s="37">
        <v>38101.78</v>
      </c>
      <c r="G1167" s="37">
        <v>38101.78</v>
      </c>
      <c r="H1167" s="38">
        <v>46073</v>
      </c>
      <c r="I1167" s="38" t="s">
        <v>1796</v>
      </c>
      <c r="J1167" s="42">
        <v>8</v>
      </c>
      <c r="K1167" s="43">
        <v>38101.78</v>
      </c>
    </row>
    <row r="1168" spans="1:11" x14ac:dyDescent="0.25">
      <c r="A1168" s="38">
        <v>46073</v>
      </c>
      <c r="B1168" s="33" t="s">
        <v>1511</v>
      </c>
      <c r="C1168" s="36" t="s">
        <v>150</v>
      </c>
      <c r="D1168" s="34" t="s">
        <v>433</v>
      </c>
      <c r="E1168" s="34"/>
      <c r="F1168" s="37">
        <v>437373.82</v>
      </c>
      <c r="G1168" s="37">
        <v>437373.82</v>
      </c>
      <c r="H1168" s="38">
        <v>46073</v>
      </c>
      <c r="I1168" s="38" t="s">
        <v>1796</v>
      </c>
      <c r="J1168" s="42">
        <v>8</v>
      </c>
      <c r="K1168" s="43">
        <v>437373.82</v>
      </c>
    </row>
    <row r="1169" spans="1:11" x14ac:dyDescent="0.25">
      <c r="A1169" s="38">
        <v>46073</v>
      </c>
      <c r="B1169" s="33" t="s">
        <v>1512</v>
      </c>
      <c r="C1169" s="36" t="s">
        <v>190</v>
      </c>
      <c r="D1169" s="34" t="s">
        <v>393</v>
      </c>
      <c r="E1169" s="34"/>
      <c r="F1169" s="37">
        <v>41035</v>
      </c>
      <c r="G1169" s="37">
        <v>41035</v>
      </c>
      <c r="H1169" s="38">
        <v>46073</v>
      </c>
      <c r="I1169" s="38" t="s">
        <v>1796</v>
      </c>
      <c r="J1169" s="42">
        <v>8</v>
      </c>
      <c r="K1169" s="43">
        <v>41035</v>
      </c>
    </row>
    <row r="1170" spans="1:11" x14ac:dyDescent="0.25">
      <c r="A1170" s="38">
        <v>46073</v>
      </c>
      <c r="B1170" s="33" t="s">
        <v>1513</v>
      </c>
      <c r="C1170" s="36" t="s">
        <v>225</v>
      </c>
      <c r="D1170" s="34" t="s">
        <v>426</v>
      </c>
      <c r="E1170" s="34"/>
      <c r="F1170" s="37">
        <v>598561.59</v>
      </c>
      <c r="G1170" s="37">
        <v>598561.59</v>
      </c>
      <c r="H1170" s="38">
        <v>46073</v>
      </c>
      <c r="I1170" s="38" t="s">
        <v>1796</v>
      </c>
      <c r="J1170" s="42">
        <v>8</v>
      </c>
      <c r="K1170" s="43">
        <v>598561.59</v>
      </c>
    </row>
    <row r="1171" spans="1:11" x14ac:dyDescent="0.25">
      <c r="A1171" s="38">
        <v>46073</v>
      </c>
      <c r="B1171" s="33" t="s">
        <v>1514</v>
      </c>
      <c r="C1171" s="36" t="s">
        <v>245</v>
      </c>
      <c r="D1171" s="34" t="s">
        <v>642</v>
      </c>
      <c r="E1171" s="34"/>
      <c r="F1171" s="37">
        <v>60900</v>
      </c>
      <c r="G1171" s="37">
        <v>60900</v>
      </c>
      <c r="H1171" s="38">
        <v>46073</v>
      </c>
      <c r="I1171" s="38" t="s">
        <v>1796</v>
      </c>
      <c r="J1171" s="42">
        <v>8</v>
      </c>
      <c r="K1171" s="43">
        <v>60900</v>
      </c>
    </row>
    <row r="1172" spans="1:11" x14ac:dyDescent="0.25">
      <c r="A1172" s="38">
        <v>46073</v>
      </c>
      <c r="B1172" s="33" t="s">
        <v>1515</v>
      </c>
      <c r="C1172" s="36" t="s">
        <v>258</v>
      </c>
      <c r="D1172" s="34" t="s">
        <v>561</v>
      </c>
      <c r="E1172" s="34"/>
      <c r="F1172" s="37">
        <v>169752</v>
      </c>
      <c r="G1172" s="37">
        <v>169752</v>
      </c>
      <c r="H1172" s="38">
        <v>46073</v>
      </c>
      <c r="I1172" s="38" t="s">
        <v>1796</v>
      </c>
      <c r="J1172" s="42">
        <v>8</v>
      </c>
      <c r="K1172" s="43">
        <v>169752</v>
      </c>
    </row>
    <row r="1173" spans="1:11" x14ac:dyDescent="0.25">
      <c r="A1173" s="38">
        <v>46073</v>
      </c>
      <c r="B1173" s="33" t="s">
        <v>1516</v>
      </c>
      <c r="C1173" s="36" t="s">
        <v>291</v>
      </c>
      <c r="D1173" s="34" t="s">
        <v>561</v>
      </c>
      <c r="E1173" s="34"/>
      <c r="F1173" s="37">
        <v>52920</v>
      </c>
      <c r="G1173" s="37">
        <v>52920</v>
      </c>
      <c r="H1173" s="38">
        <v>46073</v>
      </c>
      <c r="I1173" s="38" t="s">
        <v>1796</v>
      </c>
      <c r="J1173" s="42">
        <v>8</v>
      </c>
      <c r="K1173" s="43">
        <v>52920</v>
      </c>
    </row>
    <row r="1174" spans="1:11" x14ac:dyDescent="0.25">
      <c r="A1174" s="38">
        <v>46074</v>
      </c>
      <c r="B1174" s="33" t="s">
        <v>1517</v>
      </c>
      <c r="C1174" s="36" t="s">
        <v>26</v>
      </c>
      <c r="D1174" s="34" t="s">
        <v>426</v>
      </c>
      <c r="E1174" s="34"/>
      <c r="F1174" s="37">
        <v>49997.34</v>
      </c>
      <c r="G1174" s="37">
        <v>49997.34</v>
      </c>
      <c r="H1174" s="38">
        <v>46074</v>
      </c>
      <c r="I1174" s="38" t="s">
        <v>1796</v>
      </c>
      <c r="J1174" s="42">
        <v>7</v>
      </c>
      <c r="K1174" s="43">
        <v>49997.34</v>
      </c>
    </row>
    <row r="1175" spans="1:11" x14ac:dyDescent="0.25">
      <c r="A1175" s="38">
        <v>46074</v>
      </c>
      <c r="B1175" s="33" t="s">
        <v>1518</v>
      </c>
      <c r="C1175" s="36" t="s">
        <v>26</v>
      </c>
      <c r="D1175" s="34" t="s">
        <v>426</v>
      </c>
      <c r="E1175" s="34"/>
      <c r="F1175" s="37">
        <v>45070.71</v>
      </c>
      <c r="G1175" s="37">
        <v>45070.71</v>
      </c>
      <c r="H1175" s="38">
        <v>46074</v>
      </c>
      <c r="I1175" s="38" t="s">
        <v>1796</v>
      </c>
      <c r="J1175" s="42">
        <v>7</v>
      </c>
      <c r="K1175" s="43">
        <v>45070.71</v>
      </c>
    </row>
    <row r="1176" spans="1:11" x14ac:dyDescent="0.25">
      <c r="A1176" s="38">
        <v>46074</v>
      </c>
      <c r="B1176" s="33" t="s">
        <v>1519</v>
      </c>
      <c r="C1176" s="36" t="s">
        <v>26</v>
      </c>
      <c r="D1176" s="34" t="s">
        <v>426</v>
      </c>
      <c r="E1176" s="34"/>
      <c r="F1176" s="37">
        <v>44530.37</v>
      </c>
      <c r="G1176" s="37">
        <v>44530.37</v>
      </c>
      <c r="H1176" s="38">
        <v>46074</v>
      </c>
      <c r="I1176" s="38" t="s">
        <v>1796</v>
      </c>
      <c r="J1176" s="42">
        <v>7</v>
      </c>
      <c r="K1176" s="43">
        <v>44530.37</v>
      </c>
    </row>
    <row r="1177" spans="1:11" x14ac:dyDescent="0.25">
      <c r="A1177" s="38">
        <v>46074</v>
      </c>
      <c r="B1177" s="33" t="s">
        <v>1520</v>
      </c>
      <c r="C1177" s="36" t="s">
        <v>26</v>
      </c>
      <c r="D1177" s="34" t="s">
        <v>426</v>
      </c>
      <c r="E1177" s="34"/>
      <c r="F1177" s="37">
        <v>71413.3</v>
      </c>
      <c r="G1177" s="37">
        <v>71413.3</v>
      </c>
      <c r="H1177" s="38">
        <v>46074</v>
      </c>
      <c r="I1177" s="38" t="s">
        <v>1796</v>
      </c>
      <c r="J1177" s="42">
        <v>7</v>
      </c>
      <c r="K1177" s="43">
        <v>71413.3</v>
      </c>
    </row>
    <row r="1178" spans="1:11" x14ac:dyDescent="0.25">
      <c r="A1178" s="38">
        <v>46074</v>
      </c>
      <c r="B1178" s="33" t="s">
        <v>1521</v>
      </c>
      <c r="C1178" s="36" t="s">
        <v>26</v>
      </c>
      <c r="D1178" s="34" t="s">
        <v>426</v>
      </c>
      <c r="E1178" s="34"/>
      <c r="F1178" s="37">
        <v>109384.48</v>
      </c>
      <c r="G1178" s="37">
        <v>109384.48</v>
      </c>
      <c r="H1178" s="38">
        <v>46074</v>
      </c>
      <c r="I1178" s="38" t="s">
        <v>1796</v>
      </c>
      <c r="J1178" s="42">
        <v>7</v>
      </c>
      <c r="K1178" s="43">
        <v>109384.48</v>
      </c>
    </row>
    <row r="1179" spans="1:11" x14ac:dyDescent="0.25">
      <c r="A1179" s="38">
        <v>46074</v>
      </c>
      <c r="B1179" s="33" t="s">
        <v>1522</v>
      </c>
      <c r="C1179" s="36" t="s">
        <v>62</v>
      </c>
      <c r="D1179" s="34" t="s">
        <v>561</v>
      </c>
      <c r="E1179" s="34"/>
      <c r="F1179" s="37">
        <v>76906</v>
      </c>
      <c r="G1179" s="37">
        <v>76906</v>
      </c>
      <c r="H1179" s="38">
        <v>46134</v>
      </c>
      <c r="I1179" s="38" t="s">
        <v>1796</v>
      </c>
      <c r="J1179" s="42">
        <f t="shared" ref="J1179:J1180" si="38">$I$1-A1179</f>
        <v>7</v>
      </c>
      <c r="K1179" s="43">
        <v>76906</v>
      </c>
    </row>
    <row r="1180" spans="1:11" x14ac:dyDescent="0.25">
      <c r="A1180" s="38">
        <v>46074</v>
      </c>
      <c r="B1180" s="33" t="s">
        <v>1523</v>
      </c>
      <c r="C1180" s="36" t="s">
        <v>62</v>
      </c>
      <c r="D1180" s="34" t="s">
        <v>561</v>
      </c>
      <c r="E1180" s="34"/>
      <c r="F1180" s="37">
        <v>77480</v>
      </c>
      <c r="G1180" s="37">
        <v>77480</v>
      </c>
      <c r="H1180" s="38">
        <v>46134</v>
      </c>
      <c r="I1180" s="38" t="s">
        <v>1796</v>
      </c>
      <c r="J1180" s="42">
        <f t="shared" si="38"/>
        <v>7</v>
      </c>
      <c r="K1180" s="43">
        <v>77480</v>
      </c>
    </row>
    <row r="1181" spans="1:11" x14ac:dyDescent="0.25">
      <c r="A1181" s="38">
        <v>46074</v>
      </c>
      <c r="B1181" s="33" t="s">
        <v>1524</v>
      </c>
      <c r="C1181" s="36" t="s">
        <v>124</v>
      </c>
      <c r="D1181" s="34" t="s">
        <v>449</v>
      </c>
      <c r="E1181" s="34"/>
      <c r="F1181" s="37">
        <v>14793</v>
      </c>
      <c r="G1181" s="37">
        <v>14793</v>
      </c>
      <c r="H1181" s="38">
        <v>46074</v>
      </c>
      <c r="I1181" s="38" t="s">
        <v>1796</v>
      </c>
      <c r="J1181" s="42">
        <v>7</v>
      </c>
      <c r="K1181" s="43">
        <v>14793</v>
      </c>
    </row>
    <row r="1182" spans="1:11" x14ac:dyDescent="0.25">
      <c r="A1182" s="38">
        <v>46074</v>
      </c>
      <c r="B1182" s="33" t="s">
        <v>1525</v>
      </c>
      <c r="C1182" s="36" t="s">
        <v>209</v>
      </c>
      <c r="D1182" s="34" t="s">
        <v>561</v>
      </c>
      <c r="E1182" s="34"/>
      <c r="F1182" s="37">
        <v>76699.600000000006</v>
      </c>
      <c r="G1182" s="37">
        <v>76699.600000000006</v>
      </c>
      <c r="H1182" s="38">
        <v>46104</v>
      </c>
      <c r="I1182" s="38" t="s">
        <v>1796</v>
      </c>
      <c r="J1182" s="42">
        <f t="shared" ref="J1182:J1183" si="39">$I$1-A1182</f>
        <v>7</v>
      </c>
      <c r="K1182" s="43">
        <v>76699.600000000006</v>
      </c>
    </row>
    <row r="1183" spans="1:11" x14ac:dyDescent="0.25">
      <c r="A1183" s="38">
        <v>46074</v>
      </c>
      <c r="B1183" s="33" t="s">
        <v>1526</v>
      </c>
      <c r="C1183" s="36" t="s">
        <v>209</v>
      </c>
      <c r="D1183" s="34" t="s">
        <v>561</v>
      </c>
      <c r="E1183" s="34"/>
      <c r="F1183" s="37">
        <v>76258.2</v>
      </c>
      <c r="G1183" s="37">
        <v>76258.2</v>
      </c>
      <c r="H1183" s="38">
        <v>46104</v>
      </c>
      <c r="I1183" s="38" t="s">
        <v>1796</v>
      </c>
      <c r="J1183" s="42">
        <f t="shared" si="39"/>
        <v>7</v>
      </c>
      <c r="K1183" s="43">
        <v>76258.2</v>
      </c>
    </row>
    <row r="1184" spans="1:11" x14ac:dyDescent="0.25">
      <c r="A1184" s="38">
        <v>46074</v>
      </c>
      <c r="B1184" s="33" t="s">
        <v>1527</v>
      </c>
      <c r="C1184" s="36" t="s">
        <v>299</v>
      </c>
      <c r="D1184" s="34" t="s">
        <v>449</v>
      </c>
      <c r="E1184" s="34"/>
      <c r="F1184" s="37">
        <v>15914.04</v>
      </c>
      <c r="G1184" s="37">
        <v>15914.04</v>
      </c>
      <c r="H1184" s="38">
        <v>46074</v>
      </c>
      <c r="I1184" s="38" t="s">
        <v>1796</v>
      </c>
      <c r="J1184" s="42">
        <v>7</v>
      </c>
      <c r="K1184" s="43">
        <v>15914.04</v>
      </c>
    </row>
    <row r="1185" spans="1:11" x14ac:dyDescent="0.25">
      <c r="A1185" s="38">
        <v>46076</v>
      </c>
      <c r="B1185" s="33" t="s">
        <v>1528</v>
      </c>
      <c r="C1185" s="36" t="s">
        <v>15</v>
      </c>
      <c r="D1185" s="34" t="s">
        <v>373</v>
      </c>
      <c r="E1185" s="34"/>
      <c r="F1185" s="37">
        <v>44840</v>
      </c>
      <c r="G1185" s="37">
        <v>44840</v>
      </c>
      <c r="H1185" s="38">
        <v>46106</v>
      </c>
      <c r="I1185" s="38" t="s">
        <v>1796</v>
      </c>
      <c r="J1185" s="42">
        <f t="shared" ref="J1185:J1186" si="40">$I$1-A1185</f>
        <v>5</v>
      </c>
      <c r="K1185" s="43">
        <v>44840</v>
      </c>
    </row>
    <row r="1186" spans="1:11" x14ac:dyDescent="0.25">
      <c r="A1186" s="38">
        <v>46076</v>
      </c>
      <c r="B1186" s="33" t="s">
        <v>1529</v>
      </c>
      <c r="C1186" s="36" t="s">
        <v>17</v>
      </c>
      <c r="D1186" s="34" t="s">
        <v>402</v>
      </c>
      <c r="E1186" s="34"/>
      <c r="F1186" s="37">
        <v>69620</v>
      </c>
      <c r="G1186" s="37">
        <v>69620</v>
      </c>
      <c r="H1186" s="38">
        <v>46106</v>
      </c>
      <c r="I1186" s="38" t="s">
        <v>1796</v>
      </c>
      <c r="J1186" s="42">
        <f t="shared" si="40"/>
        <v>5</v>
      </c>
      <c r="K1186" s="43">
        <v>69620</v>
      </c>
    </row>
    <row r="1187" spans="1:11" x14ac:dyDescent="0.25">
      <c r="A1187" s="38">
        <v>46076</v>
      </c>
      <c r="B1187" s="33" t="s">
        <v>1530</v>
      </c>
      <c r="C1187" s="36" t="s">
        <v>26</v>
      </c>
      <c r="D1187" s="34" t="s">
        <v>426</v>
      </c>
      <c r="E1187" s="34"/>
      <c r="F1187" s="37">
        <v>49520.57</v>
      </c>
      <c r="G1187" s="37">
        <v>49520.57</v>
      </c>
      <c r="H1187" s="38">
        <v>46076</v>
      </c>
      <c r="I1187" s="38" t="s">
        <v>1796</v>
      </c>
      <c r="J1187" s="42">
        <v>5</v>
      </c>
      <c r="K1187" s="43">
        <v>49520.57</v>
      </c>
    </row>
    <row r="1188" spans="1:11" x14ac:dyDescent="0.25">
      <c r="A1188" s="38">
        <v>46076</v>
      </c>
      <c r="B1188" s="33" t="s">
        <v>1531</v>
      </c>
      <c r="C1188" s="36" t="s">
        <v>62</v>
      </c>
      <c r="D1188" s="34" t="s">
        <v>561</v>
      </c>
      <c r="E1188" s="34"/>
      <c r="F1188" s="37">
        <v>76775</v>
      </c>
      <c r="G1188" s="37">
        <v>76775</v>
      </c>
      <c r="H1188" s="38">
        <v>46136</v>
      </c>
      <c r="I1188" s="38" t="s">
        <v>1796</v>
      </c>
      <c r="J1188" s="42">
        <f>$I$1-A1188</f>
        <v>5</v>
      </c>
      <c r="K1188" s="43">
        <v>76775</v>
      </c>
    </row>
    <row r="1189" spans="1:11" x14ac:dyDescent="0.25">
      <c r="A1189" s="38">
        <v>46076</v>
      </c>
      <c r="B1189" s="33" t="s">
        <v>1532</v>
      </c>
      <c r="C1189" s="36" t="s">
        <v>76</v>
      </c>
      <c r="D1189" s="34" t="s">
        <v>616</v>
      </c>
      <c r="E1189" s="34"/>
      <c r="F1189" s="37">
        <v>73194</v>
      </c>
      <c r="G1189" s="37">
        <v>73194</v>
      </c>
      <c r="H1189" s="38">
        <v>46076</v>
      </c>
      <c r="I1189" s="38" t="s">
        <v>1796</v>
      </c>
      <c r="J1189" s="42">
        <v>5</v>
      </c>
      <c r="K1189" s="43">
        <v>73194</v>
      </c>
    </row>
    <row r="1190" spans="1:11" x14ac:dyDescent="0.25">
      <c r="A1190" s="38">
        <v>46076</v>
      </c>
      <c r="B1190" s="33" t="s">
        <v>1533</v>
      </c>
      <c r="C1190" s="36" t="s">
        <v>120</v>
      </c>
      <c r="D1190" s="34" t="s">
        <v>433</v>
      </c>
      <c r="E1190" s="34"/>
      <c r="F1190" s="37">
        <v>210879.01</v>
      </c>
      <c r="G1190" s="37">
        <v>210879.01</v>
      </c>
      <c r="H1190" s="38">
        <v>46106</v>
      </c>
      <c r="I1190" s="38" t="s">
        <v>1796</v>
      </c>
      <c r="J1190" s="42">
        <f>$I$1-A1190</f>
        <v>5</v>
      </c>
      <c r="K1190" s="43">
        <v>210879.01</v>
      </c>
    </row>
    <row r="1191" spans="1:11" x14ac:dyDescent="0.25">
      <c r="A1191" s="38">
        <v>46076</v>
      </c>
      <c r="B1191" s="33" t="s">
        <v>1534</v>
      </c>
      <c r="C1191" s="36" t="s">
        <v>179</v>
      </c>
      <c r="D1191" s="34" t="s">
        <v>373</v>
      </c>
      <c r="E1191" s="34"/>
      <c r="F1191" s="37">
        <v>1942.65</v>
      </c>
      <c r="G1191" s="37">
        <v>1942.65</v>
      </c>
      <c r="H1191" s="38">
        <v>46076</v>
      </c>
      <c r="I1191" s="38" t="s">
        <v>1796</v>
      </c>
      <c r="J1191" s="42">
        <v>5</v>
      </c>
      <c r="K1191" s="43">
        <v>1942.65</v>
      </c>
    </row>
    <row r="1192" spans="1:11" x14ac:dyDescent="0.25">
      <c r="A1192" s="38">
        <v>46076</v>
      </c>
      <c r="B1192" s="33" t="s">
        <v>1535</v>
      </c>
      <c r="C1192" s="36" t="s">
        <v>219</v>
      </c>
      <c r="D1192" s="34" t="s">
        <v>402</v>
      </c>
      <c r="E1192" s="34"/>
      <c r="F1192" s="37">
        <v>347472.51</v>
      </c>
      <c r="G1192" s="37">
        <v>197472.51</v>
      </c>
      <c r="H1192" s="38">
        <v>46076</v>
      </c>
      <c r="I1192" s="38" t="s">
        <v>1796</v>
      </c>
      <c r="J1192" s="42">
        <v>5</v>
      </c>
      <c r="K1192" s="43">
        <v>197472.51</v>
      </c>
    </row>
    <row r="1193" spans="1:11" x14ac:dyDescent="0.25">
      <c r="A1193" s="38">
        <v>46076</v>
      </c>
      <c r="B1193" s="33" t="s">
        <v>1536</v>
      </c>
      <c r="C1193" s="36" t="s">
        <v>219</v>
      </c>
      <c r="D1193" s="34" t="s">
        <v>402</v>
      </c>
      <c r="E1193" s="34"/>
      <c r="F1193" s="37">
        <v>1500</v>
      </c>
      <c r="G1193" s="37">
        <v>1500</v>
      </c>
      <c r="H1193" s="38">
        <v>46076</v>
      </c>
      <c r="I1193" s="38" t="s">
        <v>1796</v>
      </c>
      <c r="J1193" s="42">
        <v>5</v>
      </c>
      <c r="K1193" s="43">
        <v>1500</v>
      </c>
    </row>
    <row r="1194" spans="1:11" x14ac:dyDescent="0.25">
      <c r="A1194" s="38">
        <v>46076</v>
      </c>
      <c r="B1194" s="33" t="s">
        <v>1537</v>
      </c>
      <c r="C1194" s="36" t="s">
        <v>222</v>
      </c>
      <c r="D1194" s="34" t="s">
        <v>8</v>
      </c>
      <c r="E1194" s="34"/>
      <c r="F1194" s="37">
        <v>106390</v>
      </c>
      <c r="G1194" s="37">
        <v>106390</v>
      </c>
      <c r="H1194" s="38">
        <v>46106</v>
      </c>
      <c r="I1194" s="38" t="s">
        <v>1796</v>
      </c>
      <c r="J1194" s="42">
        <f>$I$1-A1194</f>
        <v>5</v>
      </c>
      <c r="K1194" s="43">
        <v>106390</v>
      </c>
    </row>
    <row r="1195" spans="1:11" x14ac:dyDescent="0.25">
      <c r="A1195" s="38">
        <v>46076</v>
      </c>
      <c r="B1195" s="33" t="s">
        <v>1538</v>
      </c>
      <c r="C1195" s="36" t="s">
        <v>258</v>
      </c>
      <c r="D1195" s="34" t="s">
        <v>561</v>
      </c>
      <c r="E1195" s="34"/>
      <c r="F1195" s="37">
        <v>197853</v>
      </c>
      <c r="G1195" s="37">
        <v>197853</v>
      </c>
      <c r="H1195" s="38">
        <v>46076</v>
      </c>
      <c r="I1195" s="38" t="s">
        <v>1796</v>
      </c>
      <c r="J1195" s="42">
        <v>5</v>
      </c>
      <c r="K1195" s="43">
        <v>197853</v>
      </c>
    </row>
    <row r="1196" spans="1:11" x14ac:dyDescent="0.25">
      <c r="A1196" s="38">
        <v>46076</v>
      </c>
      <c r="B1196" s="33" t="s">
        <v>1539</v>
      </c>
      <c r="C1196" s="36" t="s">
        <v>278</v>
      </c>
      <c r="D1196" s="34" t="s">
        <v>642</v>
      </c>
      <c r="E1196" s="34"/>
      <c r="F1196" s="37">
        <v>611951.30000000005</v>
      </c>
      <c r="G1196" s="37">
        <v>611951.30000000005</v>
      </c>
      <c r="H1196" s="38">
        <v>46076</v>
      </c>
      <c r="I1196" s="38" t="s">
        <v>1796</v>
      </c>
      <c r="J1196" s="42">
        <v>5</v>
      </c>
      <c r="K1196" s="43">
        <v>611951.30000000005</v>
      </c>
    </row>
    <row r="1197" spans="1:11" x14ac:dyDescent="0.25">
      <c r="A1197" s="38">
        <v>46077</v>
      </c>
      <c r="B1197" s="33" t="s">
        <v>1540</v>
      </c>
      <c r="C1197" s="36" t="s">
        <v>43</v>
      </c>
      <c r="D1197" s="34" t="s">
        <v>642</v>
      </c>
      <c r="E1197" s="34"/>
      <c r="F1197" s="37">
        <v>73080</v>
      </c>
      <c r="G1197" s="37">
        <v>73080</v>
      </c>
      <c r="H1197" s="38">
        <v>46107</v>
      </c>
      <c r="I1197" s="38" t="s">
        <v>1796</v>
      </c>
      <c r="J1197" s="42">
        <f t="shared" ref="J1197:J1198" si="41">$I$1-A1197</f>
        <v>4</v>
      </c>
      <c r="K1197" s="43">
        <v>73080</v>
      </c>
    </row>
    <row r="1198" spans="1:11" x14ac:dyDescent="0.25">
      <c r="A1198" s="38">
        <v>46077</v>
      </c>
      <c r="B1198" s="33" t="s">
        <v>1541</v>
      </c>
      <c r="C1198" s="36" t="s">
        <v>60</v>
      </c>
      <c r="D1198" s="34" t="s">
        <v>402</v>
      </c>
      <c r="E1198" s="34"/>
      <c r="F1198" s="37">
        <v>21624</v>
      </c>
      <c r="G1198" s="37">
        <v>21624</v>
      </c>
      <c r="H1198" s="38">
        <v>46084</v>
      </c>
      <c r="I1198" s="38" t="s">
        <v>1796</v>
      </c>
      <c r="J1198" s="42">
        <f t="shared" si="41"/>
        <v>4</v>
      </c>
      <c r="K1198" s="43">
        <v>21624</v>
      </c>
    </row>
    <row r="1199" spans="1:11" x14ac:dyDescent="0.25">
      <c r="A1199" s="38">
        <v>46077</v>
      </c>
      <c r="B1199" s="33" t="s">
        <v>703</v>
      </c>
      <c r="C1199" s="36" t="s">
        <v>267</v>
      </c>
      <c r="D1199" s="34" t="s">
        <v>402</v>
      </c>
      <c r="E1199" s="34"/>
      <c r="F1199" s="37">
        <v>5310</v>
      </c>
      <c r="G1199" s="37">
        <v>5310</v>
      </c>
      <c r="H1199" s="38">
        <v>46077</v>
      </c>
      <c r="I1199" s="38" t="s">
        <v>1796</v>
      </c>
      <c r="J1199" s="42">
        <v>4</v>
      </c>
      <c r="K1199" s="43">
        <v>5310</v>
      </c>
    </row>
    <row r="1200" spans="1:11" x14ac:dyDescent="0.25">
      <c r="A1200" s="38">
        <v>46077</v>
      </c>
      <c r="B1200" s="33" t="s">
        <v>1542</v>
      </c>
      <c r="C1200" s="36" t="s">
        <v>291</v>
      </c>
      <c r="D1200" s="34" t="s">
        <v>561</v>
      </c>
      <c r="E1200" s="34"/>
      <c r="F1200" s="37">
        <v>52920</v>
      </c>
      <c r="G1200" s="37">
        <v>52920</v>
      </c>
      <c r="H1200" s="38">
        <v>46077</v>
      </c>
      <c r="I1200" s="38" t="s">
        <v>1796</v>
      </c>
      <c r="J1200" s="42">
        <v>4</v>
      </c>
      <c r="K1200" s="43">
        <v>52920</v>
      </c>
    </row>
    <row r="1201" spans="1:11" x14ac:dyDescent="0.25">
      <c r="A1201" s="38">
        <v>46078</v>
      </c>
      <c r="B1201" s="33" t="s">
        <v>1543</v>
      </c>
      <c r="C1201" s="36" t="s">
        <v>17</v>
      </c>
      <c r="D1201" s="34" t="s">
        <v>402</v>
      </c>
      <c r="E1201" s="34"/>
      <c r="F1201" s="37">
        <v>30090</v>
      </c>
      <c r="G1201" s="37">
        <v>30090</v>
      </c>
      <c r="H1201" s="38">
        <v>46108</v>
      </c>
      <c r="I1201" s="38" t="s">
        <v>1796</v>
      </c>
      <c r="J1201" s="42">
        <f>$I$1-A1201</f>
        <v>3</v>
      </c>
      <c r="K1201" s="43">
        <v>30090</v>
      </c>
    </row>
    <row r="1202" spans="1:11" x14ac:dyDescent="0.25">
      <c r="A1202" s="38">
        <v>46078</v>
      </c>
      <c r="B1202" s="33" t="s">
        <v>1544</v>
      </c>
      <c r="C1202" s="36" t="s">
        <v>25</v>
      </c>
      <c r="D1202" s="34" t="s">
        <v>373</v>
      </c>
      <c r="E1202" s="34"/>
      <c r="F1202" s="37">
        <v>3074</v>
      </c>
      <c r="G1202" s="37">
        <v>3074</v>
      </c>
      <c r="H1202" s="38">
        <v>46078</v>
      </c>
      <c r="I1202" s="38" t="s">
        <v>1796</v>
      </c>
      <c r="J1202" s="42">
        <v>3</v>
      </c>
      <c r="K1202" s="43">
        <v>3074</v>
      </c>
    </row>
    <row r="1203" spans="1:11" x14ac:dyDescent="0.25">
      <c r="A1203" s="38">
        <v>46078</v>
      </c>
      <c r="B1203" s="33" t="s">
        <v>1545</v>
      </c>
      <c r="C1203" s="36" t="s">
        <v>30</v>
      </c>
      <c r="D1203" s="34" t="s">
        <v>426</v>
      </c>
      <c r="E1203" s="34"/>
      <c r="F1203" s="37">
        <v>124591</v>
      </c>
      <c r="G1203" s="37">
        <v>124591</v>
      </c>
      <c r="H1203" s="38">
        <v>46093</v>
      </c>
      <c r="I1203" s="38" t="s">
        <v>1796</v>
      </c>
      <c r="J1203" s="42">
        <f t="shared" ref="J1203:J1204" si="42">$I$1-A1203</f>
        <v>3</v>
      </c>
      <c r="K1203" s="43">
        <v>124591</v>
      </c>
    </row>
    <row r="1204" spans="1:11" x14ac:dyDescent="0.25">
      <c r="A1204" s="38">
        <v>46078</v>
      </c>
      <c r="B1204" s="33" t="s">
        <v>1546</v>
      </c>
      <c r="C1204" s="36" t="s">
        <v>43</v>
      </c>
      <c r="D1204" s="34" t="s">
        <v>642</v>
      </c>
      <c r="E1204" s="34"/>
      <c r="F1204" s="37">
        <v>73080</v>
      </c>
      <c r="G1204" s="37">
        <v>73080</v>
      </c>
      <c r="H1204" s="38">
        <v>46108</v>
      </c>
      <c r="I1204" s="38" t="s">
        <v>1796</v>
      </c>
      <c r="J1204" s="42">
        <f t="shared" si="42"/>
        <v>3</v>
      </c>
      <c r="K1204" s="43">
        <v>73080</v>
      </c>
    </row>
    <row r="1205" spans="1:11" x14ac:dyDescent="0.25">
      <c r="A1205" s="38">
        <v>46078</v>
      </c>
      <c r="B1205" s="33" t="s">
        <v>1547</v>
      </c>
      <c r="C1205" s="36" t="s">
        <v>76</v>
      </c>
      <c r="D1205" s="34" t="s">
        <v>616</v>
      </c>
      <c r="E1205" s="34"/>
      <c r="F1205" s="37">
        <v>76450</v>
      </c>
      <c r="G1205" s="37">
        <v>76450</v>
      </c>
      <c r="H1205" s="38">
        <v>46078</v>
      </c>
      <c r="I1205" s="38" t="s">
        <v>1796</v>
      </c>
      <c r="J1205" s="42">
        <v>3</v>
      </c>
      <c r="K1205" s="43">
        <v>76450</v>
      </c>
    </row>
    <row r="1206" spans="1:11" x14ac:dyDescent="0.25">
      <c r="A1206" s="38">
        <v>46078</v>
      </c>
      <c r="B1206" s="33" t="s">
        <v>1548</v>
      </c>
      <c r="C1206" s="36" t="s">
        <v>82</v>
      </c>
      <c r="D1206" s="34" t="s">
        <v>426</v>
      </c>
      <c r="E1206" s="34"/>
      <c r="F1206" s="39">
        <v>100000</v>
      </c>
      <c r="G1206" s="39">
        <v>52675.88</v>
      </c>
      <c r="H1206" s="38">
        <v>46078</v>
      </c>
      <c r="I1206" s="38" t="s">
        <v>1796</v>
      </c>
      <c r="J1206" s="42">
        <v>3</v>
      </c>
      <c r="K1206" s="43">
        <v>-52675.88</v>
      </c>
    </row>
    <row r="1207" spans="1:11" x14ac:dyDescent="0.25">
      <c r="A1207" s="38">
        <v>46078</v>
      </c>
      <c r="B1207" s="33" t="s">
        <v>1549</v>
      </c>
      <c r="C1207" s="36" t="s">
        <v>103</v>
      </c>
      <c r="D1207" s="34" t="s">
        <v>449</v>
      </c>
      <c r="E1207" s="34"/>
      <c r="F1207" s="39">
        <v>400000</v>
      </c>
      <c r="G1207" s="39">
        <v>400000</v>
      </c>
      <c r="H1207" s="38">
        <v>46078</v>
      </c>
      <c r="I1207" s="38" t="s">
        <v>1796</v>
      </c>
      <c r="J1207" s="42">
        <v>3</v>
      </c>
      <c r="K1207" s="43">
        <v>-400000</v>
      </c>
    </row>
    <row r="1208" spans="1:11" x14ac:dyDescent="0.25">
      <c r="A1208" s="38">
        <v>46078</v>
      </c>
      <c r="B1208" s="33" t="s">
        <v>1550</v>
      </c>
      <c r="C1208" s="36" t="s">
        <v>141</v>
      </c>
      <c r="D1208" s="34" t="s">
        <v>565</v>
      </c>
      <c r="E1208" s="34"/>
      <c r="F1208" s="37">
        <v>60000</v>
      </c>
      <c r="G1208" s="37">
        <v>60000</v>
      </c>
      <c r="H1208" s="38">
        <v>46078</v>
      </c>
      <c r="I1208" s="38" t="s">
        <v>1796</v>
      </c>
      <c r="J1208" s="42">
        <v>3</v>
      </c>
      <c r="K1208" s="43">
        <v>60000</v>
      </c>
    </row>
    <row r="1209" spans="1:11" x14ac:dyDescent="0.25">
      <c r="A1209" s="38">
        <v>46078</v>
      </c>
      <c r="B1209" s="33" t="s">
        <v>1551</v>
      </c>
      <c r="C1209" s="36" t="s">
        <v>152</v>
      </c>
      <c r="D1209" s="34" t="s">
        <v>412</v>
      </c>
      <c r="E1209" s="34"/>
      <c r="F1209" s="39">
        <v>5900</v>
      </c>
      <c r="G1209" s="39">
        <v>5900</v>
      </c>
      <c r="H1209" s="38">
        <v>46078</v>
      </c>
      <c r="I1209" s="38" t="s">
        <v>1796</v>
      </c>
      <c r="J1209" s="42">
        <v>3</v>
      </c>
      <c r="K1209" s="43">
        <v>-5900</v>
      </c>
    </row>
    <row r="1210" spans="1:11" x14ac:dyDescent="0.25">
      <c r="A1210" s="38">
        <v>46078</v>
      </c>
      <c r="B1210" s="33" t="s">
        <v>1552</v>
      </c>
      <c r="C1210" s="36" t="s">
        <v>217</v>
      </c>
      <c r="D1210" s="34" t="s">
        <v>402</v>
      </c>
      <c r="E1210" s="34"/>
      <c r="F1210" s="37">
        <v>7644</v>
      </c>
      <c r="G1210" s="37">
        <v>4200</v>
      </c>
      <c r="H1210" s="38">
        <v>46078</v>
      </c>
      <c r="I1210" s="38" t="s">
        <v>1796</v>
      </c>
      <c r="J1210" s="42">
        <v>3</v>
      </c>
      <c r="K1210" s="43">
        <v>4200</v>
      </c>
    </row>
    <row r="1211" spans="1:11" x14ac:dyDescent="0.25">
      <c r="A1211" s="38">
        <v>46078</v>
      </c>
      <c r="B1211" s="33" t="s">
        <v>1553</v>
      </c>
      <c r="C1211" s="36" t="s">
        <v>245</v>
      </c>
      <c r="D1211" s="34" t="s">
        <v>642</v>
      </c>
      <c r="E1211" s="34"/>
      <c r="F1211" s="37">
        <v>60900</v>
      </c>
      <c r="G1211" s="37">
        <v>60900</v>
      </c>
      <c r="H1211" s="38">
        <v>46078</v>
      </c>
      <c r="I1211" s="38" t="s">
        <v>1796</v>
      </c>
      <c r="J1211" s="42">
        <v>3</v>
      </c>
      <c r="K1211" s="43">
        <v>60900</v>
      </c>
    </row>
    <row r="1212" spans="1:11" x14ac:dyDescent="0.25">
      <c r="A1212" s="38">
        <v>46078</v>
      </c>
      <c r="B1212" s="33" t="s">
        <v>1554</v>
      </c>
      <c r="C1212" s="36" t="s">
        <v>270</v>
      </c>
      <c r="D1212" s="34" t="s">
        <v>341</v>
      </c>
      <c r="E1212" s="34"/>
      <c r="F1212" s="37">
        <v>9008</v>
      </c>
      <c r="G1212" s="37">
        <v>9008</v>
      </c>
      <c r="H1212" s="38">
        <v>46078</v>
      </c>
      <c r="I1212" s="38" t="s">
        <v>1796</v>
      </c>
      <c r="J1212" s="42">
        <v>3</v>
      </c>
      <c r="K1212" s="43">
        <v>9008</v>
      </c>
    </row>
    <row r="1213" spans="1:11" x14ac:dyDescent="0.25">
      <c r="A1213" s="38">
        <v>46078</v>
      </c>
      <c r="B1213" s="33" t="s">
        <v>1555</v>
      </c>
      <c r="C1213" s="36" t="s">
        <v>291</v>
      </c>
      <c r="D1213" s="34" t="s">
        <v>561</v>
      </c>
      <c r="E1213" s="34"/>
      <c r="F1213" s="37">
        <v>60858</v>
      </c>
      <c r="G1213" s="37">
        <v>60858</v>
      </c>
      <c r="H1213" s="38">
        <v>46078</v>
      </c>
      <c r="I1213" s="38" t="s">
        <v>1796</v>
      </c>
      <c r="J1213" s="42">
        <v>3</v>
      </c>
      <c r="K1213" s="43">
        <v>60858</v>
      </c>
    </row>
    <row r="1214" spans="1:11" x14ac:dyDescent="0.25">
      <c r="A1214" s="38">
        <v>46078</v>
      </c>
      <c r="B1214" s="33" t="s">
        <v>1556</v>
      </c>
      <c r="C1214" s="36" t="s">
        <v>291</v>
      </c>
      <c r="D1214" s="34" t="s">
        <v>561</v>
      </c>
      <c r="E1214" s="34"/>
      <c r="F1214" s="37">
        <v>12250</v>
      </c>
      <c r="G1214" s="37">
        <v>12250</v>
      </c>
      <c r="H1214" s="38">
        <v>46078</v>
      </c>
      <c r="I1214" s="38" t="s">
        <v>1796</v>
      </c>
      <c r="J1214" s="42">
        <v>3</v>
      </c>
      <c r="K1214" s="43">
        <v>12250</v>
      </c>
    </row>
    <row r="1215" spans="1:11" x14ac:dyDescent="0.25">
      <c r="A1215" s="38">
        <v>46078</v>
      </c>
      <c r="B1215" s="33" t="s">
        <v>1557</v>
      </c>
      <c r="C1215" s="36" t="s">
        <v>296</v>
      </c>
      <c r="D1215" s="34" t="s">
        <v>341</v>
      </c>
      <c r="E1215" s="34"/>
      <c r="F1215" s="39">
        <v>55000</v>
      </c>
      <c r="G1215" s="39">
        <v>55000</v>
      </c>
      <c r="H1215" s="38">
        <v>46108</v>
      </c>
      <c r="I1215" s="38" t="s">
        <v>1796</v>
      </c>
      <c r="J1215" s="42">
        <f t="shared" ref="J1215:J1216" si="43">$I$1-A1215</f>
        <v>3</v>
      </c>
      <c r="K1215" s="43">
        <v>-55000</v>
      </c>
    </row>
    <row r="1216" spans="1:11" x14ac:dyDescent="0.25">
      <c r="A1216" s="38">
        <v>46078</v>
      </c>
      <c r="B1216" s="33" t="s">
        <v>1558</v>
      </c>
      <c r="C1216" s="36" t="s">
        <v>300</v>
      </c>
      <c r="D1216" s="34" t="s">
        <v>402</v>
      </c>
      <c r="E1216" s="34"/>
      <c r="F1216" s="37">
        <v>57291.360000000001</v>
      </c>
      <c r="G1216" s="37">
        <v>57291.360000000001</v>
      </c>
      <c r="H1216" s="38">
        <v>46108</v>
      </c>
      <c r="I1216" s="38" t="s">
        <v>1796</v>
      </c>
      <c r="J1216" s="42">
        <f t="shared" si="43"/>
        <v>3</v>
      </c>
      <c r="K1216" s="43">
        <v>57291.360000000001</v>
      </c>
    </row>
    <row r="1217" spans="1:11" x14ac:dyDescent="0.25">
      <c r="A1217" s="38">
        <v>46079</v>
      </c>
      <c r="B1217" s="33" t="s">
        <v>1559</v>
      </c>
      <c r="C1217" s="36" t="s">
        <v>103</v>
      </c>
      <c r="D1217" s="34" t="s">
        <v>449</v>
      </c>
      <c r="E1217" s="34"/>
      <c r="F1217" s="39">
        <v>400000</v>
      </c>
      <c r="G1217" s="39">
        <v>86463.66</v>
      </c>
      <c r="H1217" s="38">
        <v>46079</v>
      </c>
      <c r="I1217" s="38" t="s">
        <v>1796</v>
      </c>
      <c r="J1217" s="42">
        <v>2</v>
      </c>
      <c r="K1217" s="43">
        <v>-86463.66</v>
      </c>
    </row>
    <row r="1218" spans="1:11" x14ac:dyDescent="0.25">
      <c r="A1218" s="38">
        <v>46079</v>
      </c>
      <c r="B1218" s="33" t="s">
        <v>1560</v>
      </c>
      <c r="C1218" s="36" t="s">
        <v>117</v>
      </c>
      <c r="D1218" s="34" t="s">
        <v>561</v>
      </c>
      <c r="E1218" s="34"/>
      <c r="F1218" s="37">
        <v>14941</v>
      </c>
      <c r="G1218" s="37">
        <v>14941</v>
      </c>
      <c r="H1218" s="38">
        <v>46079</v>
      </c>
      <c r="I1218" s="38" t="s">
        <v>1796</v>
      </c>
      <c r="J1218" s="42">
        <v>2</v>
      </c>
      <c r="K1218" s="43">
        <v>14941</v>
      </c>
    </row>
    <row r="1219" spans="1:11" x14ac:dyDescent="0.25">
      <c r="A1219" s="38">
        <v>46079</v>
      </c>
      <c r="B1219" s="33" t="s">
        <v>1561</v>
      </c>
      <c r="C1219" s="36" t="s">
        <v>190</v>
      </c>
      <c r="D1219" s="34" t="s">
        <v>412</v>
      </c>
      <c r="E1219" s="34"/>
      <c r="F1219" s="37">
        <v>33484</v>
      </c>
      <c r="G1219" s="37">
        <v>33484</v>
      </c>
      <c r="H1219" s="38">
        <v>46079</v>
      </c>
      <c r="I1219" s="38" t="s">
        <v>1796</v>
      </c>
      <c r="J1219" s="42">
        <v>2</v>
      </c>
      <c r="K1219" s="43">
        <v>33484</v>
      </c>
    </row>
    <row r="1220" spans="1:11" x14ac:dyDescent="0.25">
      <c r="A1220" s="38">
        <v>46079</v>
      </c>
      <c r="B1220" s="33" t="s">
        <v>1562</v>
      </c>
      <c r="C1220" s="36" t="s">
        <v>245</v>
      </c>
      <c r="D1220" s="34" t="s">
        <v>642</v>
      </c>
      <c r="E1220" s="34"/>
      <c r="F1220" s="37">
        <v>60900</v>
      </c>
      <c r="G1220" s="37">
        <v>60900</v>
      </c>
      <c r="H1220" s="38">
        <v>46079</v>
      </c>
      <c r="I1220" s="38" t="s">
        <v>1796</v>
      </c>
      <c r="J1220" s="42">
        <v>2</v>
      </c>
      <c r="K1220" s="43">
        <v>60900</v>
      </c>
    </row>
    <row r="1221" spans="1:11" x14ac:dyDescent="0.25">
      <c r="A1221" s="38">
        <v>46079</v>
      </c>
      <c r="B1221" s="33" t="s">
        <v>1563</v>
      </c>
      <c r="C1221" s="36" t="s">
        <v>258</v>
      </c>
      <c r="D1221" s="34" t="s">
        <v>561</v>
      </c>
      <c r="E1221" s="34"/>
      <c r="F1221" s="37">
        <v>172046</v>
      </c>
      <c r="G1221" s="37">
        <v>172046</v>
      </c>
      <c r="H1221" s="38">
        <v>46079</v>
      </c>
      <c r="I1221" s="38" t="s">
        <v>1796</v>
      </c>
      <c r="J1221" s="42">
        <v>2</v>
      </c>
      <c r="K1221" s="43">
        <v>172046</v>
      </c>
    </row>
    <row r="1222" spans="1:11" x14ac:dyDescent="0.25">
      <c r="A1222" s="38">
        <v>46079</v>
      </c>
      <c r="B1222" s="33" t="s">
        <v>1564</v>
      </c>
      <c r="C1222" s="36" t="s">
        <v>258</v>
      </c>
      <c r="D1222" s="34" t="s">
        <v>561</v>
      </c>
      <c r="E1222" s="34"/>
      <c r="F1222" s="37">
        <v>172046</v>
      </c>
      <c r="G1222" s="37">
        <v>172046</v>
      </c>
      <c r="H1222" s="38">
        <v>46079</v>
      </c>
      <c r="I1222" s="38" t="s">
        <v>1796</v>
      </c>
      <c r="J1222" s="42">
        <v>2</v>
      </c>
      <c r="K1222" s="43">
        <v>172046</v>
      </c>
    </row>
    <row r="1223" spans="1:11" x14ac:dyDescent="0.25">
      <c r="A1223" s="38">
        <v>46079</v>
      </c>
      <c r="B1223" s="33" t="s">
        <v>1565</v>
      </c>
      <c r="C1223" s="36" t="s">
        <v>272</v>
      </c>
      <c r="D1223" s="34" t="s">
        <v>433</v>
      </c>
      <c r="E1223" s="34"/>
      <c r="F1223" s="37">
        <v>242308.66</v>
      </c>
      <c r="G1223" s="37">
        <v>242308.66</v>
      </c>
      <c r="H1223" s="38">
        <v>46109</v>
      </c>
      <c r="I1223" s="38" t="s">
        <v>1796</v>
      </c>
      <c r="J1223" s="42">
        <f t="shared" ref="J1223:J1224" si="44">$I$1-A1223</f>
        <v>2</v>
      </c>
      <c r="K1223" s="43">
        <v>242308.66</v>
      </c>
    </row>
    <row r="1224" spans="1:11" x14ac:dyDescent="0.25">
      <c r="A1224" s="38">
        <v>46079</v>
      </c>
      <c r="B1224" s="33" t="s">
        <v>1566</v>
      </c>
      <c r="C1224" s="36" t="s">
        <v>285</v>
      </c>
      <c r="D1224" s="34" t="s">
        <v>402</v>
      </c>
      <c r="E1224" s="34"/>
      <c r="F1224" s="37">
        <v>739662</v>
      </c>
      <c r="G1224" s="37">
        <v>0.4</v>
      </c>
      <c r="H1224" s="38">
        <v>46109</v>
      </c>
      <c r="I1224" s="38" t="s">
        <v>1796</v>
      </c>
      <c r="J1224" s="42">
        <f t="shared" si="44"/>
        <v>2</v>
      </c>
      <c r="K1224" s="43">
        <v>0.4</v>
      </c>
    </row>
    <row r="1225" spans="1:11" x14ac:dyDescent="0.25">
      <c r="A1225" s="38">
        <v>46080</v>
      </c>
      <c r="B1225" s="33" t="s">
        <v>1567</v>
      </c>
      <c r="C1225" s="36" t="s">
        <v>28</v>
      </c>
      <c r="D1225" s="34" t="s">
        <v>402</v>
      </c>
      <c r="E1225" s="34"/>
      <c r="F1225" s="39">
        <v>400000</v>
      </c>
      <c r="G1225" s="39">
        <v>400000</v>
      </c>
      <c r="H1225" s="38">
        <v>46080</v>
      </c>
      <c r="I1225" s="38" t="s">
        <v>1796</v>
      </c>
      <c r="J1225" s="42">
        <v>1</v>
      </c>
      <c r="K1225" s="43">
        <v>-400000</v>
      </c>
    </row>
    <row r="1226" spans="1:11" x14ac:dyDescent="0.25">
      <c r="A1226" s="38">
        <v>46080</v>
      </c>
      <c r="B1226" s="33" t="s">
        <v>1568</v>
      </c>
      <c r="C1226" s="36" t="s">
        <v>28</v>
      </c>
      <c r="D1226" s="34" t="s">
        <v>402</v>
      </c>
      <c r="E1226" s="34"/>
      <c r="F1226" s="39">
        <v>800000</v>
      </c>
      <c r="G1226" s="39">
        <v>185535.78</v>
      </c>
      <c r="H1226" s="38">
        <v>46080</v>
      </c>
      <c r="I1226" s="38" t="s">
        <v>1796</v>
      </c>
      <c r="J1226" s="42">
        <v>1</v>
      </c>
      <c r="K1226" s="43">
        <v>-185535.78</v>
      </c>
    </row>
    <row r="1227" spans="1:11" x14ac:dyDescent="0.25">
      <c r="A1227" s="38">
        <v>46080</v>
      </c>
      <c r="B1227" s="33" t="s">
        <v>1569</v>
      </c>
      <c r="C1227" s="36" t="s">
        <v>47</v>
      </c>
      <c r="D1227" s="34" t="s">
        <v>393</v>
      </c>
      <c r="E1227" s="34"/>
      <c r="F1227" s="37">
        <v>2590.1</v>
      </c>
      <c r="G1227" s="37">
        <v>2590.1</v>
      </c>
      <c r="H1227" s="38">
        <v>46080</v>
      </c>
      <c r="I1227" s="38" t="s">
        <v>1796</v>
      </c>
      <c r="J1227" s="42">
        <v>1</v>
      </c>
      <c r="K1227" s="43">
        <v>2590.1</v>
      </c>
    </row>
    <row r="1228" spans="1:11" x14ac:dyDescent="0.25">
      <c r="A1228" s="38">
        <v>46080</v>
      </c>
      <c r="B1228" s="33" t="s">
        <v>1570</v>
      </c>
      <c r="C1228" s="36" t="s">
        <v>62</v>
      </c>
      <c r="D1228" s="34" t="s">
        <v>561</v>
      </c>
      <c r="E1228" s="34"/>
      <c r="F1228" s="37">
        <v>76645</v>
      </c>
      <c r="G1228" s="37">
        <v>76645</v>
      </c>
      <c r="H1228" s="38">
        <v>46140</v>
      </c>
      <c r="I1228" s="38" t="s">
        <v>1796</v>
      </c>
      <c r="J1228" s="42">
        <f>$I$1-A1228</f>
        <v>1</v>
      </c>
      <c r="K1228" s="43">
        <v>76645</v>
      </c>
    </row>
    <row r="1229" spans="1:11" x14ac:dyDescent="0.25">
      <c r="A1229" s="38">
        <v>46080</v>
      </c>
      <c r="B1229" s="33" t="s">
        <v>1571</v>
      </c>
      <c r="C1229" s="36" t="s">
        <v>71</v>
      </c>
      <c r="D1229" s="34" t="s">
        <v>433</v>
      </c>
      <c r="E1229" s="34"/>
      <c r="F1229" s="37">
        <v>8756</v>
      </c>
      <c r="G1229" s="37">
        <v>8756</v>
      </c>
      <c r="H1229" s="38">
        <v>46080</v>
      </c>
      <c r="I1229" s="38" t="s">
        <v>1796</v>
      </c>
      <c r="J1229" s="42">
        <v>1</v>
      </c>
      <c r="K1229" s="43">
        <v>8756</v>
      </c>
    </row>
    <row r="1230" spans="1:11" x14ac:dyDescent="0.25">
      <c r="A1230" s="38">
        <v>46080</v>
      </c>
      <c r="B1230" s="33" t="s">
        <v>1572</v>
      </c>
      <c r="C1230" s="36" t="s">
        <v>76</v>
      </c>
      <c r="D1230" s="34" t="s">
        <v>616</v>
      </c>
      <c r="E1230" s="34"/>
      <c r="F1230" s="39">
        <v>2926162</v>
      </c>
      <c r="G1230" s="39">
        <v>2926162</v>
      </c>
      <c r="H1230" s="38">
        <v>46080</v>
      </c>
      <c r="I1230" s="38" t="s">
        <v>1796</v>
      </c>
      <c r="J1230" s="42">
        <v>1</v>
      </c>
      <c r="K1230" s="43">
        <v>-2926162</v>
      </c>
    </row>
    <row r="1231" spans="1:11" x14ac:dyDescent="0.25">
      <c r="A1231" s="38">
        <v>46080</v>
      </c>
      <c r="B1231" s="33" t="s">
        <v>1573</v>
      </c>
      <c r="C1231" s="36" t="s">
        <v>76</v>
      </c>
      <c r="D1231" s="34" t="s">
        <v>616</v>
      </c>
      <c r="E1231" s="34"/>
      <c r="F1231" s="37">
        <v>500000</v>
      </c>
      <c r="G1231" s="37">
        <v>710000</v>
      </c>
      <c r="H1231" s="38">
        <v>46080</v>
      </c>
      <c r="I1231" s="38" t="s">
        <v>1796</v>
      </c>
      <c r="J1231" s="42">
        <v>1</v>
      </c>
      <c r="K1231" s="43">
        <v>710000</v>
      </c>
    </row>
    <row r="1232" spans="1:11" x14ac:dyDescent="0.25">
      <c r="A1232" s="38">
        <v>46080</v>
      </c>
      <c r="B1232" s="33" t="s">
        <v>1574</v>
      </c>
      <c r="C1232" s="36" t="s">
        <v>195</v>
      </c>
      <c r="D1232" s="34" t="s">
        <v>373</v>
      </c>
      <c r="E1232" s="34"/>
      <c r="F1232" s="37">
        <v>30131.32</v>
      </c>
      <c r="G1232" s="37">
        <v>30131.32</v>
      </c>
      <c r="H1232" s="38">
        <v>46080</v>
      </c>
      <c r="I1232" s="38" t="s">
        <v>1796</v>
      </c>
      <c r="J1232" s="42">
        <v>1</v>
      </c>
      <c r="K1232" s="43">
        <v>30131.32</v>
      </c>
    </row>
    <row r="1233" spans="1:11" x14ac:dyDescent="0.25">
      <c r="A1233" s="38">
        <v>46080</v>
      </c>
      <c r="B1233" s="33" t="s">
        <v>1575</v>
      </c>
      <c r="C1233" s="36" t="s">
        <v>195</v>
      </c>
      <c r="D1233" s="34" t="s">
        <v>373</v>
      </c>
      <c r="E1233" s="34"/>
      <c r="F1233" s="37">
        <v>30329.78</v>
      </c>
      <c r="G1233" s="37">
        <v>30329.78</v>
      </c>
      <c r="H1233" s="38">
        <v>46080</v>
      </c>
      <c r="I1233" s="38" t="s">
        <v>1796</v>
      </c>
      <c r="J1233" s="42">
        <v>1</v>
      </c>
      <c r="K1233" s="43">
        <v>30329.78</v>
      </c>
    </row>
    <row r="1234" spans="1:11" x14ac:dyDescent="0.25">
      <c r="A1234" s="38">
        <v>46080</v>
      </c>
      <c r="B1234" s="33" t="s">
        <v>1576</v>
      </c>
      <c r="C1234" s="36" t="s">
        <v>195</v>
      </c>
      <c r="D1234" s="34" t="s">
        <v>373</v>
      </c>
      <c r="E1234" s="34"/>
      <c r="F1234" s="37">
        <v>30219.52</v>
      </c>
      <c r="G1234" s="37">
        <v>30219.52</v>
      </c>
      <c r="H1234" s="38">
        <v>46080</v>
      </c>
      <c r="I1234" s="38" t="s">
        <v>1796</v>
      </c>
      <c r="J1234" s="42">
        <v>1</v>
      </c>
      <c r="K1234" s="43">
        <v>30219.52</v>
      </c>
    </row>
    <row r="1235" spans="1:11" x14ac:dyDescent="0.25">
      <c r="A1235" s="38">
        <v>46080</v>
      </c>
      <c r="B1235" s="33" t="s">
        <v>1577</v>
      </c>
      <c r="C1235" s="36" t="s">
        <v>195</v>
      </c>
      <c r="D1235" s="34" t="s">
        <v>373</v>
      </c>
      <c r="E1235" s="34"/>
      <c r="F1235" s="37">
        <v>35478.46</v>
      </c>
      <c r="G1235" s="37">
        <v>35478.46</v>
      </c>
      <c r="H1235" s="38">
        <v>46080</v>
      </c>
      <c r="I1235" s="38" t="s">
        <v>1796</v>
      </c>
      <c r="J1235" s="42">
        <v>1</v>
      </c>
      <c r="K1235" s="43">
        <v>35478.46</v>
      </c>
    </row>
    <row r="1236" spans="1:11" x14ac:dyDescent="0.25">
      <c r="A1236" s="38">
        <v>46080</v>
      </c>
      <c r="B1236" s="33" t="s">
        <v>1578</v>
      </c>
      <c r="C1236" s="36" t="s">
        <v>195</v>
      </c>
      <c r="D1236" s="34" t="s">
        <v>373</v>
      </c>
      <c r="E1236" s="34"/>
      <c r="F1236" s="37">
        <v>58223.02</v>
      </c>
      <c r="G1236" s="37">
        <v>58223.02</v>
      </c>
      <c r="H1236" s="38">
        <v>46080</v>
      </c>
      <c r="I1236" s="38" t="s">
        <v>1796</v>
      </c>
      <c r="J1236" s="42">
        <v>1</v>
      </c>
      <c r="K1236" s="43">
        <v>58223.02</v>
      </c>
    </row>
    <row r="1237" spans="1:11" x14ac:dyDescent="0.25">
      <c r="A1237" s="38">
        <v>46080</v>
      </c>
      <c r="B1237" s="33" t="s">
        <v>1579</v>
      </c>
      <c r="C1237" s="36" t="s">
        <v>223</v>
      </c>
      <c r="D1237" s="34" t="s">
        <v>341</v>
      </c>
      <c r="E1237" s="34"/>
      <c r="F1237" s="37">
        <v>41760</v>
      </c>
      <c r="G1237" s="37">
        <v>41760</v>
      </c>
      <c r="H1237" s="38">
        <v>46080</v>
      </c>
      <c r="I1237" s="38" t="s">
        <v>1796</v>
      </c>
      <c r="J1237" s="42">
        <v>1</v>
      </c>
      <c r="K1237" s="43">
        <v>41760</v>
      </c>
    </row>
    <row r="1238" spans="1:11" x14ac:dyDescent="0.25">
      <c r="A1238" s="38">
        <v>46080</v>
      </c>
      <c r="B1238" s="33" t="s">
        <v>1580</v>
      </c>
      <c r="C1238" s="36" t="s">
        <v>235</v>
      </c>
      <c r="D1238" s="34" t="s">
        <v>449</v>
      </c>
      <c r="E1238" s="34"/>
      <c r="F1238" s="37">
        <v>9300</v>
      </c>
      <c r="G1238" s="37">
        <v>9300</v>
      </c>
      <c r="H1238" s="38">
        <v>46080</v>
      </c>
      <c r="I1238" s="38" t="s">
        <v>1796</v>
      </c>
      <c r="J1238" s="42">
        <v>1</v>
      </c>
      <c r="K1238" s="43">
        <v>9300</v>
      </c>
    </row>
    <row r="1239" spans="1:11" x14ac:dyDescent="0.25">
      <c r="A1239" s="38">
        <v>46080</v>
      </c>
      <c r="B1239" s="33" t="s">
        <v>1581</v>
      </c>
      <c r="C1239" s="36" t="s">
        <v>258</v>
      </c>
      <c r="D1239" s="34" t="s">
        <v>561</v>
      </c>
      <c r="E1239" s="34"/>
      <c r="F1239" s="37">
        <v>197853</v>
      </c>
      <c r="G1239" s="37">
        <v>197853</v>
      </c>
      <c r="H1239" s="38">
        <v>46080</v>
      </c>
      <c r="I1239" s="38" t="s">
        <v>1796</v>
      </c>
      <c r="J1239" s="42">
        <v>1</v>
      </c>
      <c r="K1239" s="43">
        <v>197853</v>
      </c>
    </row>
    <row r="1240" spans="1:11" x14ac:dyDescent="0.25">
      <c r="A1240" s="38">
        <v>46081</v>
      </c>
      <c r="B1240" s="33" t="s">
        <v>1582</v>
      </c>
      <c r="C1240" s="36" t="s">
        <v>13</v>
      </c>
      <c r="D1240" s="34" t="s">
        <v>402</v>
      </c>
      <c r="E1240" s="34"/>
      <c r="F1240" s="37">
        <v>151788</v>
      </c>
      <c r="G1240" s="37">
        <v>151788</v>
      </c>
      <c r="H1240" s="38">
        <v>46081</v>
      </c>
      <c r="I1240" s="38" t="s">
        <v>1796</v>
      </c>
      <c r="J1240" s="42">
        <v>0</v>
      </c>
      <c r="K1240" s="43">
        <v>151788</v>
      </c>
    </row>
    <row r="1241" spans="1:11" x14ac:dyDescent="0.25">
      <c r="A1241" s="38">
        <v>46081</v>
      </c>
      <c r="B1241" s="33" t="s">
        <v>1583</v>
      </c>
      <c r="C1241" s="36" t="s">
        <v>17</v>
      </c>
      <c r="D1241" s="34" t="s">
        <v>341</v>
      </c>
      <c r="E1241" s="34"/>
      <c r="F1241" s="37">
        <v>43624.480000000003</v>
      </c>
      <c r="G1241" s="37">
        <v>43624.480000000003</v>
      </c>
      <c r="H1241" s="38">
        <v>46081</v>
      </c>
      <c r="I1241" s="38" t="s">
        <v>1796</v>
      </c>
      <c r="J1241" s="42">
        <v>0</v>
      </c>
      <c r="K1241" s="43">
        <v>43624.480000000003</v>
      </c>
    </row>
    <row r="1242" spans="1:11" x14ac:dyDescent="0.25">
      <c r="A1242" s="38">
        <v>46081</v>
      </c>
      <c r="B1242" s="33" t="s">
        <v>1584</v>
      </c>
      <c r="C1242" s="36" t="s">
        <v>19</v>
      </c>
      <c r="D1242" s="34" t="s">
        <v>449</v>
      </c>
      <c r="E1242" s="34"/>
      <c r="F1242" s="37">
        <v>78840</v>
      </c>
      <c r="G1242" s="37">
        <v>78840</v>
      </c>
      <c r="H1242" s="38">
        <v>46081</v>
      </c>
      <c r="I1242" s="38" t="s">
        <v>1796</v>
      </c>
      <c r="J1242" s="42">
        <v>0</v>
      </c>
      <c r="K1242" s="43">
        <v>78840</v>
      </c>
    </row>
    <row r="1243" spans="1:11" x14ac:dyDescent="0.25">
      <c r="A1243" s="38">
        <v>46081</v>
      </c>
      <c r="B1243" s="33" t="s">
        <v>1585</v>
      </c>
      <c r="C1243" s="36" t="s">
        <v>20</v>
      </c>
      <c r="D1243" s="34" t="s">
        <v>341</v>
      </c>
      <c r="E1243" s="34"/>
      <c r="F1243" s="37">
        <v>52675.199999999997</v>
      </c>
      <c r="G1243" s="37">
        <v>52675.199999999997</v>
      </c>
      <c r="H1243" s="38">
        <v>46081</v>
      </c>
      <c r="I1243" s="38" t="s">
        <v>1796</v>
      </c>
      <c r="J1243" s="42">
        <v>0</v>
      </c>
      <c r="K1243" s="43">
        <v>52675.199999999997</v>
      </c>
    </row>
    <row r="1244" spans="1:11" x14ac:dyDescent="0.25">
      <c r="A1244" s="38">
        <v>46081</v>
      </c>
      <c r="B1244" s="33" t="s">
        <v>1586</v>
      </c>
      <c r="C1244" s="36" t="s">
        <v>22</v>
      </c>
      <c r="D1244" s="34" t="s">
        <v>449</v>
      </c>
      <c r="E1244" s="34"/>
      <c r="F1244" s="37">
        <v>11276</v>
      </c>
      <c r="G1244" s="37">
        <v>11276</v>
      </c>
      <c r="H1244" s="38">
        <v>46081</v>
      </c>
      <c r="I1244" s="38" t="s">
        <v>1796</v>
      </c>
      <c r="J1244" s="42">
        <v>0</v>
      </c>
      <c r="K1244" s="43">
        <v>11276</v>
      </c>
    </row>
    <row r="1245" spans="1:11" x14ac:dyDescent="0.25">
      <c r="A1245" s="38">
        <v>46081</v>
      </c>
      <c r="B1245" s="33" t="s">
        <v>1587</v>
      </c>
      <c r="C1245" s="36" t="s">
        <v>22</v>
      </c>
      <c r="D1245" s="34" t="s">
        <v>449</v>
      </c>
      <c r="E1245" s="34"/>
      <c r="F1245" s="39">
        <v>5173</v>
      </c>
      <c r="G1245" s="39">
        <v>5173</v>
      </c>
      <c r="H1245" s="38">
        <v>46081</v>
      </c>
      <c r="I1245" s="38" t="s">
        <v>1796</v>
      </c>
      <c r="J1245" s="42">
        <v>0</v>
      </c>
      <c r="K1245" s="43">
        <v>-5173</v>
      </c>
    </row>
    <row r="1246" spans="1:11" x14ac:dyDescent="0.25">
      <c r="A1246" s="38">
        <v>46081</v>
      </c>
      <c r="B1246" s="33" t="s">
        <v>1588</v>
      </c>
      <c r="C1246" s="36" t="s">
        <v>22</v>
      </c>
      <c r="D1246" s="34" t="s">
        <v>449</v>
      </c>
      <c r="E1246" s="34"/>
      <c r="F1246" s="39">
        <v>5460</v>
      </c>
      <c r="G1246" s="39">
        <v>12429</v>
      </c>
      <c r="H1246" s="38">
        <v>46081</v>
      </c>
      <c r="I1246" s="38" t="s">
        <v>1796</v>
      </c>
      <c r="J1246" s="42">
        <v>0</v>
      </c>
      <c r="K1246" s="43">
        <v>-12429</v>
      </c>
    </row>
    <row r="1247" spans="1:11" x14ac:dyDescent="0.25">
      <c r="A1247" s="38">
        <v>46081</v>
      </c>
      <c r="B1247" s="33" t="s">
        <v>1589</v>
      </c>
      <c r="C1247" s="36" t="s">
        <v>22</v>
      </c>
      <c r="D1247" s="34" t="s">
        <v>449</v>
      </c>
      <c r="E1247" s="34"/>
      <c r="F1247" s="37">
        <v>7374</v>
      </c>
      <c r="G1247" s="37">
        <v>7374</v>
      </c>
      <c r="H1247" s="38">
        <v>46081</v>
      </c>
      <c r="I1247" s="38" t="s">
        <v>1796</v>
      </c>
      <c r="J1247" s="42">
        <v>0</v>
      </c>
      <c r="K1247" s="43">
        <v>7374</v>
      </c>
    </row>
    <row r="1248" spans="1:11" x14ac:dyDescent="0.25">
      <c r="A1248" s="38">
        <v>46081</v>
      </c>
      <c r="B1248" s="33" t="s">
        <v>1590</v>
      </c>
      <c r="C1248" s="36" t="s">
        <v>22</v>
      </c>
      <c r="D1248" s="34" t="s">
        <v>449</v>
      </c>
      <c r="E1248" s="34"/>
      <c r="F1248" s="37">
        <v>5483</v>
      </c>
      <c r="G1248" s="37">
        <v>20272</v>
      </c>
      <c r="H1248" s="38">
        <v>46081</v>
      </c>
      <c r="I1248" s="38" t="s">
        <v>1796</v>
      </c>
      <c r="J1248" s="42">
        <v>0</v>
      </c>
      <c r="K1248" s="43">
        <v>20272</v>
      </c>
    </row>
    <row r="1249" spans="1:11" x14ac:dyDescent="0.25">
      <c r="A1249" s="38">
        <v>46081</v>
      </c>
      <c r="B1249" s="33" t="s">
        <v>1591</v>
      </c>
      <c r="C1249" s="36" t="s">
        <v>22</v>
      </c>
      <c r="D1249" s="34" t="s">
        <v>449</v>
      </c>
      <c r="E1249" s="34"/>
      <c r="F1249" s="37">
        <v>1139</v>
      </c>
      <c r="G1249" s="37">
        <v>41683</v>
      </c>
      <c r="H1249" s="38">
        <v>46081</v>
      </c>
      <c r="I1249" s="38" t="s">
        <v>1796</v>
      </c>
      <c r="J1249" s="42">
        <v>0</v>
      </c>
      <c r="K1249" s="43">
        <v>41683</v>
      </c>
    </row>
    <row r="1250" spans="1:11" x14ac:dyDescent="0.25">
      <c r="A1250" s="38">
        <v>46081</v>
      </c>
      <c r="B1250" s="33" t="s">
        <v>1592</v>
      </c>
      <c r="C1250" s="36" t="s">
        <v>22</v>
      </c>
      <c r="D1250" s="34" t="s">
        <v>449</v>
      </c>
      <c r="E1250" s="34"/>
      <c r="F1250" s="37">
        <v>1000</v>
      </c>
      <c r="G1250" s="37">
        <v>1000</v>
      </c>
      <c r="H1250" s="38">
        <v>46081</v>
      </c>
      <c r="I1250" s="38" t="s">
        <v>1796</v>
      </c>
      <c r="J1250" s="42">
        <v>0</v>
      </c>
      <c r="K1250" s="43">
        <v>1000</v>
      </c>
    </row>
    <row r="1251" spans="1:11" x14ac:dyDescent="0.25">
      <c r="A1251" s="38">
        <v>46081</v>
      </c>
      <c r="B1251" s="33" t="s">
        <v>1593</v>
      </c>
      <c r="C1251" s="36" t="s">
        <v>22</v>
      </c>
      <c r="D1251" s="34" t="s">
        <v>449</v>
      </c>
      <c r="E1251" s="34"/>
      <c r="F1251" s="37">
        <v>9773</v>
      </c>
      <c r="G1251" s="37">
        <v>8549</v>
      </c>
      <c r="H1251" s="38">
        <v>46081</v>
      </c>
      <c r="I1251" s="38" t="s">
        <v>1796</v>
      </c>
      <c r="J1251" s="42">
        <v>0</v>
      </c>
      <c r="K1251" s="43">
        <v>8549</v>
      </c>
    </row>
    <row r="1252" spans="1:11" x14ac:dyDescent="0.25">
      <c r="A1252" s="38">
        <v>46081</v>
      </c>
      <c r="B1252" s="33" t="s">
        <v>1594</v>
      </c>
      <c r="C1252" s="36" t="s">
        <v>26</v>
      </c>
      <c r="D1252" s="34" t="s">
        <v>426</v>
      </c>
      <c r="E1252" s="34"/>
      <c r="F1252" s="37">
        <v>71541.38</v>
      </c>
      <c r="G1252" s="37">
        <v>71541.38</v>
      </c>
      <c r="H1252" s="38">
        <v>46081</v>
      </c>
      <c r="I1252" s="38" t="s">
        <v>1796</v>
      </c>
      <c r="J1252" s="42">
        <v>0</v>
      </c>
      <c r="K1252" s="43">
        <v>71541.38</v>
      </c>
    </row>
    <row r="1253" spans="1:11" x14ac:dyDescent="0.25">
      <c r="A1253" s="38">
        <v>46081</v>
      </c>
      <c r="B1253" s="33" t="s">
        <v>1595</v>
      </c>
      <c r="C1253" s="36" t="s">
        <v>26</v>
      </c>
      <c r="D1253" s="34" t="s">
        <v>426</v>
      </c>
      <c r="E1253" s="34"/>
      <c r="F1253" s="37">
        <v>70806.710000000006</v>
      </c>
      <c r="G1253" s="37">
        <v>70806.710000000006</v>
      </c>
      <c r="H1253" s="38">
        <v>46081</v>
      </c>
      <c r="I1253" s="38" t="s">
        <v>1796</v>
      </c>
      <c r="J1253" s="42">
        <v>0</v>
      </c>
      <c r="K1253" s="43">
        <v>70806.710000000006</v>
      </c>
    </row>
    <row r="1254" spans="1:11" x14ac:dyDescent="0.25">
      <c r="A1254" s="38">
        <v>46081</v>
      </c>
      <c r="B1254" s="33" t="s">
        <v>1596</v>
      </c>
      <c r="C1254" s="36" t="s">
        <v>26</v>
      </c>
      <c r="D1254" s="34" t="s">
        <v>426</v>
      </c>
      <c r="E1254" s="34"/>
      <c r="F1254" s="37">
        <v>51554.79</v>
      </c>
      <c r="G1254" s="37">
        <v>51554.79</v>
      </c>
      <c r="H1254" s="38">
        <v>46081</v>
      </c>
      <c r="I1254" s="38" t="s">
        <v>1796</v>
      </c>
      <c r="J1254" s="42">
        <v>0</v>
      </c>
      <c r="K1254" s="43">
        <v>51554.79</v>
      </c>
    </row>
    <row r="1255" spans="1:11" x14ac:dyDescent="0.25">
      <c r="A1255" s="38">
        <v>46081</v>
      </c>
      <c r="B1255" s="33" t="s">
        <v>1597</v>
      </c>
      <c r="C1255" s="36" t="s">
        <v>26</v>
      </c>
      <c r="D1255" s="34" t="s">
        <v>426</v>
      </c>
      <c r="E1255" s="34"/>
      <c r="F1255" s="37">
        <v>46071.93</v>
      </c>
      <c r="G1255" s="37">
        <v>46071.93</v>
      </c>
      <c r="H1255" s="38">
        <v>46081</v>
      </c>
      <c r="I1255" s="38" t="s">
        <v>1796</v>
      </c>
      <c r="J1255" s="42">
        <v>0</v>
      </c>
      <c r="K1255" s="43">
        <v>46071.93</v>
      </c>
    </row>
    <row r="1256" spans="1:11" x14ac:dyDescent="0.25">
      <c r="A1256" s="38">
        <v>46081</v>
      </c>
      <c r="B1256" s="33" t="s">
        <v>1598</v>
      </c>
      <c r="C1256" s="36" t="s">
        <v>26</v>
      </c>
      <c r="D1256" s="34" t="s">
        <v>426</v>
      </c>
      <c r="E1256" s="34"/>
      <c r="F1256" s="37">
        <v>47168.49</v>
      </c>
      <c r="G1256" s="37">
        <v>47168.49</v>
      </c>
      <c r="H1256" s="38">
        <v>46081</v>
      </c>
      <c r="I1256" s="38" t="s">
        <v>1796</v>
      </c>
      <c r="J1256" s="42">
        <v>0</v>
      </c>
      <c r="K1256" s="43">
        <v>47168.49</v>
      </c>
    </row>
    <row r="1257" spans="1:11" x14ac:dyDescent="0.25">
      <c r="A1257" s="38">
        <v>46081</v>
      </c>
      <c r="B1257" s="33" t="s">
        <v>1599</v>
      </c>
      <c r="C1257" s="36" t="s">
        <v>26</v>
      </c>
      <c r="D1257" s="34" t="s">
        <v>426</v>
      </c>
      <c r="E1257" s="34"/>
      <c r="F1257" s="37">
        <v>44768.75</v>
      </c>
      <c r="G1257" s="37">
        <v>44768.75</v>
      </c>
      <c r="H1257" s="38">
        <v>46081</v>
      </c>
      <c r="I1257" s="38" t="s">
        <v>1796</v>
      </c>
      <c r="J1257" s="42">
        <v>0</v>
      </c>
      <c r="K1257" s="43">
        <v>44768.75</v>
      </c>
    </row>
    <row r="1258" spans="1:11" x14ac:dyDescent="0.25">
      <c r="A1258" s="38">
        <v>46081</v>
      </c>
      <c r="B1258" s="33" t="s">
        <v>1600</v>
      </c>
      <c r="C1258" s="36" t="s">
        <v>26</v>
      </c>
      <c r="D1258" s="34" t="s">
        <v>426</v>
      </c>
      <c r="E1258" s="34"/>
      <c r="F1258" s="37">
        <v>46278.52</v>
      </c>
      <c r="G1258" s="37">
        <v>46278.52</v>
      </c>
      <c r="H1258" s="38">
        <v>46081</v>
      </c>
      <c r="I1258" s="38" t="s">
        <v>1796</v>
      </c>
      <c r="J1258" s="42">
        <v>0</v>
      </c>
      <c r="K1258" s="43">
        <v>46278.52</v>
      </c>
    </row>
    <row r="1259" spans="1:11" x14ac:dyDescent="0.25">
      <c r="A1259" s="38">
        <v>46081</v>
      </c>
      <c r="B1259" s="33" t="s">
        <v>1601</v>
      </c>
      <c r="C1259" s="36" t="s">
        <v>26</v>
      </c>
      <c r="D1259" s="34" t="s">
        <v>426</v>
      </c>
      <c r="E1259" s="34"/>
      <c r="F1259" s="37">
        <v>75964.7</v>
      </c>
      <c r="G1259" s="37">
        <v>75964.7</v>
      </c>
      <c r="H1259" s="38">
        <v>46081</v>
      </c>
      <c r="I1259" s="38" t="s">
        <v>1796</v>
      </c>
      <c r="J1259" s="42">
        <v>0</v>
      </c>
      <c r="K1259" s="43">
        <v>75964.7</v>
      </c>
    </row>
    <row r="1260" spans="1:11" x14ac:dyDescent="0.25">
      <c r="A1260" s="38">
        <v>46081</v>
      </c>
      <c r="B1260" s="33" t="s">
        <v>1602</v>
      </c>
      <c r="C1260" s="36" t="s">
        <v>26</v>
      </c>
      <c r="D1260" s="34" t="s">
        <v>426</v>
      </c>
      <c r="E1260" s="34"/>
      <c r="F1260" s="37">
        <v>71186.720000000001</v>
      </c>
      <c r="G1260" s="37">
        <v>71186.720000000001</v>
      </c>
      <c r="H1260" s="38">
        <v>46081</v>
      </c>
      <c r="I1260" s="38" t="s">
        <v>1796</v>
      </c>
      <c r="J1260" s="42">
        <v>0</v>
      </c>
      <c r="K1260" s="43">
        <v>71186.720000000001</v>
      </c>
    </row>
    <row r="1261" spans="1:11" x14ac:dyDescent="0.25">
      <c r="A1261" s="38">
        <v>46081</v>
      </c>
      <c r="B1261" s="33" t="s">
        <v>1603</v>
      </c>
      <c r="C1261" s="36" t="s">
        <v>26</v>
      </c>
      <c r="D1261" s="34" t="s">
        <v>426</v>
      </c>
      <c r="E1261" s="34"/>
      <c r="F1261" s="37">
        <v>109851.28</v>
      </c>
      <c r="G1261" s="37">
        <v>109851.28</v>
      </c>
      <c r="H1261" s="38">
        <v>46081</v>
      </c>
      <c r="I1261" s="38" t="s">
        <v>1796</v>
      </c>
      <c r="J1261" s="42">
        <v>0</v>
      </c>
      <c r="K1261" s="43">
        <v>109851.28</v>
      </c>
    </row>
    <row r="1262" spans="1:11" x14ac:dyDescent="0.25">
      <c r="A1262" s="38">
        <v>46081</v>
      </c>
      <c r="B1262" s="33" t="s">
        <v>1604</v>
      </c>
      <c r="C1262" s="36" t="s">
        <v>26</v>
      </c>
      <c r="D1262" s="34" t="s">
        <v>426</v>
      </c>
      <c r="E1262" s="34"/>
      <c r="F1262" s="37">
        <v>85477.77</v>
      </c>
      <c r="G1262" s="37">
        <v>85477.77</v>
      </c>
      <c r="H1262" s="38">
        <v>46081</v>
      </c>
      <c r="I1262" s="38" t="s">
        <v>1796</v>
      </c>
      <c r="J1262" s="42">
        <v>0</v>
      </c>
      <c r="K1262" s="43">
        <v>85477.77</v>
      </c>
    </row>
    <row r="1263" spans="1:11" x14ac:dyDescent="0.25">
      <c r="A1263" s="38">
        <v>46081</v>
      </c>
      <c r="B1263" s="33" t="s">
        <v>1605</v>
      </c>
      <c r="C1263" s="36" t="s">
        <v>26</v>
      </c>
      <c r="D1263" s="34" t="s">
        <v>426</v>
      </c>
      <c r="E1263" s="34"/>
      <c r="F1263" s="37">
        <v>40256.42</v>
      </c>
      <c r="G1263" s="37">
        <v>40256.42</v>
      </c>
      <c r="H1263" s="38">
        <v>46081</v>
      </c>
      <c r="I1263" s="38" t="s">
        <v>1796</v>
      </c>
      <c r="J1263" s="42">
        <v>0</v>
      </c>
      <c r="K1263" s="43">
        <v>40256.42</v>
      </c>
    </row>
    <row r="1264" spans="1:11" x14ac:dyDescent="0.25">
      <c r="A1264" s="38">
        <v>46081</v>
      </c>
      <c r="B1264" s="33" t="s">
        <v>1606</v>
      </c>
      <c r="C1264" s="36" t="s">
        <v>26</v>
      </c>
      <c r="D1264" s="34" t="s">
        <v>426</v>
      </c>
      <c r="E1264" s="34"/>
      <c r="F1264" s="37">
        <v>105317.5</v>
      </c>
      <c r="G1264" s="37">
        <v>105317.5</v>
      </c>
      <c r="H1264" s="38">
        <v>46081</v>
      </c>
      <c r="I1264" s="38" t="s">
        <v>1796</v>
      </c>
      <c r="J1264" s="42">
        <v>0</v>
      </c>
      <c r="K1264" s="43">
        <v>105317.5</v>
      </c>
    </row>
    <row r="1265" spans="1:11" x14ac:dyDescent="0.25">
      <c r="A1265" s="38">
        <v>46081</v>
      </c>
      <c r="B1265" s="33" t="s">
        <v>1607</v>
      </c>
      <c r="C1265" s="36" t="s">
        <v>30</v>
      </c>
      <c r="D1265" s="34" t="s">
        <v>426</v>
      </c>
      <c r="E1265" s="34"/>
      <c r="F1265" s="37">
        <v>119083.12</v>
      </c>
      <c r="G1265" s="37">
        <v>119083.12</v>
      </c>
      <c r="H1265" s="38">
        <v>46096</v>
      </c>
      <c r="I1265" s="38" t="s">
        <v>1796</v>
      </c>
      <c r="J1265" s="42">
        <f t="shared" ref="J1265:J1267" si="45">$I$1-A1265</f>
        <v>0</v>
      </c>
      <c r="K1265" s="43">
        <v>119083.12</v>
      </c>
    </row>
    <row r="1266" spans="1:11" x14ac:dyDescent="0.25">
      <c r="A1266" s="38">
        <v>46081</v>
      </c>
      <c r="B1266" s="33" t="s">
        <v>1608</v>
      </c>
      <c r="C1266" s="36" t="s">
        <v>30</v>
      </c>
      <c r="D1266" s="34" t="s">
        <v>426</v>
      </c>
      <c r="E1266" s="34"/>
      <c r="F1266" s="37">
        <v>119219</v>
      </c>
      <c r="G1266" s="37">
        <v>119219</v>
      </c>
      <c r="H1266" s="38">
        <v>46096</v>
      </c>
      <c r="I1266" s="38" t="s">
        <v>1796</v>
      </c>
      <c r="J1266" s="42">
        <f t="shared" si="45"/>
        <v>0</v>
      </c>
      <c r="K1266" s="43">
        <v>119219</v>
      </c>
    </row>
    <row r="1267" spans="1:11" x14ac:dyDescent="0.25">
      <c r="A1267" s="38">
        <v>46081</v>
      </c>
      <c r="B1267" s="33" t="s">
        <v>1609</v>
      </c>
      <c r="C1267" s="36" t="s">
        <v>30</v>
      </c>
      <c r="D1267" s="34" t="s">
        <v>426</v>
      </c>
      <c r="E1267" s="34"/>
      <c r="F1267" s="37">
        <v>117976.96000000001</v>
      </c>
      <c r="G1267" s="37">
        <v>117976.96000000001</v>
      </c>
      <c r="H1267" s="38">
        <v>46096</v>
      </c>
      <c r="I1267" s="38" t="s">
        <v>1796</v>
      </c>
      <c r="J1267" s="42">
        <f t="shared" si="45"/>
        <v>0</v>
      </c>
      <c r="K1267" s="43">
        <v>117976.96000000001</v>
      </c>
    </row>
    <row r="1268" spans="1:11" x14ac:dyDescent="0.25">
      <c r="A1268" s="38">
        <v>46081</v>
      </c>
      <c r="B1268" s="33" t="s">
        <v>1610</v>
      </c>
      <c r="C1268" s="36" t="s">
        <v>31</v>
      </c>
      <c r="D1268" s="34" t="s">
        <v>346</v>
      </c>
      <c r="E1268" s="34"/>
      <c r="F1268" s="37">
        <v>3000</v>
      </c>
      <c r="G1268" s="37">
        <v>3000</v>
      </c>
      <c r="H1268" s="38">
        <v>46081</v>
      </c>
      <c r="I1268" s="38" t="s">
        <v>1796</v>
      </c>
      <c r="J1268" s="42">
        <v>0</v>
      </c>
      <c r="K1268" s="43">
        <v>3000</v>
      </c>
    </row>
    <row r="1269" spans="1:11" x14ac:dyDescent="0.25">
      <c r="A1269" s="38">
        <v>46081</v>
      </c>
      <c r="B1269" s="33" t="s">
        <v>1611</v>
      </c>
      <c r="C1269" s="36" t="s">
        <v>34</v>
      </c>
      <c r="D1269" s="34" t="s">
        <v>373</v>
      </c>
      <c r="E1269" s="34"/>
      <c r="F1269" s="37">
        <v>20430</v>
      </c>
      <c r="G1269" s="37">
        <v>20430</v>
      </c>
      <c r="H1269" s="38">
        <v>46081</v>
      </c>
      <c r="I1269" s="38" t="s">
        <v>1796</v>
      </c>
      <c r="J1269" s="42">
        <v>0</v>
      </c>
      <c r="K1269" s="43">
        <v>20430</v>
      </c>
    </row>
    <row r="1270" spans="1:11" x14ac:dyDescent="0.25">
      <c r="A1270" s="38">
        <v>46081</v>
      </c>
      <c r="B1270" s="33" t="s">
        <v>1612</v>
      </c>
      <c r="C1270" s="36" t="s">
        <v>36</v>
      </c>
      <c r="D1270" s="34" t="s">
        <v>402</v>
      </c>
      <c r="E1270" s="34"/>
      <c r="F1270" s="37">
        <v>742739.15</v>
      </c>
      <c r="G1270" s="37">
        <v>742739.15</v>
      </c>
      <c r="H1270" s="38">
        <v>46081</v>
      </c>
      <c r="I1270" s="38" t="s">
        <v>1796</v>
      </c>
      <c r="J1270" s="42">
        <v>0</v>
      </c>
      <c r="K1270" s="43">
        <v>742739.15</v>
      </c>
    </row>
    <row r="1271" spans="1:11" x14ac:dyDescent="0.25">
      <c r="A1271" s="38">
        <v>46081</v>
      </c>
      <c r="B1271" s="33" t="s">
        <v>1613</v>
      </c>
      <c r="C1271" s="36" t="s">
        <v>41</v>
      </c>
      <c r="D1271" s="34" t="s">
        <v>426</v>
      </c>
      <c r="E1271" s="34"/>
      <c r="F1271" s="37">
        <v>81972</v>
      </c>
      <c r="G1271" s="37">
        <v>81972</v>
      </c>
      <c r="H1271" s="38">
        <v>46081</v>
      </c>
      <c r="I1271" s="38" t="s">
        <v>1796</v>
      </c>
      <c r="J1271" s="42">
        <v>0</v>
      </c>
      <c r="K1271" s="43">
        <v>81972</v>
      </c>
    </row>
    <row r="1272" spans="1:11" x14ac:dyDescent="0.25">
      <c r="A1272" s="38">
        <v>46081</v>
      </c>
      <c r="B1272" s="33" t="s">
        <v>1614</v>
      </c>
      <c r="C1272" s="36" t="s">
        <v>44</v>
      </c>
      <c r="D1272" s="34" t="s">
        <v>426</v>
      </c>
      <c r="E1272" s="34"/>
      <c r="F1272" s="37">
        <v>277134</v>
      </c>
      <c r="G1272" s="37">
        <v>277134</v>
      </c>
      <c r="H1272" s="38">
        <v>46081</v>
      </c>
      <c r="I1272" s="38" t="s">
        <v>1796</v>
      </c>
      <c r="J1272" s="42">
        <v>0</v>
      </c>
      <c r="K1272" s="43">
        <v>277134</v>
      </c>
    </row>
    <row r="1273" spans="1:11" x14ac:dyDescent="0.25">
      <c r="A1273" s="38">
        <v>46081</v>
      </c>
      <c r="B1273" s="33" t="s">
        <v>1615</v>
      </c>
      <c r="C1273" s="36" t="s">
        <v>44</v>
      </c>
      <c r="D1273" s="34" t="s">
        <v>8</v>
      </c>
      <c r="E1273" s="34"/>
      <c r="F1273" s="37">
        <v>191456.92</v>
      </c>
      <c r="G1273" s="37">
        <v>191456.92</v>
      </c>
      <c r="H1273" s="38">
        <v>46081</v>
      </c>
      <c r="I1273" s="38" t="s">
        <v>1796</v>
      </c>
      <c r="J1273" s="42">
        <v>0</v>
      </c>
      <c r="K1273" s="43">
        <v>191456.92</v>
      </c>
    </row>
    <row r="1274" spans="1:11" x14ac:dyDescent="0.25">
      <c r="A1274" s="38">
        <v>46081</v>
      </c>
      <c r="B1274" s="33" t="s">
        <v>1616</v>
      </c>
      <c r="C1274" s="36" t="s">
        <v>49</v>
      </c>
      <c r="D1274" s="34" t="s">
        <v>412</v>
      </c>
      <c r="E1274" s="34"/>
      <c r="F1274" s="37">
        <v>339300</v>
      </c>
      <c r="G1274" s="37">
        <v>339300</v>
      </c>
      <c r="H1274" s="38">
        <v>46081</v>
      </c>
      <c r="I1274" s="38" t="s">
        <v>1796</v>
      </c>
      <c r="J1274" s="42">
        <v>0</v>
      </c>
      <c r="K1274" s="43">
        <v>339300</v>
      </c>
    </row>
    <row r="1275" spans="1:11" x14ac:dyDescent="0.25">
      <c r="A1275" s="38">
        <v>46081</v>
      </c>
      <c r="B1275" s="33" t="s">
        <v>1617</v>
      </c>
      <c r="C1275" s="36" t="s">
        <v>49</v>
      </c>
      <c r="D1275" s="34" t="s">
        <v>412</v>
      </c>
      <c r="E1275" s="34"/>
      <c r="F1275" s="37">
        <v>17550</v>
      </c>
      <c r="G1275" s="37">
        <v>17550</v>
      </c>
      <c r="H1275" s="38">
        <v>46081</v>
      </c>
      <c r="I1275" s="38" t="s">
        <v>1796</v>
      </c>
      <c r="J1275" s="42">
        <v>0</v>
      </c>
      <c r="K1275" s="43">
        <v>17550</v>
      </c>
    </row>
    <row r="1276" spans="1:11" x14ac:dyDescent="0.25">
      <c r="A1276" s="38">
        <v>46081</v>
      </c>
      <c r="B1276" s="33" t="s">
        <v>1618</v>
      </c>
      <c r="C1276" s="36" t="s">
        <v>49</v>
      </c>
      <c r="D1276" s="34" t="s">
        <v>412</v>
      </c>
      <c r="E1276" s="34"/>
      <c r="F1276" s="37">
        <v>107162.49</v>
      </c>
      <c r="G1276" s="37">
        <v>107162.49</v>
      </c>
      <c r="H1276" s="38">
        <v>46081</v>
      </c>
      <c r="I1276" s="38" t="s">
        <v>1796</v>
      </c>
      <c r="J1276" s="42">
        <v>0</v>
      </c>
      <c r="K1276" s="43">
        <v>107162.49</v>
      </c>
    </row>
    <row r="1277" spans="1:11" x14ac:dyDescent="0.25">
      <c r="A1277" s="38">
        <v>46081</v>
      </c>
      <c r="B1277" s="33" t="s">
        <v>1619</v>
      </c>
      <c r="C1277" s="36" t="s">
        <v>49</v>
      </c>
      <c r="D1277" s="34" t="s">
        <v>412</v>
      </c>
      <c r="E1277" s="34"/>
      <c r="F1277" s="37">
        <v>301271.44</v>
      </c>
      <c r="G1277" s="37">
        <v>301271.44</v>
      </c>
      <c r="H1277" s="38">
        <v>46081</v>
      </c>
      <c r="I1277" s="38" t="s">
        <v>1796</v>
      </c>
      <c r="J1277" s="42">
        <v>0</v>
      </c>
      <c r="K1277" s="43">
        <v>301271.44</v>
      </c>
    </row>
    <row r="1278" spans="1:11" x14ac:dyDescent="0.25">
      <c r="A1278" s="38">
        <v>46081</v>
      </c>
      <c r="B1278" s="33" t="s">
        <v>1620</v>
      </c>
      <c r="C1278" s="36" t="s">
        <v>51</v>
      </c>
      <c r="D1278" s="34" t="s">
        <v>412</v>
      </c>
      <c r="E1278" s="34"/>
      <c r="F1278" s="37">
        <v>61085.45</v>
      </c>
      <c r="G1278" s="37">
        <v>61085.45</v>
      </c>
      <c r="H1278" s="38">
        <v>46081</v>
      </c>
      <c r="I1278" s="38" t="s">
        <v>1796</v>
      </c>
      <c r="J1278" s="42">
        <v>0</v>
      </c>
      <c r="K1278" s="43">
        <v>61085.45</v>
      </c>
    </row>
    <row r="1279" spans="1:11" x14ac:dyDescent="0.25">
      <c r="A1279" s="38">
        <v>46081</v>
      </c>
      <c r="B1279" s="33" t="s">
        <v>1621</v>
      </c>
      <c r="C1279" s="36" t="s">
        <v>51</v>
      </c>
      <c r="D1279" s="34" t="s">
        <v>412</v>
      </c>
      <c r="E1279" s="34"/>
      <c r="F1279" s="37">
        <v>95964</v>
      </c>
      <c r="G1279" s="37">
        <v>95964</v>
      </c>
      <c r="H1279" s="38">
        <v>46081</v>
      </c>
      <c r="I1279" s="38" t="s">
        <v>1796</v>
      </c>
      <c r="J1279" s="42">
        <v>0</v>
      </c>
      <c r="K1279" s="43">
        <v>95964</v>
      </c>
    </row>
    <row r="1280" spans="1:11" x14ac:dyDescent="0.25">
      <c r="A1280" s="38">
        <v>46081</v>
      </c>
      <c r="B1280" s="33" t="s">
        <v>1622</v>
      </c>
      <c r="C1280" s="36" t="s">
        <v>51</v>
      </c>
      <c r="D1280" s="34" t="s">
        <v>412</v>
      </c>
      <c r="E1280" s="34"/>
      <c r="F1280" s="37">
        <v>106243.81</v>
      </c>
      <c r="G1280" s="37">
        <v>106243.81</v>
      </c>
      <c r="H1280" s="38">
        <v>46081</v>
      </c>
      <c r="I1280" s="38" t="s">
        <v>1796</v>
      </c>
      <c r="J1280" s="42">
        <v>0</v>
      </c>
      <c r="K1280" s="43">
        <v>106243.81</v>
      </c>
    </row>
    <row r="1281" spans="1:11" x14ac:dyDescent="0.25">
      <c r="A1281" s="38">
        <v>46081</v>
      </c>
      <c r="B1281" s="33" t="s">
        <v>1623</v>
      </c>
      <c r="C1281" s="36" t="s">
        <v>52</v>
      </c>
      <c r="D1281" s="34" t="s">
        <v>449</v>
      </c>
      <c r="E1281" s="34"/>
      <c r="F1281" s="37">
        <v>1500</v>
      </c>
      <c r="G1281" s="37">
        <v>1500</v>
      </c>
      <c r="H1281" s="38">
        <v>46081</v>
      </c>
      <c r="I1281" s="38" t="s">
        <v>1796</v>
      </c>
      <c r="J1281" s="42">
        <v>0</v>
      </c>
      <c r="K1281" s="43">
        <v>1500</v>
      </c>
    </row>
    <row r="1282" spans="1:11" x14ac:dyDescent="0.25">
      <c r="A1282" s="38">
        <v>46081</v>
      </c>
      <c r="B1282" s="33" t="s">
        <v>1624</v>
      </c>
      <c r="C1282" s="36" t="s">
        <v>52</v>
      </c>
      <c r="D1282" s="34" t="s">
        <v>449</v>
      </c>
      <c r="E1282" s="34"/>
      <c r="F1282" s="37">
        <v>4500</v>
      </c>
      <c r="G1282" s="37">
        <v>4500</v>
      </c>
      <c r="H1282" s="38">
        <v>46081</v>
      </c>
      <c r="I1282" s="38" t="s">
        <v>1796</v>
      </c>
      <c r="J1282" s="42">
        <v>0</v>
      </c>
      <c r="K1282" s="43">
        <v>4500</v>
      </c>
    </row>
    <row r="1283" spans="1:11" x14ac:dyDescent="0.25">
      <c r="A1283" s="38">
        <v>46081</v>
      </c>
      <c r="B1283" s="33" t="s">
        <v>1625</v>
      </c>
      <c r="C1283" s="36" t="s">
        <v>53</v>
      </c>
      <c r="D1283" s="34" t="s">
        <v>412</v>
      </c>
      <c r="E1283" s="34"/>
      <c r="F1283" s="37">
        <v>45004</v>
      </c>
      <c r="G1283" s="37">
        <v>45004</v>
      </c>
      <c r="H1283" s="38">
        <v>46081</v>
      </c>
      <c r="I1283" s="38" t="s">
        <v>1796</v>
      </c>
      <c r="J1283" s="42">
        <v>0</v>
      </c>
      <c r="K1283" s="43">
        <v>45004</v>
      </c>
    </row>
    <row r="1284" spans="1:11" x14ac:dyDescent="0.25">
      <c r="A1284" s="38">
        <v>46081</v>
      </c>
      <c r="B1284" s="33" t="s">
        <v>1626</v>
      </c>
      <c r="C1284" s="36" t="s">
        <v>53</v>
      </c>
      <c r="D1284" s="34" t="s">
        <v>412</v>
      </c>
      <c r="E1284" s="34"/>
      <c r="F1284" s="37">
        <v>29474</v>
      </c>
      <c r="G1284" s="37">
        <v>29474</v>
      </c>
      <c r="H1284" s="38">
        <v>46081</v>
      </c>
      <c r="I1284" s="38" t="s">
        <v>1796</v>
      </c>
      <c r="J1284" s="42">
        <v>0</v>
      </c>
      <c r="K1284" s="43">
        <v>29474</v>
      </c>
    </row>
    <row r="1285" spans="1:11" x14ac:dyDescent="0.25">
      <c r="A1285" s="38">
        <v>46081</v>
      </c>
      <c r="B1285" s="33" t="s">
        <v>1627</v>
      </c>
      <c r="C1285" s="36" t="s">
        <v>54</v>
      </c>
      <c r="D1285" s="34" t="s">
        <v>402</v>
      </c>
      <c r="E1285" s="34"/>
      <c r="F1285" s="37">
        <v>349241.43</v>
      </c>
      <c r="G1285" s="37">
        <v>349241.43</v>
      </c>
      <c r="H1285" s="38">
        <v>46081</v>
      </c>
      <c r="I1285" s="38" t="s">
        <v>1796</v>
      </c>
      <c r="J1285" s="42">
        <v>0</v>
      </c>
      <c r="K1285" s="43">
        <v>349241.43</v>
      </c>
    </row>
    <row r="1286" spans="1:11" x14ac:dyDescent="0.25">
      <c r="A1286" s="38">
        <v>46081</v>
      </c>
      <c r="B1286" s="33" t="s">
        <v>1628</v>
      </c>
      <c r="C1286" s="36" t="s">
        <v>60</v>
      </c>
      <c r="D1286" s="34" t="s">
        <v>402</v>
      </c>
      <c r="E1286" s="34"/>
      <c r="F1286" s="37">
        <v>11438</v>
      </c>
      <c r="G1286" s="37">
        <v>11438</v>
      </c>
      <c r="H1286" s="38">
        <v>46111</v>
      </c>
      <c r="I1286" s="38" t="s">
        <v>1796</v>
      </c>
      <c r="J1286" s="42">
        <f>$I$1-A1286</f>
        <v>0</v>
      </c>
      <c r="K1286" s="43">
        <v>11438</v>
      </c>
    </row>
    <row r="1287" spans="1:11" x14ac:dyDescent="0.25">
      <c r="A1287" s="38">
        <v>46081</v>
      </c>
      <c r="B1287" s="33" t="s">
        <v>1629</v>
      </c>
      <c r="C1287" s="36" t="s">
        <v>63</v>
      </c>
      <c r="D1287" s="34" t="s">
        <v>373</v>
      </c>
      <c r="E1287" s="34"/>
      <c r="F1287" s="37">
        <v>174580</v>
      </c>
      <c r="G1287" s="37">
        <v>174580</v>
      </c>
      <c r="H1287" s="38">
        <v>46081</v>
      </c>
      <c r="I1287" s="38" t="s">
        <v>1796</v>
      </c>
      <c r="J1287" s="42">
        <v>0</v>
      </c>
      <c r="K1287" s="43">
        <v>174580</v>
      </c>
    </row>
    <row r="1288" spans="1:11" x14ac:dyDescent="0.25">
      <c r="A1288" s="38">
        <v>46081</v>
      </c>
      <c r="B1288" s="33" t="s">
        <v>1630</v>
      </c>
      <c r="C1288" s="36" t="s">
        <v>63</v>
      </c>
      <c r="D1288" s="34" t="s">
        <v>373</v>
      </c>
      <c r="E1288" s="34"/>
      <c r="F1288" s="37">
        <v>170520</v>
      </c>
      <c r="G1288" s="37">
        <v>170520</v>
      </c>
      <c r="H1288" s="38">
        <v>46081</v>
      </c>
      <c r="I1288" s="38" t="s">
        <v>1796</v>
      </c>
      <c r="J1288" s="42">
        <v>0</v>
      </c>
      <c r="K1288" s="43">
        <v>170520</v>
      </c>
    </row>
    <row r="1289" spans="1:11" x14ac:dyDescent="0.25">
      <c r="A1289" s="38">
        <v>46081</v>
      </c>
      <c r="B1289" s="33" t="s">
        <v>1631</v>
      </c>
      <c r="C1289" s="36" t="s">
        <v>63</v>
      </c>
      <c r="D1289" s="34" t="s">
        <v>642</v>
      </c>
      <c r="E1289" s="34"/>
      <c r="F1289" s="37">
        <v>113100</v>
      </c>
      <c r="G1289" s="37">
        <v>113100</v>
      </c>
      <c r="H1289" s="38">
        <v>46081</v>
      </c>
      <c r="I1289" s="38" t="s">
        <v>1796</v>
      </c>
      <c r="J1289" s="42">
        <v>0</v>
      </c>
      <c r="K1289" s="43">
        <v>113100</v>
      </c>
    </row>
    <row r="1290" spans="1:11" x14ac:dyDescent="0.25">
      <c r="A1290" s="38">
        <v>46081</v>
      </c>
      <c r="B1290" s="33" t="s">
        <v>1632</v>
      </c>
      <c r="C1290" s="36" t="s">
        <v>63</v>
      </c>
      <c r="D1290" s="34" t="s">
        <v>642</v>
      </c>
      <c r="E1290" s="34"/>
      <c r="F1290" s="37">
        <v>113100</v>
      </c>
      <c r="G1290" s="37">
        <v>113100</v>
      </c>
      <c r="H1290" s="38">
        <v>46081</v>
      </c>
      <c r="I1290" s="38" t="s">
        <v>1796</v>
      </c>
      <c r="J1290" s="42">
        <v>0</v>
      </c>
      <c r="K1290" s="43">
        <v>113100</v>
      </c>
    </row>
    <row r="1291" spans="1:11" x14ac:dyDescent="0.25">
      <c r="A1291" s="38">
        <v>46081</v>
      </c>
      <c r="B1291" s="33" t="s">
        <v>1633</v>
      </c>
      <c r="C1291" s="36" t="s">
        <v>63</v>
      </c>
      <c r="D1291" s="34" t="s">
        <v>402</v>
      </c>
      <c r="E1291" s="34"/>
      <c r="F1291" s="37">
        <v>116580</v>
      </c>
      <c r="G1291" s="37">
        <v>116580</v>
      </c>
      <c r="H1291" s="38">
        <v>46081</v>
      </c>
      <c r="I1291" s="38" t="s">
        <v>1796</v>
      </c>
      <c r="J1291" s="42">
        <v>0</v>
      </c>
      <c r="K1291" s="43">
        <v>116580</v>
      </c>
    </row>
    <row r="1292" spans="1:11" x14ac:dyDescent="0.25">
      <c r="A1292" s="38">
        <v>46081</v>
      </c>
      <c r="B1292" s="33" t="s">
        <v>1634</v>
      </c>
      <c r="C1292" s="36" t="s">
        <v>63</v>
      </c>
      <c r="D1292" s="34" t="s">
        <v>402</v>
      </c>
      <c r="E1292" s="34"/>
      <c r="F1292" s="37">
        <v>46980</v>
      </c>
      <c r="G1292" s="37">
        <v>46980</v>
      </c>
      <c r="H1292" s="38">
        <v>46081</v>
      </c>
      <c r="I1292" s="38" t="s">
        <v>1796</v>
      </c>
      <c r="J1292" s="42">
        <v>0</v>
      </c>
      <c r="K1292" s="43">
        <v>46980</v>
      </c>
    </row>
    <row r="1293" spans="1:11" x14ac:dyDescent="0.25">
      <c r="A1293" s="38">
        <v>46081</v>
      </c>
      <c r="B1293" s="33" t="s">
        <v>1635</v>
      </c>
      <c r="C1293" s="36" t="s">
        <v>63</v>
      </c>
      <c r="D1293" s="34" t="s">
        <v>402</v>
      </c>
      <c r="E1293" s="34"/>
      <c r="F1293" s="37">
        <v>116580</v>
      </c>
      <c r="G1293" s="37">
        <v>116580</v>
      </c>
      <c r="H1293" s="38">
        <v>46081</v>
      </c>
      <c r="I1293" s="38" t="s">
        <v>1796</v>
      </c>
      <c r="J1293" s="42">
        <v>0</v>
      </c>
      <c r="K1293" s="43">
        <v>116580</v>
      </c>
    </row>
    <row r="1294" spans="1:11" x14ac:dyDescent="0.25">
      <c r="A1294" s="38">
        <v>46081</v>
      </c>
      <c r="B1294" s="33" t="s">
        <v>1636</v>
      </c>
      <c r="C1294" s="36" t="s">
        <v>63</v>
      </c>
      <c r="D1294" s="34" t="s">
        <v>402</v>
      </c>
      <c r="E1294" s="34"/>
      <c r="F1294" s="37">
        <v>116580</v>
      </c>
      <c r="G1294" s="37">
        <v>116580</v>
      </c>
      <c r="H1294" s="38">
        <v>46081</v>
      </c>
      <c r="I1294" s="38" t="s">
        <v>1796</v>
      </c>
      <c r="J1294" s="42">
        <v>0</v>
      </c>
      <c r="K1294" s="43">
        <v>116580</v>
      </c>
    </row>
    <row r="1295" spans="1:11" x14ac:dyDescent="0.25">
      <c r="A1295" s="38">
        <v>46081</v>
      </c>
      <c r="B1295" s="33" t="s">
        <v>1637</v>
      </c>
      <c r="C1295" s="36" t="s">
        <v>63</v>
      </c>
      <c r="D1295" s="34" t="s">
        <v>402</v>
      </c>
      <c r="E1295" s="34"/>
      <c r="F1295" s="37">
        <v>116580</v>
      </c>
      <c r="G1295" s="37">
        <v>116580</v>
      </c>
      <c r="H1295" s="38">
        <v>46081</v>
      </c>
      <c r="I1295" s="38" t="s">
        <v>1796</v>
      </c>
      <c r="J1295" s="42">
        <v>0</v>
      </c>
      <c r="K1295" s="43">
        <v>116580</v>
      </c>
    </row>
    <row r="1296" spans="1:11" x14ac:dyDescent="0.25">
      <c r="A1296" s="38">
        <v>46081</v>
      </c>
      <c r="B1296" s="33" t="s">
        <v>1638</v>
      </c>
      <c r="C1296" s="36" t="s">
        <v>63</v>
      </c>
      <c r="D1296" s="34" t="s">
        <v>402</v>
      </c>
      <c r="E1296" s="34"/>
      <c r="F1296" s="37">
        <v>116580</v>
      </c>
      <c r="G1296" s="37">
        <v>116580</v>
      </c>
      <c r="H1296" s="38">
        <v>46081</v>
      </c>
      <c r="I1296" s="38" t="s">
        <v>1796</v>
      </c>
      <c r="J1296" s="42">
        <v>0</v>
      </c>
      <c r="K1296" s="43">
        <v>116580</v>
      </c>
    </row>
    <row r="1297" spans="1:11" x14ac:dyDescent="0.25">
      <c r="A1297" s="38">
        <v>46081</v>
      </c>
      <c r="B1297" s="33" t="s">
        <v>1639</v>
      </c>
      <c r="C1297" s="36" t="s">
        <v>63</v>
      </c>
      <c r="D1297" s="34" t="s">
        <v>402</v>
      </c>
      <c r="E1297" s="34"/>
      <c r="F1297" s="37">
        <v>116580</v>
      </c>
      <c r="G1297" s="37">
        <v>116580</v>
      </c>
      <c r="H1297" s="38">
        <v>46081</v>
      </c>
      <c r="I1297" s="38" t="s">
        <v>1796</v>
      </c>
      <c r="J1297" s="42">
        <v>0</v>
      </c>
      <c r="K1297" s="43">
        <v>116580</v>
      </c>
    </row>
    <row r="1298" spans="1:11" x14ac:dyDescent="0.25">
      <c r="A1298" s="38">
        <v>46081</v>
      </c>
      <c r="B1298" s="33" t="s">
        <v>1640</v>
      </c>
      <c r="C1298" s="36" t="s">
        <v>63</v>
      </c>
      <c r="D1298" s="34" t="s">
        <v>402</v>
      </c>
      <c r="E1298" s="34"/>
      <c r="F1298" s="37">
        <v>118900</v>
      </c>
      <c r="G1298" s="37">
        <v>118900</v>
      </c>
      <c r="H1298" s="38">
        <v>46081</v>
      </c>
      <c r="I1298" s="38" t="s">
        <v>1796</v>
      </c>
      <c r="J1298" s="42">
        <v>0</v>
      </c>
      <c r="K1298" s="43">
        <v>118900</v>
      </c>
    </row>
    <row r="1299" spans="1:11" x14ac:dyDescent="0.25">
      <c r="A1299" s="38">
        <v>46081</v>
      </c>
      <c r="B1299" s="33" t="s">
        <v>1641</v>
      </c>
      <c r="C1299" s="36" t="s">
        <v>63</v>
      </c>
      <c r="D1299" s="34" t="s">
        <v>402</v>
      </c>
      <c r="E1299" s="34"/>
      <c r="F1299" s="37">
        <v>116580</v>
      </c>
      <c r="G1299" s="37">
        <v>116580</v>
      </c>
      <c r="H1299" s="38">
        <v>46081</v>
      </c>
      <c r="I1299" s="38" t="s">
        <v>1796</v>
      </c>
      <c r="J1299" s="42">
        <v>0</v>
      </c>
      <c r="K1299" s="43">
        <v>116580</v>
      </c>
    </row>
    <row r="1300" spans="1:11" x14ac:dyDescent="0.25">
      <c r="A1300" s="38">
        <v>46081</v>
      </c>
      <c r="B1300" s="33" t="s">
        <v>1642</v>
      </c>
      <c r="C1300" s="36" t="s">
        <v>63</v>
      </c>
      <c r="D1300" s="34" t="s">
        <v>402</v>
      </c>
      <c r="E1300" s="34"/>
      <c r="F1300" s="37">
        <v>118900</v>
      </c>
      <c r="G1300" s="37">
        <v>118900</v>
      </c>
      <c r="H1300" s="38">
        <v>46081</v>
      </c>
      <c r="I1300" s="38" t="s">
        <v>1796</v>
      </c>
      <c r="J1300" s="42">
        <v>0</v>
      </c>
      <c r="K1300" s="43">
        <v>118900</v>
      </c>
    </row>
    <row r="1301" spans="1:11" x14ac:dyDescent="0.25">
      <c r="A1301" s="38">
        <v>46081</v>
      </c>
      <c r="B1301" s="33" t="s">
        <v>1643</v>
      </c>
      <c r="C1301" s="36" t="s">
        <v>63</v>
      </c>
      <c r="D1301" s="34" t="s">
        <v>402</v>
      </c>
      <c r="E1301" s="34"/>
      <c r="F1301" s="37">
        <v>116580</v>
      </c>
      <c r="G1301" s="37">
        <v>116580</v>
      </c>
      <c r="H1301" s="38">
        <v>46081</v>
      </c>
      <c r="I1301" s="38" t="s">
        <v>1796</v>
      </c>
      <c r="J1301" s="42">
        <v>0</v>
      </c>
      <c r="K1301" s="43">
        <v>116580</v>
      </c>
    </row>
    <row r="1302" spans="1:11" x14ac:dyDescent="0.25">
      <c r="A1302" s="38">
        <v>46081</v>
      </c>
      <c r="B1302" s="33" t="s">
        <v>1644</v>
      </c>
      <c r="C1302" s="36" t="s">
        <v>63</v>
      </c>
      <c r="D1302" s="34" t="s">
        <v>561</v>
      </c>
      <c r="E1302" s="34"/>
      <c r="F1302" s="37">
        <v>132750</v>
      </c>
      <c r="G1302" s="37">
        <v>130500</v>
      </c>
      <c r="H1302" s="38">
        <v>46081</v>
      </c>
      <c r="I1302" s="38" t="s">
        <v>1796</v>
      </c>
      <c r="J1302" s="42">
        <v>0</v>
      </c>
      <c r="K1302" s="43">
        <v>130500</v>
      </c>
    </row>
    <row r="1303" spans="1:11" x14ac:dyDescent="0.25">
      <c r="A1303" s="38">
        <v>46081</v>
      </c>
      <c r="B1303" s="33" t="s">
        <v>1645</v>
      </c>
      <c r="C1303" s="36" t="s">
        <v>64</v>
      </c>
      <c r="D1303" s="34" t="s">
        <v>449</v>
      </c>
      <c r="E1303" s="34"/>
      <c r="F1303" s="37">
        <v>23463.32</v>
      </c>
      <c r="G1303" s="37">
        <v>23463.32</v>
      </c>
      <c r="H1303" s="38">
        <v>46081</v>
      </c>
      <c r="I1303" s="38" t="s">
        <v>1796</v>
      </c>
      <c r="J1303" s="42">
        <v>0</v>
      </c>
      <c r="K1303" s="43">
        <v>23463.32</v>
      </c>
    </row>
    <row r="1304" spans="1:11" x14ac:dyDescent="0.25">
      <c r="A1304" s="38">
        <v>46081</v>
      </c>
      <c r="B1304" s="33" t="s">
        <v>1646</v>
      </c>
      <c r="C1304" s="36" t="s">
        <v>67</v>
      </c>
      <c r="D1304" s="34" t="s">
        <v>449</v>
      </c>
      <c r="E1304" s="34"/>
      <c r="F1304" s="37">
        <v>10000</v>
      </c>
      <c r="G1304" s="37">
        <v>10000</v>
      </c>
      <c r="H1304" s="38">
        <v>46081</v>
      </c>
      <c r="I1304" s="38" t="s">
        <v>1796</v>
      </c>
      <c r="J1304" s="42">
        <v>0</v>
      </c>
      <c r="K1304" s="43">
        <v>10000</v>
      </c>
    </row>
    <row r="1305" spans="1:11" x14ac:dyDescent="0.25">
      <c r="A1305" s="38">
        <v>46081</v>
      </c>
      <c r="B1305" s="33" t="s">
        <v>1647</v>
      </c>
      <c r="C1305" s="36" t="s">
        <v>68</v>
      </c>
      <c r="D1305" s="34" t="s">
        <v>373</v>
      </c>
      <c r="E1305" s="34"/>
      <c r="F1305" s="37">
        <v>3000</v>
      </c>
      <c r="G1305" s="37">
        <v>3000</v>
      </c>
      <c r="H1305" s="38">
        <v>46081</v>
      </c>
      <c r="I1305" s="38" t="s">
        <v>1796</v>
      </c>
      <c r="J1305" s="42">
        <v>0</v>
      </c>
      <c r="K1305" s="43">
        <v>3000</v>
      </c>
    </row>
    <row r="1306" spans="1:11" x14ac:dyDescent="0.25">
      <c r="A1306" s="38">
        <v>46081</v>
      </c>
      <c r="B1306" s="33" t="s">
        <v>1648</v>
      </c>
      <c r="C1306" s="36" t="s">
        <v>70</v>
      </c>
      <c r="D1306" s="34" t="s">
        <v>449</v>
      </c>
      <c r="E1306" s="34"/>
      <c r="F1306" s="37">
        <v>720000.36</v>
      </c>
      <c r="G1306" s="37">
        <v>720000.36</v>
      </c>
      <c r="H1306" s="38">
        <v>46081</v>
      </c>
      <c r="I1306" s="38" t="s">
        <v>1796</v>
      </c>
      <c r="J1306" s="42">
        <v>0</v>
      </c>
      <c r="K1306" s="43">
        <v>720000.36</v>
      </c>
    </row>
    <row r="1307" spans="1:11" x14ac:dyDescent="0.25">
      <c r="A1307" s="38">
        <v>46081</v>
      </c>
      <c r="B1307" s="33" t="s">
        <v>1649</v>
      </c>
      <c r="C1307" s="36" t="s">
        <v>70</v>
      </c>
      <c r="D1307" s="34" t="s">
        <v>449</v>
      </c>
      <c r="E1307" s="34"/>
      <c r="F1307" s="37">
        <v>600</v>
      </c>
      <c r="G1307" s="37">
        <v>600</v>
      </c>
      <c r="H1307" s="38">
        <v>46081</v>
      </c>
      <c r="I1307" s="38" t="s">
        <v>1796</v>
      </c>
      <c r="J1307" s="42">
        <v>0</v>
      </c>
      <c r="K1307" s="43">
        <v>600</v>
      </c>
    </row>
    <row r="1308" spans="1:11" x14ac:dyDescent="0.25">
      <c r="A1308" s="38">
        <v>46081</v>
      </c>
      <c r="B1308" s="33" t="s">
        <v>1650</v>
      </c>
      <c r="C1308" s="36" t="s">
        <v>72</v>
      </c>
      <c r="D1308" s="34" t="s">
        <v>341</v>
      </c>
      <c r="E1308" s="34"/>
      <c r="F1308" s="37">
        <v>1094616</v>
      </c>
      <c r="G1308" s="37">
        <v>1094616</v>
      </c>
      <c r="H1308" s="38">
        <v>46081</v>
      </c>
      <c r="I1308" s="38" t="s">
        <v>1796</v>
      </c>
      <c r="J1308" s="42">
        <v>0</v>
      </c>
      <c r="K1308" s="43">
        <v>1094616</v>
      </c>
    </row>
    <row r="1309" spans="1:11" x14ac:dyDescent="0.25">
      <c r="A1309" s="38">
        <v>46081</v>
      </c>
      <c r="B1309" s="33" t="s">
        <v>1651</v>
      </c>
      <c r="C1309" s="36" t="s">
        <v>75</v>
      </c>
      <c r="D1309" s="34" t="s">
        <v>373</v>
      </c>
      <c r="E1309" s="34"/>
      <c r="F1309" s="37">
        <v>14436.2</v>
      </c>
      <c r="G1309" s="37">
        <v>14436.2</v>
      </c>
      <c r="H1309" s="38">
        <v>46081</v>
      </c>
      <c r="I1309" s="38" t="s">
        <v>1796</v>
      </c>
      <c r="J1309" s="42">
        <v>0</v>
      </c>
      <c r="K1309" s="43">
        <v>14436.2</v>
      </c>
    </row>
    <row r="1310" spans="1:11" x14ac:dyDescent="0.25">
      <c r="A1310" s="38">
        <v>46081</v>
      </c>
      <c r="B1310" s="33" t="s">
        <v>1652</v>
      </c>
      <c r="C1310" s="36" t="s">
        <v>76</v>
      </c>
      <c r="D1310" s="34" t="s">
        <v>412</v>
      </c>
      <c r="E1310" s="34"/>
      <c r="F1310" s="37">
        <v>336000</v>
      </c>
      <c r="G1310" s="37">
        <v>336000</v>
      </c>
      <c r="H1310" s="38">
        <v>46081</v>
      </c>
      <c r="I1310" s="38" t="s">
        <v>1796</v>
      </c>
      <c r="J1310" s="42">
        <v>0</v>
      </c>
      <c r="K1310" s="43">
        <v>336000</v>
      </c>
    </row>
    <row r="1311" spans="1:11" x14ac:dyDescent="0.25">
      <c r="A1311" s="38">
        <v>46081</v>
      </c>
      <c r="B1311" s="33" t="s">
        <v>1653</v>
      </c>
      <c r="C1311" s="36" t="s">
        <v>76</v>
      </c>
      <c r="D1311" s="34" t="s">
        <v>616</v>
      </c>
      <c r="E1311" s="34"/>
      <c r="F1311" s="37">
        <v>402108</v>
      </c>
      <c r="G1311" s="37">
        <v>402108</v>
      </c>
      <c r="H1311" s="38">
        <v>46081</v>
      </c>
      <c r="I1311" s="38" t="s">
        <v>1796</v>
      </c>
      <c r="J1311" s="42">
        <v>0</v>
      </c>
      <c r="K1311" s="43">
        <v>402108</v>
      </c>
    </row>
    <row r="1312" spans="1:11" x14ac:dyDescent="0.25">
      <c r="A1312" s="38">
        <v>46081</v>
      </c>
      <c r="B1312" s="33" t="s">
        <v>1654</v>
      </c>
      <c r="C1312" s="36" t="s">
        <v>79</v>
      </c>
      <c r="D1312" s="34" t="s">
        <v>373</v>
      </c>
      <c r="E1312" s="34"/>
      <c r="F1312" s="37">
        <v>18275</v>
      </c>
      <c r="G1312" s="37">
        <v>18275</v>
      </c>
      <c r="H1312" s="38">
        <v>46081</v>
      </c>
      <c r="I1312" s="38" t="s">
        <v>1796</v>
      </c>
      <c r="J1312" s="42">
        <v>0</v>
      </c>
      <c r="K1312" s="43">
        <v>18275</v>
      </c>
    </row>
    <row r="1313" spans="1:11" x14ac:dyDescent="0.25">
      <c r="A1313" s="38">
        <v>46081</v>
      </c>
      <c r="B1313" s="33" t="s">
        <v>1655</v>
      </c>
      <c r="C1313" s="36" t="s">
        <v>85</v>
      </c>
      <c r="D1313" s="34" t="s">
        <v>433</v>
      </c>
      <c r="E1313" s="34"/>
      <c r="F1313" s="37">
        <v>96280</v>
      </c>
      <c r="G1313" s="37">
        <v>96280</v>
      </c>
      <c r="H1313" s="38">
        <v>46081</v>
      </c>
      <c r="I1313" s="38" t="s">
        <v>1796</v>
      </c>
      <c r="J1313" s="42">
        <v>0</v>
      </c>
      <c r="K1313" s="43">
        <v>96280</v>
      </c>
    </row>
    <row r="1314" spans="1:11" x14ac:dyDescent="0.25">
      <c r="A1314" s="38">
        <v>46081</v>
      </c>
      <c r="B1314" s="33" t="s">
        <v>1656</v>
      </c>
      <c r="C1314" s="36" t="s">
        <v>95</v>
      </c>
      <c r="D1314" s="34" t="s">
        <v>426</v>
      </c>
      <c r="E1314" s="34"/>
      <c r="F1314" s="37">
        <v>287496</v>
      </c>
      <c r="G1314" s="37">
        <v>287496</v>
      </c>
      <c r="H1314" s="38">
        <v>46081</v>
      </c>
      <c r="I1314" s="38" t="s">
        <v>1796</v>
      </c>
      <c r="J1314" s="42">
        <v>0</v>
      </c>
      <c r="K1314" s="43">
        <v>287496</v>
      </c>
    </row>
    <row r="1315" spans="1:11" x14ac:dyDescent="0.25">
      <c r="A1315" s="38">
        <v>46081</v>
      </c>
      <c r="B1315" s="33" t="s">
        <v>1657</v>
      </c>
      <c r="C1315" s="36" t="s">
        <v>96</v>
      </c>
      <c r="D1315" s="34" t="s">
        <v>341</v>
      </c>
      <c r="E1315" s="34"/>
      <c r="F1315" s="37">
        <v>60336.14</v>
      </c>
      <c r="G1315" s="37">
        <v>60336.14</v>
      </c>
      <c r="H1315" s="38">
        <v>46081</v>
      </c>
      <c r="I1315" s="38" t="s">
        <v>1796</v>
      </c>
      <c r="J1315" s="42">
        <v>0</v>
      </c>
      <c r="K1315" s="43">
        <v>60336.14</v>
      </c>
    </row>
    <row r="1316" spans="1:11" x14ac:dyDescent="0.25">
      <c r="A1316" s="38">
        <v>46081</v>
      </c>
      <c r="B1316" s="33" t="s">
        <v>1658</v>
      </c>
      <c r="C1316" s="36" t="s">
        <v>99</v>
      </c>
      <c r="D1316" s="34" t="s">
        <v>341</v>
      </c>
      <c r="E1316" s="34"/>
      <c r="F1316" s="37">
        <v>1998387.32</v>
      </c>
      <c r="G1316" s="37">
        <v>1998387.32</v>
      </c>
      <c r="H1316" s="38">
        <v>46081</v>
      </c>
      <c r="I1316" s="38" t="s">
        <v>1796</v>
      </c>
      <c r="J1316" s="42">
        <v>0</v>
      </c>
      <c r="K1316" s="43">
        <v>1998387.32</v>
      </c>
    </row>
    <row r="1317" spans="1:11" x14ac:dyDescent="0.25">
      <c r="A1317" s="38">
        <v>46081</v>
      </c>
      <c r="B1317" s="33" t="s">
        <v>1659</v>
      </c>
      <c r="C1317" s="36" t="s">
        <v>99</v>
      </c>
      <c r="D1317" s="34" t="s">
        <v>341</v>
      </c>
      <c r="E1317" s="34"/>
      <c r="F1317" s="37">
        <v>2721491.86</v>
      </c>
      <c r="G1317" s="37">
        <v>2721491.86</v>
      </c>
      <c r="H1317" s="38">
        <v>46081</v>
      </c>
      <c r="I1317" s="38" t="s">
        <v>1796</v>
      </c>
      <c r="J1317" s="42">
        <v>0</v>
      </c>
      <c r="K1317" s="43">
        <v>2721491.86</v>
      </c>
    </row>
    <row r="1318" spans="1:11" x14ac:dyDescent="0.25">
      <c r="A1318" s="38">
        <v>46081</v>
      </c>
      <c r="B1318" s="33" t="s">
        <v>1660</v>
      </c>
      <c r="C1318" s="36" t="s">
        <v>103</v>
      </c>
      <c r="D1318" s="34" t="s">
        <v>449</v>
      </c>
      <c r="E1318" s="34"/>
      <c r="F1318" s="39">
        <v>64741.04</v>
      </c>
      <c r="G1318" s="39">
        <v>64741.04</v>
      </c>
      <c r="H1318" s="38">
        <v>46081</v>
      </c>
      <c r="I1318" s="38" t="s">
        <v>1796</v>
      </c>
      <c r="J1318" s="42">
        <v>0</v>
      </c>
      <c r="K1318" s="43">
        <v>-64741.04</v>
      </c>
    </row>
    <row r="1319" spans="1:11" x14ac:dyDescent="0.25">
      <c r="A1319" s="38">
        <v>46081</v>
      </c>
      <c r="B1319" s="33" t="s">
        <v>1661</v>
      </c>
      <c r="C1319" s="36" t="s">
        <v>109</v>
      </c>
      <c r="D1319" s="34" t="s">
        <v>373</v>
      </c>
      <c r="E1319" s="34"/>
      <c r="F1319" s="37">
        <v>108867.16</v>
      </c>
      <c r="G1319" s="37">
        <v>108867.16</v>
      </c>
      <c r="H1319" s="38">
        <v>46081</v>
      </c>
      <c r="I1319" s="38" t="s">
        <v>1796</v>
      </c>
      <c r="J1319" s="42">
        <v>0</v>
      </c>
      <c r="K1319" s="43">
        <v>108867.16</v>
      </c>
    </row>
    <row r="1320" spans="1:11" x14ac:dyDescent="0.25">
      <c r="A1320" s="38">
        <v>46081</v>
      </c>
      <c r="B1320" s="33" t="s">
        <v>1662</v>
      </c>
      <c r="C1320" s="36" t="s">
        <v>109</v>
      </c>
      <c r="D1320" s="34" t="s">
        <v>373</v>
      </c>
      <c r="E1320" s="34"/>
      <c r="F1320" s="37">
        <v>112907.02</v>
      </c>
      <c r="G1320" s="37">
        <v>112907.02</v>
      </c>
      <c r="H1320" s="38">
        <v>46081</v>
      </c>
      <c r="I1320" s="38" t="s">
        <v>1796</v>
      </c>
      <c r="J1320" s="42">
        <v>0</v>
      </c>
      <c r="K1320" s="43">
        <v>112907.02</v>
      </c>
    </row>
    <row r="1321" spans="1:11" x14ac:dyDescent="0.25">
      <c r="A1321" s="38">
        <v>46081</v>
      </c>
      <c r="B1321" s="33" t="s">
        <v>1663</v>
      </c>
      <c r="C1321" s="36" t="s">
        <v>109</v>
      </c>
      <c r="D1321" s="34" t="s">
        <v>373</v>
      </c>
      <c r="E1321" s="34"/>
      <c r="F1321" s="37">
        <v>112039.2</v>
      </c>
      <c r="G1321" s="37">
        <v>112039.2</v>
      </c>
      <c r="H1321" s="38">
        <v>46081</v>
      </c>
      <c r="I1321" s="38" t="s">
        <v>1796</v>
      </c>
      <c r="J1321" s="42">
        <v>0</v>
      </c>
      <c r="K1321" s="43">
        <v>112039.2</v>
      </c>
    </row>
    <row r="1322" spans="1:11" x14ac:dyDescent="0.25">
      <c r="A1322" s="38">
        <v>46081</v>
      </c>
      <c r="B1322" s="33" t="s">
        <v>1664</v>
      </c>
      <c r="C1322" s="36" t="s">
        <v>109</v>
      </c>
      <c r="D1322" s="34" t="s">
        <v>373</v>
      </c>
      <c r="E1322" s="34"/>
      <c r="F1322" s="37">
        <v>103390.88</v>
      </c>
      <c r="G1322" s="37">
        <v>103390.88</v>
      </c>
      <c r="H1322" s="38">
        <v>46081</v>
      </c>
      <c r="I1322" s="38" t="s">
        <v>1796</v>
      </c>
      <c r="J1322" s="42">
        <v>0</v>
      </c>
      <c r="K1322" s="43">
        <v>103390.88</v>
      </c>
    </row>
    <row r="1323" spans="1:11" x14ac:dyDescent="0.25">
      <c r="A1323" s="38">
        <v>46081</v>
      </c>
      <c r="B1323" s="33" t="s">
        <v>1665</v>
      </c>
      <c r="C1323" s="36" t="s">
        <v>109</v>
      </c>
      <c r="D1323" s="34" t="s">
        <v>373</v>
      </c>
      <c r="E1323" s="34"/>
      <c r="F1323" s="37">
        <v>104678</v>
      </c>
      <c r="G1323" s="37">
        <v>104678</v>
      </c>
      <c r="H1323" s="38">
        <v>46081</v>
      </c>
      <c r="I1323" s="38" t="s">
        <v>1796</v>
      </c>
      <c r="J1323" s="42">
        <v>0</v>
      </c>
      <c r="K1323" s="43">
        <v>104678</v>
      </c>
    </row>
    <row r="1324" spans="1:11" x14ac:dyDescent="0.25">
      <c r="A1324" s="38">
        <v>46081</v>
      </c>
      <c r="B1324" s="33" t="s">
        <v>1666</v>
      </c>
      <c r="C1324" s="36" t="s">
        <v>110</v>
      </c>
      <c r="D1324" s="34" t="s">
        <v>393</v>
      </c>
      <c r="E1324" s="34"/>
      <c r="F1324" s="37">
        <v>18000</v>
      </c>
      <c r="G1324" s="37">
        <v>18000</v>
      </c>
      <c r="H1324" s="38">
        <v>46082</v>
      </c>
      <c r="I1324" s="38" t="s">
        <v>1796</v>
      </c>
      <c r="J1324" s="42">
        <f>$I$1-A1324</f>
        <v>0</v>
      </c>
      <c r="K1324" s="43">
        <v>18000</v>
      </c>
    </row>
    <row r="1325" spans="1:11" x14ac:dyDescent="0.25">
      <c r="A1325" s="38">
        <v>46081</v>
      </c>
      <c r="B1325" s="33" t="s">
        <v>1667</v>
      </c>
      <c r="C1325" s="36" t="s">
        <v>117</v>
      </c>
      <c r="D1325" s="34" t="s">
        <v>561</v>
      </c>
      <c r="E1325" s="34"/>
      <c r="F1325" s="37">
        <v>108000</v>
      </c>
      <c r="G1325" s="37">
        <v>108000</v>
      </c>
      <c r="H1325" s="38">
        <v>46081</v>
      </c>
      <c r="I1325" s="38" t="s">
        <v>1796</v>
      </c>
      <c r="J1325" s="42">
        <v>0</v>
      </c>
      <c r="K1325" s="43">
        <v>108000</v>
      </c>
    </row>
    <row r="1326" spans="1:11" x14ac:dyDescent="0.25">
      <c r="A1326" s="38">
        <v>46081</v>
      </c>
      <c r="B1326" s="33" t="s">
        <v>1053</v>
      </c>
      <c r="C1326" s="36" t="s">
        <v>119</v>
      </c>
      <c r="D1326" s="34" t="s">
        <v>433</v>
      </c>
      <c r="E1326" s="34"/>
      <c r="F1326" s="37">
        <v>776875</v>
      </c>
      <c r="G1326" s="37">
        <v>776875</v>
      </c>
      <c r="H1326" s="38">
        <v>46081</v>
      </c>
      <c r="I1326" s="38" t="s">
        <v>1796</v>
      </c>
      <c r="J1326" s="42">
        <v>0</v>
      </c>
      <c r="K1326" s="43">
        <v>776875</v>
      </c>
    </row>
    <row r="1327" spans="1:11" x14ac:dyDescent="0.25">
      <c r="A1327" s="38">
        <v>46081</v>
      </c>
      <c r="B1327" s="33" t="s">
        <v>1668</v>
      </c>
      <c r="C1327" s="36" t="s">
        <v>120</v>
      </c>
      <c r="D1327" s="34" t="s">
        <v>433</v>
      </c>
      <c r="E1327" s="34"/>
      <c r="F1327" s="37">
        <v>331372</v>
      </c>
      <c r="G1327" s="37">
        <v>331372</v>
      </c>
      <c r="H1327" s="38">
        <v>46111</v>
      </c>
      <c r="I1327" s="38" t="s">
        <v>1796</v>
      </c>
      <c r="J1327" s="42">
        <f t="shared" ref="J1327:J1328" si="46">$I$1-A1327</f>
        <v>0</v>
      </c>
      <c r="K1327" s="43">
        <v>331372</v>
      </c>
    </row>
    <row r="1328" spans="1:11" x14ac:dyDescent="0.25">
      <c r="A1328" s="38">
        <v>46081</v>
      </c>
      <c r="B1328" s="33" t="s">
        <v>1669</v>
      </c>
      <c r="C1328" s="36" t="s">
        <v>120</v>
      </c>
      <c r="D1328" s="34" t="s">
        <v>433</v>
      </c>
      <c r="E1328" s="34"/>
      <c r="F1328" s="37">
        <v>458473.99</v>
      </c>
      <c r="G1328" s="37">
        <v>458473.99</v>
      </c>
      <c r="H1328" s="38">
        <v>46111</v>
      </c>
      <c r="I1328" s="38" t="s">
        <v>1796</v>
      </c>
      <c r="J1328" s="42">
        <f t="shared" si="46"/>
        <v>0</v>
      </c>
      <c r="K1328" s="43">
        <v>458473.99</v>
      </c>
    </row>
    <row r="1329" spans="1:11" x14ac:dyDescent="0.25">
      <c r="A1329" s="38">
        <v>46081</v>
      </c>
      <c r="B1329" s="33" t="s">
        <v>1670</v>
      </c>
      <c r="C1329" s="36" t="s">
        <v>121</v>
      </c>
      <c r="D1329" s="34" t="s">
        <v>341</v>
      </c>
      <c r="E1329" s="34"/>
      <c r="F1329" s="37">
        <v>34630.199999999997</v>
      </c>
      <c r="G1329" s="37">
        <v>34630.199999999997</v>
      </c>
      <c r="H1329" s="38">
        <v>46081</v>
      </c>
      <c r="I1329" s="38" t="s">
        <v>1796</v>
      </c>
      <c r="J1329" s="42">
        <v>0</v>
      </c>
      <c r="K1329" s="43">
        <v>34630.199999999997</v>
      </c>
    </row>
    <row r="1330" spans="1:11" x14ac:dyDescent="0.25">
      <c r="A1330" s="38">
        <v>46081</v>
      </c>
      <c r="B1330" s="33" t="s">
        <v>1671</v>
      </c>
      <c r="C1330" s="36" t="s">
        <v>123</v>
      </c>
      <c r="D1330" s="34" t="s">
        <v>426</v>
      </c>
      <c r="E1330" s="34"/>
      <c r="F1330" s="37">
        <v>3840</v>
      </c>
      <c r="G1330" s="37">
        <v>3840</v>
      </c>
      <c r="H1330" s="38">
        <v>46081</v>
      </c>
      <c r="I1330" s="38" t="s">
        <v>1796</v>
      </c>
      <c r="J1330" s="42">
        <v>0</v>
      </c>
      <c r="K1330" s="43">
        <v>3840</v>
      </c>
    </row>
    <row r="1331" spans="1:11" x14ac:dyDescent="0.25">
      <c r="A1331" s="38">
        <v>46081</v>
      </c>
      <c r="B1331" s="33" t="s">
        <v>1672</v>
      </c>
      <c r="C1331" s="36" t="s">
        <v>126</v>
      </c>
      <c r="D1331" s="34" t="s">
        <v>426</v>
      </c>
      <c r="E1331" s="34"/>
      <c r="F1331" s="37">
        <v>118295.73</v>
      </c>
      <c r="G1331" s="37">
        <v>118295.73</v>
      </c>
      <c r="H1331" s="38">
        <v>46096</v>
      </c>
      <c r="I1331" s="38" t="s">
        <v>1796</v>
      </c>
      <c r="J1331" s="42">
        <f t="shared" ref="J1331:J1338" si="47">$I$1-A1331</f>
        <v>0</v>
      </c>
      <c r="K1331" s="43">
        <v>118295.73</v>
      </c>
    </row>
    <row r="1332" spans="1:11" x14ac:dyDescent="0.25">
      <c r="A1332" s="38">
        <v>46081</v>
      </c>
      <c r="B1332" s="33" t="s">
        <v>1673</v>
      </c>
      <c r="C1332" s="36" t="s">
        <v>126</v>
      </c>
      <c r="D1332" s="34" t="s">
        <v>426</v>
      </c>
      <c r="E1332" s="34"/>
      <c r="F1332" s="37">
        <v>102222.43</v>
      </c>
      <c r="G1332" s="37">
        <v>102222.43</v>
      </c>
      <c r="H1332" s="38">
        <v>46096</v>
      </c>
      <c r="I1332" s="38" t="s">
        <v>1796</v>
      </c>
      <c r="J1332" s="42">
        <f t="shared" si="47"/>
        <v>0</v>
      </c>
      <c r="K1332" s="43">
        <v>102222.43</v>
      </c>
    </row>
    <row r="1333" spans="1:11" x14ac:dyDescent="0.25">
      <c r="A1333" s="38">
        <v>46081</v>
      </c>
      <c r="B1333" s="33" t="s">
        <v>1674</v>
      </c>
      <c r="C1333" s="36" t="s">
        <v>126</v>
      </c>
      <c r="D1333" s="34" t="s">
        <v>426</v>
      </c>
      <c r="E1333" s="34"/>
      <c r="F1333" s="37">
        <v>105833.61</v>
      </c>
      <c r="G1333" s="37">
        <v>105833.61</v>
      </c>
      <c r="H1333" s="38">
        <v>46096</v>
      </c>
      <c r="I1333" s="38" t="s">
        <v>1796</v>
      </c>
      <c r="J1333" s="42">
        <f t="shared" si="47"/>
        <v>0</v>
      </c>
      <c r="K1333" s="43">
        <v>105833.61</v>
      </c>
    </row>
    <row r="1334" spans="1:11" x14ac:dyDescent="0.25">
      <c r="A1334" s="38">
        <v>46081</v>
      </c>
      <c r="B1334" s="33" t="s">
        <v>1675</v>
      </c>
      <c r="C1334" s="36" t="s">
        <v>126</v>
      </c>
      <c r="D1334" s="34" t="s">
        <v>426</v>
      </c>
      <c r="E1334" s="34"/>
      <c r="F1334" s="37">
        <v>127807.54</v>
      </c>
      <c r="G1334" s="37">
        <v>127807.54</v>
      </c>
      <c r="H1334" s="38">
        <v>46096</v>
      </c>
      <c r="I1334" s="38" t="s">
        <v>1796</v>
      </c>
      <c r="J1334" s="42">
        <f t="shared" si="47"/>
        <v>0</v>
      </c>
      <c r="K1334" s="43">
        <v>127807.54</v>
      </c>
    </row>
    <row r="1335" spans="1:11" x14ac:dyDescent="0.25">
      <c r="A1335" s="38">
        <v>46081</v>
      </c>
      <c r="B1335" s="33" t="s">
        <v>1676</v>
      </c>
      <c r="C1335" s="36" t="s">
        <v>126</v>
      </c>
      <c r="D1335" s="34" t="s">
        <v>426</v>
      </c>
      <c r="E1335" s="34"/>
      <c r="F1335" s="37">
        <v>116855.98</v>
      </c>
      <c r="G1335" s="37">
        <v>116855.98</v>
      </c>
      <c r="H1335" s="38">
        <v>46096</v>
      </c>
      <c r="I1335" s="38" t="s">
        <v>1796</v>
      </c>
      <c r="J1335" s="42">
        <f t="shared" si="47"/>
        <v>0</v>
      </c>
      <c r="K1335" s="43">
        <v>116855.98</v>
      </c>
    </row>
    <row r="1336" spans="1:11" x14ac:dyDescent="0.25">
      <c r="A1336" s="38">
        <v>46081</v>
      </c>
      <c r="B1336" s="33" t="s">
        <v>1677</v>
      </c>
      <c r="C1336" s="36" t="s">
        <v>126</v>
      </c>
      <c r="D1336" s="34" t="s">
        <v>426</v>
      </c>
      <c r="E1336" s="34"/>
      <c r="F1336" s="37">
        <v>129813.75</v>
      </c>
      <c r="G1336" s="37">
        <v>129813.75</v>
      </c>
      <c r="H1336" s="38">
        <v>46096</v>
      </c>
      <c r="I1336" s="38" t="s">
        <v>1796</v>
      </c>
      <c r="J1336" s="42">
        <f t="shared" si="47"/>
        <v>0</v>
      </c>
      <c r="K1336" s="43">
        <v>129813.75</v>
      </c>
    </row>
    <row r="1337" spans="1:11" x14ac:dyDescent="0.25">
      <c r="A1337" s="38">
        <v>46081</v>
      </c>
      <c r="B1337" s="33" t="s">
        <v>1678</v>
      </c>
      <c r="C1337" s="36" t="s">
        <v>126</v>
      </c>
      <c r="D1337" s="34" t="s">
        <v>426</v>
      </c>
      <c r="E1337" s="34"/>
      <c r="F1337" s="37">
        <v>121293.25</v>
      </c>
      <c r="G1337" s="37">
        <v>121293.25</v>
      </c>
      <c r="H1337" s="38">
        <v>46096</v>
      </c>
      <c r="I1337" s="38" t="s">
        <v>1796</v>
      </c>
      <c r="J1337" s="42">
        <f t="shared" si="47"/>
        <v>0</v>
      </c>
      <c r="K1337" s="43">
        <v>121293.25</v>
      </c>
    </row>
    <row r="1338" spans="1:11" x14ac:dyDescent="0.25">
      <c r="A1338" s="38">
        <v>46081</v>
      </c>
      <c r="B1338" s="33" t="s">
        <v>418</v>
      </c>
      <c r="C1338" s="36" t="s">
        <v>129</v>
      </c>
      <c r="D1338" s="34" t="s">
        <v>402</v>
      </c>
      <c r="E1338" s="34"/>
      <c r="F1338" s="37">
        <v>7611</v>
      </c>
      <c r="G1338" s="37">
        <v>7611</v>
      </c>
      <c r="H1338" s="38">
        <v>46088</v>
      </c>
      <c r="I1338" s="38" t="s">
        <v>1796</v>
      </c>
      <c r="J1338" s="42">
        <f t="shared" si="47"/>
        <v>0</v>
      </c>
      <c r="K1338" s="43">
        <v>7611</v>
      </c>
    </row>
    <row r="1339" spans="1:11" x14ac:dyDescent="0.25">
      <c r="A1339" s="38">
        <v>46081</v>
      </c>
      <c r="B1339" s="33" t="s">
        <v>1679</v>
      </c>
      <c r="C1339" s="36" t="s">
        <v>130</v>
      </c>
      <c r="D1339" s="34" t="s">
        <v>565</v>
      </c>
      <c r="E1339" s="34"/>
      <c r="F1339" s="37">
        <v>18000</v>
      </c>
      <c r="G1339" s="37">
        <v>18000</v>
      </c>
      <c r="H1339" s="38">
        <v>46081</v>
      </c>
      <c r="I1339" s="38" t="s">
        <v>1796</v>
      </c>
      <c r="J1339" s="42">
        <v>0</v>
      </c>
      <c r="K1339" s="43">
        <v>18000</v>
      </c>
    </row>
    <row r="1340" spans="1:11" x14ac:dyDescent="0.25">
      <c r="A1340" s="38">
        <v>46081</v>
      </c>
      <c r="B1340" s="33" t="s">
        <v>1680</v>
      </c>
      <c r="C1340" s="36" t="s">
        <v>132</v>
      </c>
      <c r="D1340" s="34" t="s">
        <v>565</v>
      </c>
      <c r="E1340" s="34"/>
      <c r="F1340" s="37">
        <v>37000</v>
      </c>
      <c r="G1340" s="37">
        <v>37000</v>
      </c>
      <c r="H1340" s="38">
        <v>46081</v>
      </c>
      <c r="I1340" s="38" t="s">
        <v>1796</v>
      </c>
      <c r="J1340" s="42">
        <v>0</v>
      </c>
      <c r="K1340" s="43">
        <v>37000</v>
      </c>
    </row>
    <row r="1341" spans="1:11" x14ac:dyDescent="0.25">
      <c r="A1341" s="38">
        <v>46081</v>
      </c>
      <c r="B1341" s="33" t="s">
        <v>886</v>
      </c>
      <c r="C1341" s="36" t="s">
        <v>133</v>
      </c>
      <c r="D1341" s="34" t="s">
        <v>433</v>
      </c>
      <c r="E1341" s="34"/>
      <c r="F1341" s="37">
        <v>793800</v>
      </c>
      <c r="G1341" s="37">
        <v>793800</v>
      </c>
      <c r="H1341" s="38">
        <v>46081</v>
      </c>
      <c r="I1341" s="38" t="s">
        <v>1796</v>
      </c>
      <c r="J1341" s="42">
        <v>0</v>
      </c>
      <c r="K1341" s="43">
        <v>793800</v>
      </c>
    </row>
    <row r="1342" spans="1:11" x14ac:dyDescent="0.25">
      <c r="A1342" s="38">
        <v>46081</v>
      </c>
      <c r="B1342" s="33" t="s">
        <v>717</v>
      </c>
      <c r="C1342" s="36" t="s">
        <v>140</v>
      </c>
      <c r="D1342" s="34" t="s">
        <v>412</v>
      </c>
      <c r="E1342" s="34"/>
      <c r="F1342" s="37">
        <v>238562.96</v>
      </c>
      <c r="G1342" s="37">
        <v>238562.96</v>
      </c>
      <c r="H1342" s="38">
        <v>46081</v>
      </c>
      <c r="I1342" s="38" t="s">
        <v>1796</v>
      </c>
      <c r="J1342" s="42">
        <v>0</v>
      </c>
      <c r="K1342" s="43">
        <v>238562.96</v>
      </c>
    </row>
    <row r="1343" spans="1:11" x14ac:dyDescent="0.25">
      <c r="A1343" s="38">
        <v>46081</v>
      </c>
      <c r="B1343" s="33" t="s">
        <v>1681</v>
      </c>
      <c r="C1343" s="36" t="s">
        <v>143</v>
      </c>
      <c r="D1343" s="34" t="s">
        <v>341</v>
      </c>
      <c r="E1343" s="34"/>
      <c r="F1343" s="37">
        <v>79132.86</v>
      </c>
      <c r="G1343" s="37">
        <v>79132.86</v>
      </c>
      <c r="H1343" s="38">
        <v>46081</v>
      </c>
      <c r="I1343" s="38" t="s">
        <v>1796</v>
      </c>
      <c r="J1343" s="42">
        <v>0</v>
      </c>
      <c r="K1343" s="43">
        <v>79132.86</v>
      </c>
    </row>
    <row r="1344" spans="1:11" x14ac:dyDescent="0.25">
      <c r="A1344" s="38">
        <v>46081</v>
      </c>
      <c r="B1344" s="33" t="s">
        <v>1682</v>
      </c>
      <c r="C1344" s="36" t="s">
        <v>143</v>
      </c>
      <c r="D1344" s="34" t="s">
        <v>8</v>
      </c>
      <c r="E1344" s="34"/>
      <c r="F1344" s="39">
        <v>29147.18</v>
      </c>
      <c r="G1344" s="39">
        <v>29147.18</v>
      </c>
      <c r="H1344" s="38">
        <v>46081</v>
      </c>
      <c r="I1344" s="38" t="s">
        <v>1796</v>
      </c>
      <c r="J1344" s="42">
        <v>0</v>
      </c>
      <c r="K1344" s="43">
        <v>-29147.18</v>
      </c>
    </row>
    <row r="1345" spans="1:11" x14ac:dyDescent="0.25">
      <c r="A1345" s="38">
        <v>46081</v>
      </c>
      <c r="B1345" s="33" t="s">
        <v>1683</v>
      </c>
      <c r="C1345" s="36" t="s">
        <v>145</v>
      </c>
      <c r="D1345" s="34" t="s">
        <v>373</v>
      </c>
      <c r="E1345" s="34"/>
      <c r="F1345" s="37">
        <v>201780</v>
      </c>
      <c r="G1345" s="37">
        <v>201780</v>
      </c>
      <c r="H1345" s="38">
        <v>46081</v>
      </c>
      <c r="I1345" s="38" t="s">
        <v>1796</v>
      </c>
      <c r="J1345" s="42">
        <v>0</v>
      </c>
      <c r="K1345" s="43">
        <v>201780</v>
      </c>
    </row>
    <row r="1346" spans="1:11" x14ac:dyDescent="0.25">
      <c r="A1346" s="38">
        <v>46081</v>
      </c>
      <c r="B1346" s="33" t="s">
        <v>1684</v>
      </c>
      <c r="C1346" s="36" t="s">
        <v>146</v>
      </c>
      <c r="D1346" s="34" t="s">
        <v>412</v>
      </c>
      <c r="E1346" s="34"/>
      <c r="F1346" s="37">
        <v>12987</v>
      </c>
      <c r="G1346" s="37">
        <v>12987</v>
      </c>
      <c r="H1346" s="38">
        <v>46081</v>
      </c>
      <c r="I1346" s="38" t="s">
        <v>1796</v>
      </c>
      <c r="J1346" s="42">
        <v>0</v>
      </c>
      <c r="K1346" s="43">
        <v>12987</v>
      </c>
    </row>
    <row r="1347" spans="1:11" x14ac:dyDescent="0.25">
      <c r="A1347" s="38">
        <v>46081</v>
      </c>
      <c r="B1347" s="33" t="s">
        <v>1685</v>
      </c>
      <c r="C1347" s="36" t="s">
        <v>151</v>
      </c>
      <c r="D1347" s="34" t="s">
        <v>373</v>
      </c>
      <c r="E1347" s="34"/>
      <c r="F1347" s="37">
        <v>459010</v>
      </c>
      <c r="G1347" s="37">
        <v>459010</v>
      </c>
      <c r="H1347" s="38">
        <v>46081</v>
      </c>
      <c r="I1347" s="38" t="s">
        <v>1796</v>
      </c>
      <c r="J1347" s="42">
        <v>0</v>
      </c>
      <c r="K1347" s="43">
        <v>459010</v>
      </c>
    </row>
    <row r="1348" spans="1:11" x14ac:dyDescent="0.25">
      <c r="A1348" s="38">
        <v>46081</v>
      </c>
      <c r="B1348" s="33" t="s">
        <v>1686</v>
      </c>
      <c r="C1348" s="36" t="s">
        <v>154</v>
      </c>
      <c r="D1348" s="34" t="s">
        <v>373</v>
      </c>
      <c r="E1348" s="34"/>
      <c r="F1348" s="37">
        <v>10675.96</v>
      </c>
      <c r="G1348" s="37">
        <v>10675.96</v>
      </c>
      <c r="H1348" s="38">
        <v>46081</v>
      </c>
      <c r="I1348" s="38" t="s">
        <v>1796</v>
      </c>
      <c r="J1348" s="42">
        <v>0</v>
      </c>
      <c r="K1348" s="43">
        <v>10675.96</v>
      </c>
    </row>
    <row r="1349" spans="1:11" x14ac:dyDescent="0.25">
      <c r="A1349" s="38">
        <v>46081</v>
      </c>
      <c r="B1349" s="33" t="s">
        <v>1687</v>
      </c>
      <c r="C1349" s="36" t="s">
        <v>154</v>
      </c>
      <c r="D1349" s="34" t="s">
        <v>373</v>
      </c>
      <c r="E1349" s="34"/>
      <c r="F1349" s="37">
        <v>15544.76</v>
      </c>
      <c r="G1349" s="37">
        <v>15544.76</v>
      </c>
      <c r="H1349" s="38">
        <v>46081</v>
      </c>
      <c r="I1349" s="38" t="s">
        <v>1796</v>
      </c>
      <c r="J1349" s="42">
        <v>0</v>
      </c>
      <c r="K1349" s="43">
        <v>15544.76</v>
      </c>
    </row>
    <row r="1350" spans="1:11" x14ac:dyDescent="0.25">
      <c r="A1350" s="38">
        <v>46081</v>
      </c>
      <c r="B1350" s="33" t="s">
        <v>1688</v>
      </c>
      <c r="C1350" s="36" t="s">
        <v>154</v>
      </c>
      <c r="D1350" s="34" t="s">
        <v>373</v>
      </c>
      <c r="E1350" s="34"/>
      <c r="F1350" s="37">
        <v>14214</v>
      </c>
      <c r="G1350" s="37">
        <v>14214</v>
      </c>
      <c r="H1350" s="38">
        <v>46081</v>
      </c>
      <c r="I1350" s="38" t="s">
        <v>1796</v>
      </c>
      <c r="J1350" s="42">
        <v>0</v>
      </c>
      <c r="K1350" s="43">
        <v>14214</v>
      </c>
    </row>
    <row r="1351" spans="1:11" x14ac:dyDescent="0.25">
      <c r="A1351" s="38">
        <v>46081</v>
      </c>
      <c r="B1351" s="33" t="s">
        <v>1689</v>
      </c>
      <c r="C1351" s="36" t="s">
        <v>154</v>
      </c>
      <c r="D1351" s="34" t="s">
        <v>373</v>
      </c>
      <c r="E1351" s="34"/>
      <c r="F1351" s="37">
        <v>48832.11</v>
      </c>
      <c r="G1351" s="37">
        <v>48832.11</v>
      </c>
      <c r="H1351" s="38">
        <v>46141</v>
      </c>
      <c r="I1351" s="38" t="s">
        <v>1796</v>
      </c>
      <c r="J1351" s="42">
        <f>$I$1-A1351</f>
        <v>0</v>
      </c>
      <c r="K1351" s="43">
        <v>48832.11</v>
      </c>
    </row>
    <row r="1352" spans="1:11" x14ac:dyDescent="0.25">
      <c r="A1352" s="38">
        <v>46081</v>
      </c>
      <c r="B1352" s="33" t="s">
        <v>1449</v>
      </c>
      <c r="C1352" s="36" t="s">
        <v>160</v>
      </c>
      <c r="D1352" s="34" t="s">
        <v>402</v>
      </c>
      <c r="E1352" s="34"/>
      <c r="F1352" s="37">
        <v>6700</v>
      </c>
      <c r="G1352" s="37">
        <v>6700</v>
      </c>
      <c r="H1352" s="38">
        <v>46081</v>
      </c>
      <c r="I1352" s="38" t="s">
        <v>1796</v>
      </c>
      <c r="J1352" s="42">
        <v>0</v>
      </c>
      <c r="K1352" s="43">
        <v>6700</v>
      </c>
    </row>
    <row r="1353" spans="1:11" x14ac:dyDescent="0.25">
      <c r="A1353" s="38">
        <v>46081</v>
      </c>
      <c r="B1353" s="33" t="s">
        <v>1690</v>
      </c>
      <c r="C1353" s="36" t="s">
        <v>161</v>
      </c>
      <c r="D1353" s="34" t="s">
        <v>561</v>
      </c>
      <c r="E1353" s="34"/>
      <c r="F1353" s="37">
        <v>27225</v>
      </c>
      <c r="G1353" s="37">
        <v>27225</v>
      </c>
      <c r="H1353" s="38">
        <v>46081</v>
      </c>
      <c r="I1353" s="38" t="s">
        <v>1796</v>
      </c>
      <c r="J1353" s="42">
        <v>0</v>
      </c>
      <c r="K1353" s="43">
        <v>27225</v>
      </c>
    </row>
    <row r="1354" spans="1:11" x14ac:dyDescent="0.25">
      <c r="A1354" s="38">
        <v>46081</v>
      </c>
      <c r="B1354" s="33" t="s">
        <v>1691</v>
      </c>
      <c r="C1354" s="36" t="s">
        <v>162</v>
      </c>
      <c r="D1354" s="34" t="s">
        <v>402</v>
      </c>
      <c r="E1354" s="34"/>
      <c r="F1354" s="37">
        <v>145403.35</v>
      </c>
      <c r="G1354" s="37">
        <v>145403.35</v>
      </c>
      <c r="H1354" s="38">
        <v>46081</v>
      </c>
      <c r="I1354" s="38" t="s">
        <v>1796</v>
      </c>
      <c r="J1354" s="42">
        <v>0</v>
      </c>
      <c r="K1354" s="43">
        <v>145403.35</v>
      </c>
    </row>
    <row r="1355" spans="1:11" x14ac:dyDescent="0.25">
      <c r="A1355" s="38">
        <v>46081</v>
      </c>
      <c r="B1355" s="33" t="s">
        <v>1692</v>
      </c>
      <c r="C1355" s="36" t="s">
        <v>162</v>
      </c>
      <c r="D1355" s="34" t="s">
        <v>402</v>
      </c>
      <c r="E1355" s="34"/>
      <c r="F1355" s="37">
        <v>146912.82</v>
      </c>
      <c r="G1355" s="37">
        <v>146912.82</v>
      </c>
      <c r="H1355" s="38">
        <v>46081</v>
      </c>
      <c r="I1355" s="38" t="s">
        <v>1796</v>
      </c>
      <c r="J1355" s="42">
        <v>0</v>
      </c>
      <c r="K1355" s="43">
        <v>146912.82</v>
      </c>
    </row>
    <row r="1356" spans="1:11" x14ac:dyDescent="0.25">
      <c r="A1356" s="38">
        <v>46081</v>
      </c>
      <c r="B1356" s="33" t="s">
        <v>684</v>
      </c>
      <c r="C1356" s="36" t="s">
        <v>170</v>
      </c>
      <c r="D1356" s="34" t="s">
        <v>402</v>
      </c>
      <c r="E1356" s="34"/>
      <c r="F1356" s="37">
        <v>9044</v>
      </c>
      <c r="G1356" s="37">
        <v>9044</v>
      </c>
      <c r="H1356" s="38">
        <v>46081</v>
      </c>
      <c r="I1356" s="38" t="s">
        <v>1796</v>
      </c>
      <c r="J1356" s="42">
        <v>0</v>
      </c>
      <c r="K1356" s="43">
        <v>9044</v>
      </c>
    </row>
    <row r="1357" spans="1:11" x14ac:dyDescent="0.25">
      <c r="A1357" s="38">
        <v>46081</v>
      </c>
      <c r="B1357" s="33" t="s">
        <v>1693</v>
      </c>
      <c r="C1357" s="36" t="s">
        <v>172</v>
      </c>
      <c r="D1357" s="34" t="s">
        <v>373</v>
      </c>
      <c r="E1357" s="34"/>
      <c r="F1357" s="37">
        <v>94289.4</v>
      </c>
      <c r="G1357" s="37">
        <v>94289.4</v>
      </c>
      <c r="H1357" s="38">
        <v>46081</v>
      </c>
      <c r="I1357" s="38" t="s">
        <v>1796</v>
      </c>
      <c r="J1357" s="42">
        <v>0</v>
      </c>
      <c r="K1357" s="43">
        <v>94289.4</v>
      </c>
    </row>
    <row r="1358" spans="1:11" x14ac:dyDescent="0.25">
      <c r="A1358" s="38">
        <v>46081</v>
      </c>
      <c r="B1358" s="33" t="s">
        <v>1694</v>
      </c>
      <c r="C1358" s="36" t="s">
        <v>172</v>
      </c>
      <c r="D1358" s="34" t="s">
        <v>373</v>
      </c>
      <c r="E1358" s="34"/>
      <c r="F1358" s="37">
        <v>41977.32</v>
      </c>
      <c r="G1358" s="37">
        <v>41977.32</v>
      </c>
      <c r="H1358" s="38">
        <v>46081</v>
      </c>
      <c r="I1358" s="38" t="s">
        <v>1796</v>
      </c>
      <c r="J1358" s="42">
        <v>0</v>
      </c>
      <c r="K1358" s="43">
        <v>41977.32</v>
      </c>
    </row>
    <row r="1359" spans="1:11" x14ac:dyDescent="0.25">
      <c r="A1359" s="38">
        <v>46081</v>
      </c>
      <c r="B1359" s="33" t="s">
        <v>787</v>
      </c>
      <c r="C1359" s="36" t="s">
        <v>178</v>
      </c>
      <c r="D1359" s="34" t="s">
        <v>402</v>
      </c>
      <c r="E1359" s="34"/>
      <c r="F1359" s="37">
        <v>11136</v>
      </c>
      <c r="G1359" s="37">
        <v>11136</v>
      </c>
      <c r="H1359" s="38">
        <v>46081</v>
      </c>
      <c r="I1359" s="38" t="s">
        <v>1796</v>
      </c>
      <c r="J1359" s="42">
        <v>0</v>
      </c>
      <c r="K1359" s="43">
        <v>11136</v>
      </c>
    </row>
    <row r="1360" spans="1:11" x14ac:dyDescent="0.25">
      <c r="A1360" s="38">
        <v>46081</v>
      </c>
      <c r="B1360" s="33" t="s">
        <v>1695</v>
      </c>
      <c r="C1360" s="36" t="s">
        <v>180</v>
      </c>
      <c r="D1360" s="34" t="s">
        <v>373</v>
      </c>
      <c r="E1360" s="34"/>
      <c r="F1360" s="37">
        <v>8918</v>
      </c>
      <c r="G1360" s="37">
        <v>8918</v>
      </c>
      <c r="H1360" s="38">
        <v>46081</v>
      </c>
      <c r="I1360" s="38" t="s">
        <v>1796</v>
      </c>
      <c r="J1360" s="42">
        <v>0</v>
      </c>
      <c r="K1360" s="43">
        <v>8918</v>
      </c>
    </row>
    <row r="1361" spans="1:11" x14ac:dyDescent="0.25">
      <c r="A1361" s="38">
        <v>46081</v>
      </c>
      <c r="B1361" s="33" t="s">
        <v>552</v>
      </c>
      <c r="C1361" s="36" t="s">
        <v>181</v>
      </c>
      <c r="D1361" s="34" t="s">
        <v>553</v>
      </c>
      <c r="E1361" s="34"/>
      <c r="F1361" s="37">
        <v>44460</v>
      </c>
      <c r="G1361" s="37">
        <v>44460</v>
      </c>
      <c r="H1361" s="38">
        <v>46081</v>
      </c>
      <c r="I1361" s="38" t="s">
        <v>1796</v>
      </c>
      <c r="J1361" s="42">
        <v>0</v>
      </c>
      <c r="K1361" s="43">
        <v>44460</v>
      </c>
    </row>
    <row r="1362" spans="1:11" x14ac:dyDescent="0.25">
      <c r="A1362" s="38">
        <v>46081</v>
      </c>
      <c r="B1362" s="33" t="s">
        <v>551</v>
      </c>
      <c r="C1362" s="36" t="s">
        <v>181</v>
      </c>
      <c r="D1362" s="34" t="s">
        <v>402</v>
      </c>
      <c r="E1362" s="34"/>
      <c r="F1362" s="37">
        <v>23500</v>
      </c>
      <c r="G1362" s="37">
        <v>23500</v>
      </c>
      <c r="H1362" s="38">
        <v>46081</v>
      </c>
      <c r="I1362" s="38" t="s">
        <v>1796</v>
      </c>
      <c r="J1362" s="42">
        <v>0</v>
      </c>
      <c r="K1362" s="43">
        <v>23500</v>
      </c>
    </row>
    <row r="1363" spans="1:11" x14ac:dyDescent="0.25">
      <c r="A1363" s="38">
        <v>46081</v>
      </c>
      <c r="B1363" s="33" t="s">
        <v>1696</v>
      </c>
      <c r="C1363" s="36" t="s">
        <v>186</v>
      </c>
      <c r="D1363" s="34" t="s">
        <v>433</v>
      </c>
      <c r="E1363" s="34"/>
      <c r="F1363" s="37">
        <v>257073.08</v>
      </c>
      <c r="G1363" s="37">
        <v>257073.08</v>
      </c>
      <c r="H1363" s="38">
        <v>46088</v>
      </c>
      <c r="I1363" s="38" t="s">
        <v>1796</v>
      </c>
      <c r="J1363" s="42">
        <f>$I$1-A1363</f>
        <v>0</v>
      </c>
      <c r="K1363" s="43">
        <v>257073.08</v>
      </c>
    </row>
    <row r="1364" spans="1:11" x14ac:dyDescent="0.25">
      <c r="A1364" s="38">
        <v>46081</v>
      </c>
      <c r="B1364" s="33" t="s">
        <v>1697</v>
      </c>
      <c r="C1364" s="36" t="s">
        <v>187</v>
      </c>
      <c r="D1364" s="34" t="s">
        <v>341</v>
      </c>
      <c r="E1364" s="34"/>
      <c r="F1364" s="37">
        <v>72219.520000000004</v>
      </c>
      <c r="G1364" s="37">
        <v>72219.520000000004</v>
      </c>
      <c r="H1364" s="38">
        <v>46081</v>
      </c>
      <c r="I1364" s="38" t="s">
        <v>1796</v>
      </c>
      <c r="J1364" s="42">
        <v>0</v>
      </c>
      <c r="K1364" s="43">
        <v>72219.520000000004</v>
      </c>
    </row>
    <row r="1365" spans="1:11" x14ac:dyDescent="0.25">
      <c r="A1365" s="38">
        <v>46081</v>
      </c>
      <c r="B1365" s="33" t="s">
        <v>1698</v>
      </c>
      <c r="C1365" s="36" t="s">
        <v>189</v>
      </c>
      <c r="D1365" s="34" t="s">
        <v>565</v>
      </c>
      <c r="E1365" s="34"/>
      <c r="F1365" s="37">
        <v>18000</v>
      </c>
      <c r="G1365" s="37">
        <v>18000</v>
      </c>
      <c r="H1365" s="38">
        <v>46081</v>
      </c>
      <c r="I1365" s="38" t="s">
        <v>1796</v>
      </c>
      <c r="J1365" s="42">
        <v>0</v>
      </c>
      <c r="K1365" s="43">
        <v>18000</v>
      </c>
    </row>
    <row r="1366" spans="1:11" x14ac:dyDescent="0.25">
      <c r="A1366" s="38">
        <v>46081</v>
      </c>
      <c r="B1366" s="33" t="s">
        <v>1699</v>
      </c>
      <c r="C1366" s="36" t="s">
        <v>190</v>
      </c>
      <c r="D1366" s="34" t="s">
        <v>565</v>
      </c>
      <c r="E1366" s="34"/>
      <c r="F1366" s="37">
        <v>49949</v>
      </c>
      <c r="G1366" s="37">
        <v>49949</v>
      </c>
      <c r="H1366" s="38">
        <v>46081</v>
      </c>
      <c r="I1366" s="38" t="s">
        <v>1796</v>
      </c>
      <c r="J1366" s="42">
        <v>0</v>
      </c>
      <c r="K1366" s="43">
        <v>49949</v>
      </c>
    </row>
    <row r="1367" spans="1:11" x14ac:dyDescent="0.25">
      <c r="A1367" s="38">
        <v>46081</v>
      </c>
      <c r="B1367" s="33" t="s">
        <v>1700</v>
      </c>
      <c r="C1367" s="36" t="s">
        <v>192</v>
      </c>
      <c r="D1367" s="34" t="s">
        <v>402</v>
      </c>
      <c r="E1367" s="34"/>
      <c r="F1367" s="37">
        <v>65000</v>
      </c>
      <c r="G1367" s="37">
        <v>65000</v>
      </c>
      <c r="H1367" s="38">
        <v>46081</v>
      </c>
      <c r="I1367" s="38" t="s">
        <v>1796</v>
      </c>
      <c r="J1367" s="42">
        <v>0</v>
      </c>
      <c r="K1367" s="43">
        <v>65000</v>
      </c>
    </row>
    <row r="1368" spans="1:11" x14ac:dyDescent="0.25">
      <c r="A1368" s="38">
        <v>46081</v>
      </c>
      <c r="B1368" s="33" t="s">
        <v>1701</v>
      </c>
      <c r="C1368" s="36" t="s">
        <v>193</v>
      </c>
      <c r="D1368" s="34" t="s">
        <v>616</v>
      </c>
      <c r="E1368" s="34"/>
      <c r="F1368" s="37">
        <v>65880</v>
      </c>
      <c r="G1368" s="37">
        <v>65880</v>
      </c>
      <c r="H1368" s="38">
        <v>46081</v>
      </c>
      <c r="I1368" s="38" t="s">
        <v>1796</v>
      </c>
      <c r="J1368" s="42">
        <v>0</v>
      </c>
      <c r="K1368" s="43">
        <v>65880</v>
      </c>
    </row>
    <row r="1369" spans="1:11" x14ac:dyDescent="0.25">
      <c r="A1369" s="38">
        <v>46081</v>
      </c>
      <c r="B1369" s="33" t="s">
        <v>974</v>
      </c>
      <c r="C1369" s="36" t="s">
        <v>194</v>
      </c>
      <c r="D1369" s="34" t="s">
        <v>402</v>
      </c>
      <c r="E1369" s="34"/>
      <c r="F1369" s="37">
        <v>5800</v>
      </c>
      <c r="G1369" s="37">
        <v>5800</v>
      </c>
      <c r="H1369" s="38">
        <v>46081</v>
      </c>
      <c r="I1369" s="38" t="s">
        <v>1796</v>
      </c>
      <c r="J1369" s="42">
        <v>0</v>
      </c>
      <c r="K1369" s="43">
        <v>5800</v>
      </c>
    </row>
    <row r="1370" spans="1:11" x14ac:dyDescent="0.25">
      <c r="A1370" s="38">
        <v>46081</v>
      </c>
      <c r="B1370" s="33" t="s">
        <v>1702</v>
      </c>
      <c r="C1370" s="36" t="s">
        <v>200</v>
      </c>
      <c r="D1370" s="34" t="s">
        <v>352</v>
      </c>
      <c r="E1370" s="34"/>
      <c r="F1370" s="37">
        <v>63720</v>
      </c>
      <c r="G1370" s="37">
        <v>63720</v>
      </c>
      <c r="H1370" s="38">
        <v>46081</v>
      </c>
      <c r="I1370" s="38" t="s">
        <v>1796</v>
      </c>
      <c r="J1370" s="42">
        <v>0</v>
      </c>
      <c r="K1370" s="43">
        <v>63720</v>
      </c>
    </row>
    <row r="1371" spans="1:11" x14ac:dyDescent="0.25">
      <c r="A1371" s="38">
        <v>46081</v>
      </c>
      <c r="B1371" s="33" t="s">
        <v>1703</v>
      </c>
      <c r="C1371" s="36" t="s">
        <v>200</v>
      </c>
      <c r="D1371" s="34" t="s">
        <v>352</v>
      </c>
      <c r="E1371" s="34"/>
      <c r="F1371" s="37">
        <v>5310</v>
      </c>
      <c r="G1371" s="37">
        <v>5310</v>
      </c>
      <c r="H1371" s="38">
        <v>46081</v>
      </c>
      <c r="I1371" s="38" t="s">
        <v>1796</v>
      </c>
      <c r="J1371" s="42">
        <v>0</v>
      </c>
      <c r="K1371" s="43">
        <v>5310</v>
      </c>
    </row>
    <row r="1372" spans="1:11" x14ac:dyDescent="0.25">
      <c r="A1372" s="38">
        <v>46081</v>
      </c>
      <c r="B1372" s="33" t="s">
        <v>1704</v>
      </c>
      <c r="C1372" s="36" t="s">
        <v>200</v>
      </c>
      <c r="D1372" s="34" t="s">
        <v>352</v>
      </c>
      <c r="E1372" s="34"/>
      <c r="F1372" s="37">
        <v>106200</v>
      </c>
      <c r="G1372" s="37">
        <v>106200</v>
      </c>
      <c r="H1372" s="38">
        <v>46081</v>
      </c>
      <c r="I1372" s="38" t="s">
        <v>1796</v>
      </c>
      <c r="J1372" s="42">
        <v>0</v>
      </c>
      <c r="K1372" s="43">
        <v>106200</v>
      </c>
    </row>
    <row r="1373" spans="1:11" x14ac:dyDescent="0.25">
      <c r="A1373" s="38">
        <v>46081</v>
      </c>
      <c r="B1373" s="33" t="s">
        <v>1705</v>
      </c>
      <c r="C1373" s="36" t="s">
        <v>200</v>
      </c>
      <c r="D1373" s="34" t="s">
        <v>352</v>
      </c>
      <c r="E1373" s="34"/>
      <c r="F1373" s="37">
        <v>106200</v>
      </c>
      <c r="G1373" s="37">
        <v>106200</v>
      </c>
      <c r="H1373" s="38">
        <v>46081</v>
      </c>
      <c r="I1373" s="38" t="s">
        <v>1796</v>
      </c>
      <c r="J1373" s="42">
        <v>0</v>
      </c>
      <c r="K1373" s="43">
        <v>106200</v>
      </c>
    </row>
    <row r="1374" spans="1:11" x14ac:dyDescent="0.25">
      <c r="A1374" s="38">
        <v>46081</v>
      </c>
      <c r="B1374" s="33" t="s">
        <v>1706</v>
      </c>
      <c r="C1374" s="36" t="s">
        <v>200</v>
      </c>
      <c r="D1374" s="34" t="s">
        <v>352</v>
      </c>
      <c r="E1374" s="34"/>
      <c r="F1374" s="37">
        <v>42480</v>
      </c>
      <c r="G1374" s="37">
        <v>42480</v>
      </c>
      <c r="H1374" s="38">
        <v>46081</v>
      </c>
      <c r="I1374" s="38" t="s">
        <v>1796</v>
      </c>
      <c r="J1374" s="42">
        <v>0</v>
      </c>
      <c r="K1374" s="43">
        <v>42480</v>
      </c>
    </row>
    <row r="1375" spans="1:11" x14ac:dyDescent="0.25">
      <c r="A1375" s="38">
        <v>46081</v>
      </c>
      <c r="B1375" s="33" t="s">
        <v>1707</v>
      </c>
      <c r="C1375" s="36" t="s">
        <v>202</v>
      </c>
      <c r="D1375" s="34" t="s">
        <v>449</v>
      </c>
      <c r="E1375" s="34"/>
      <c r="F1375" s="37">
        <v>782722</v>
      </c>
      <c r="G1375" s="37">
        <v>782722</v>
      </c>
      <c r="H1375" s="38">
        <v>46081</v>
      </c>
      <c r="I1375" s="38" t="s">
        <v>1796</v>
      </c>
      <c r="J1375" s="42">
        <v>0</v>
      </c>
      <c r="K1375" s="43">
        <v>782722</v>
      </c>
    </row>
    <row r="1376" spans="1:11" x14ac:dyDescent="0.25">
      <c r="A1376" s="38">
        <v>46081</v>
      </c>
      <c r="B1376" s="33" t="s">
        <v>1708</v>
      </c>
      <c r="C1376" s="36" t="s">
        <v>203</v>
      </c>
      <c r="D1376" s="34" t="s">
        <v>433</v>
      </c>
      <c r="E1376" s="34"/>
      <c r="F1376" s="37">
        <v>470229.6</v>
      </c>
      <c r="G1376" s="37">
        <v>470229.6</v>
      </c>
      <c r="H1376" s="38">
        <v>46081</v>
      </c>
      <c r="I1376" s="38" t="s">
        <v>1796</v>
      </c>
      <c r="J1376" s="42">
        <v>0</v>
      </c>
      <c r="K1376" s="43">
        <v>470229.6</v>
      </c>
    </row>
    <row r="1377" spans="1:11" x14ac:dyDescent="0.25">
      <c r="A1377" s="38">
        <v>46081</v>
      </c>
      <c r="B1377" s="33" t="s">
        <v>1709</v>
      </c>
      <c r="C1377" s="36" t="s">
        <v>203</v>
      </c>
      <c r="D1377" s="34" t="s">
        <v>412</v>
      </c>
      <c r="E1377" s="34"/>
      <c r="F1377" s="37">
        <v>22680</v>
      </c>
      <c r="G1377" s="37">
        <v>22680</v>
      </c>
      <c r="H1377" s="38">
        <v>46081</v>
      </c>
      <c r="I1377" s="38" t="s">
        <v>1796</v>
      </c>
      <c r="J1377" s="42">
        <v>0</v>
      </c>
      <c r="K1377" s="43">
        <v>22680</v>
      </c>
    </row>
    <row r="1378" spans="1:11" x14ac:dyDescent="0.25">
      <c r="A1378" s="38">
        <v>46081</v>
      </c>
      <c r="B1378" s="33" t="s">
        <v>1710</v>
      </c>
      <c r="C1378" s="36" t="s">
        <v>207</v>
      </c>
      <c r="D1378" s="34" t="s">
        <v>379</v>
      </c>
      <c r="E1378" s="34"/>
      <c r="F1378" s="37">
        <v>392437.5</v>
      </c>
      <c r="G1378" s="37">
        <v>392437.5</v>
      </c>
      <c r="H1378" s="38">
        <v>46111</v>
      </c>
      <c r="I1378" s="38" t="s">
        <v>1796</v>
      </c>
      <c r="J1378" s="42">
        <f>$I$1-A1378</f>
        <v>0</v>
      </c>
      <c r="K1378" s="43">
        <v>392437.5</v>
      </c>
    </row>
    <row r="1379" spans="1:11" x14ac:dyDescent="0.25">
      <c r="A1379" s="38">
        <v>46081</v>
      </c>
      <c r="B1379" s="33" t="s">
        <v>1711</v>
      </c>
      <c r="C1379" s="36" t="s">
        <v>215</v>
      </c>
      <c r="D1379" s="34" t="s">
        <v>373</v>
      </c>
      <c r="E1379" s="34"/>
      <c r="F1379" s="37">
        <v>37026</v>
      </c>
      <c r="G1379" s="37">
        <v>37026</v>
      </c>
      <c r="H1379" s="38">
        <v>46081</v>
      </c>
      <c r="I1379" s="38" t="s">
        <v>1796</v>
      </c>
      <c r="J1379" s="42">
        <v>0</v>
      </c>
      <c r="K1379" s="43">
        <v>37026</v>
      </c>
    </row>
    <row r="1380" spans="1:11" x14ac:dyDescent="0.25">
      <c r="A1380" s="38">
        <v>46081</v>
      </c>
      <c r="B1380" s="33" t="s">
        <v>1712</v>
      </c>
      <c r="C1380" s="36" t="s">
        <v>217</v>
      </c>
      <c r="D1380" s="34" t="s">
        <v>402</v>
      </c>
      <c r="E1380" s="34"/>
      <c r="F1380" s="37">
        <v>4970</v>
      </c>
      <c r="G1380" s="37">
        <v>4970</v>
      </c>
      <c r="H1380" s="38">
        <v>46081</v>
      </c>
      <c r="I1380" s="38" t="s">
        <v>1796</v>
      </c>
      <c r="J1380" s="42">
        <v>0</v>
      </c>
      <c r="K1380" s="43">
        <v>4970</v>
      </c>
    </row>
    <row r="1381" spans="1:11" x14ac:dyDescent="0.25">
      <c r="A1381" s="38">
        <v>46081</v>
      </c>
      <c r="B1381" s="33" t="s">
        <v>1713</v>
      </c>
      <c r="C1381" s="36" t="s">
        <v>219</v>
      </c>
      <c r="D1381" s="34" t="s">
        <v>402</v>
      </c>
      <c r="E1381" s="34"/>
      <c r="F1381" s="37">
        <v>287776.07</v>
      </c>
      <c r="G1381" s="37">
        <v>287776.07</v>
      </c>
      <c r="H1381" s="38">
        <v>46081</v>
      </c>
      <c r="I1381" s="38" t="s">
        <v>1796</v>
      </c>
      <c r="J1381" s="42">
        <v>0</v>
      </c>
      <c r="K1381" s="43">
        <v>287776.07</v>
      </c>
    </row>
    <row r="1382" spans="1:11" x14ac:dyDescent="0.25">
      <c r="A1382" s="38">
        <v>46081</v>
      </c>
      <c r="B1382" s="33" t="s">
        <v>1714</v>
      </c>
      <c r="C1382" s="36" t="s">
        <v>219</v>
      </c>
      <c r="D1382" s="34" t="s">
        <v>402</v>
      </c>
      <c r="E1382" s="34"/>
      <c r="F1382" s="37">
        <v>1500</v>
      </c>
      <c r="G1382" s="37">
        <v>1500</v>
      </c>
      <c r="H1382" s="38">
        <v>46081</v>
      </c>
      <c r="I1382" s="38" t="s">
        <v>1796</v>
      </c>
      <c r="J1382" s="42">
        <v>0</v>
      </c>
      <c r="K1382" s="43">
        <v>1500</v>
      </c>
    </row>
    <row r="1383" spans="1:11" x14ac:dyDescent="0.25">
      <c r="A1383" s="38">
        <v>46081</v>
      </c>
      <c r="B1383" s="33" t="s">
        <v>1715</v>
      </c>
      <c r="C1383" s="36" t="s">
        <v>221</v>
      </c>
      <c r="D1383" s="34" t="s">
        <v>402</v>
      </c>
      <c r="E1383" s="34"/>
      <c r="F1383" s="37">
        <v>139548</v>
      </c>
      <c r="G1383" s="37">
        <v>139548</v>
      </c>
      <c r="H1383" s="38">
        <v>46111</v>
      </c>
      <c r="I1383" s="38" t="s">
        <v>1796</v>
      </c>
      <c r="J1383" s="42">
        <f>$I$1-A1383</f>
        <v>0</v>
      </c>
      <c r="K1383" s="43">
        <v>139548</v>
      </c>
    </row>
    <row r="1384" spans="1:11" x14ac:dyDescent="0.25">
      <c r="A1384" s="38">
        <v>46081</v>
      </c>
      <c r="B1384" s="33" t="s">
        <v>1716</v>
      </c>
      <c r="C1384" s="36" t="s">
        <v>224</v>
      </c>
      <c r="D1384" s="34" t="s">
        <v>402</v>
      </c>
      <c r="E1384" s="34"/>
      <c r="F1384" s="37">
        <v>123656</v>
      </c>
      <c r="G1384" s="37">
        <v>123656</v>
      </c>
      <c r="H1384" s="38">
        <v>46081</v>
      </c>
      <c r="I1384" s="38" t="s">
        <v>1796</v>
      </c>
      <c r="J1384" s="42">
        <v>0</v>
      </c>
      <c r="K1384" s="43">
        <v>123656</v>
      </c>
    </row>
    <row r="1385" spans="1:11" x14ac:dyDescent="0.25">
      <c r="A1385" s="38">
        <v>46081</v>
      </c>
      <c r="B1385" s="33" t="s">
        <v>1717</v>
      </c>
      <c r="C1385" s="36" t="s">
        <v>225</v>
      </c>
      <c r="D1385" s="34" t="s">
        <v>426</v>
      </c>
      <c r="E1385" s="34"/>
      <c r="F1385" s="37">
        <v>375555.8</v>
      </c>
      <c r="G1385" s="37">
        <v>375555.8</v>
      </c>
      <c r="H1385" s="38">
        <v>46081</v>
      </c>
      <c r="I1385" s="38" t="s">
        <v>1796</v>
      </c>
      <c r="J1385" s="42">
        <v>0</v>
      </c>
      <c r="K1385" s="43">
        <v>375555.8</v>
      </c>
    </row>
    <row r="1386" spans="1:11" x14ac:dyDescent="0.25">
      <c r="A1386" s="38">
        <v>46081</v>
      </c>
      <c r="B1386" s="33" t="s">
        <v>1718</v>
      </c>
      <c r="C1386" s="36" t="s">
        <v>225</v>
      </c>
      <c r="D1386" s="34" t="s">
        <v>426</v>
      </c>
      <c r="E1386" s="34"/>
      <c r="F1386" s="39">
        <v>475221.7</v>
      </c>
      <c r="G1386" s="39">
        <v>475221.7</v>
      </c>
      <c r="H1386" s="38">
        <v>46081</v>
      </c>
      <c r="I1386" s="38" t="s">
        <v>1796</v>
      </c>
      <c r="J1386" s="42">
        <v>0</v>
      </c>
      <c r="K1386" s="43">
        <v>-475221.7</v>
      </c>
    </row>
    <row r="1387" spans="1:11" x14ac:dyDescent="0.25">
      <c r="A1387" s="38">
        <v>46081</v>
      </c>
      <c r="B1387" s="33" t="s">
        <v>1719</v>
      </c>
      <c r="C1387" s="36" t="s">
        <v>228</v>
      </c>
      <c r="D1387" s="34" t="s">
        <v>373</v>
      </c>
      <c r="E1387" s="34"/>
      <c r="F1387" s="37">
        <v>33320</v>
      </c>
      <c r="G1387" s="37">
        <v>33320</v>
      </c>
      <c r="H1387" s="38">
        <v>46081</v>
      </c>
      <c r="I1387" s="38" t="s">
        <v>1796</v>
      </c>
      <c r="J1387" s="42">
        <v>0</v>
      </c>
      <c r="K1387" s="43">
        <v>33320</v>
      </c>
    </row>
    <row r="1388" spans="1:11" x14ac:dyDescent="0.25">
      <c r="A1388" s="38">
        <v>46081</v>
      </c>
      <c r="B1388" s="33" t="s">
        <v>1720</v>
      </c>
      <c r="C1388" s="36" t="s">
        <v>229</v>
      </c>
      <c r="D1388" s="34" t="s">
        <v>561</v>
      </c>
      <c r="E1388" s="34"/>
      <c r="F1388" s="37">
        <v>333500</v>
      </c>
      <c r="G1388" s="37">
        <v>326830</v>
      </c>
      <c r="H1388" s="38">
        <v>46081</v>
      </c>
      <c r="I1388" s="38" t="s">
        <v>1796</v>
      </c>
      <c r="J1388" s="42">
        <v>0</v>
      </c>
      <c r="K1388" s="43">
        <v>326830</v>
      </c>
    </row>
    <row r="1389" spans="1:11" x14ac:dyDescent="0.25">
      <c r="A1389" s="38">
        <v>46081</v>
      </c>
      <c r="B1389" s="33" t="s">
        <v>1721</v>
      </c>
      <c r="C1389" s="36" t="s">
        <v>229</v>
      </c>
      <c r="D1389" s="34" t="s">
        <v>561</v>
      </c>
      <c r="E1389" s="34"/>
      <c r="F1389" s="37">
        <v>48000</v>
      </c>
      <c r="G1389" s="37">
        <v>47040</v>
      </c>
      <c r="H1389" s="38">
        <v>46081</v>
      </c>
      <c r="I1389" s="38" t="s">
        <v>1796</v>
      </c>
      <c r="J1389" s="42">
        <v>0</v>
      </c>
      <c r="K1389" s="43">
        <v>47040</v>
      </c>
    </row>
    <row r="1390" spans="1:11" x14ac:dyDescent="0.25">
      <c r="A1390" s="38">
        <v>46081</v>
      </c>
      <c r="B1390" s="33" t="s">
        <v>1722</v>
      </c>
      <c r="C1390" s="36" t="s">
        <v>229</v>
      </c>
      <c r="D1390" s="34" t="s">
        <v>561</v>
      </c>
      <c r="E1390" s="34"/>
      <c r="F1390" s="37">
        <v>258000</v>
      </c>
      <c r="G1390" s="37">
        <v>252840</v>
      </c>
      <c r="H1390" s="38">
        <v>46081</v>
      </c>
      <c r="I1390" s="38" t="s">
        <v>1796</v>
      </c>
      <c r="J1390" s="42">
        <v>0</v>
      </c>
      <c r="K1390" s="43">
        <v>252840</v>
      </c>
    </row>
    <row r="1391" spans="1:11" x14ac:dyDescent="0.25">
      <c r="A1391" s="38">
        <v>46081</v>
      </c>
      <c r="B1391" s="33" t="s">
        <v>1723</v>
      </c>
      <c r="C1391" s="36" t="s">
        <v>229</v>
      </c>
      <c r="D1391" s="34" t="s">
        <v>600</v>
      </c>
      <c r="E1391" s="34"/>
      <c r="F1391" s="37">
        <v>57330</v>
      </c>
      <c r="G1391" s="37">
        <v>57330</v>
      </c>
      <c r="H1391" s="38">
        <v>46081</v>
      </c>
      <c r="I1391" s="38" t="s">
        <v>1796</v>
      </c>
      <c r="J1391" s="42">
        <v>0</v>
      </c>
      <c r="K1391" s="43">
        <v>57330</v>
      </c>
    </row>
    <row r="1392" spans="1:11" x14ac:dyDescent="0.25">
      <c r="A1392" s="38">
        <v>46081</v>
      </c>
      <c r="B1392" s="33" t="s">
        <v>1724</v>
      </c>
      <c r="C1392" s="36" t="s">
        <v>229</v>
      </c>
      <c r="D1392" s="34" t="s">
        <v>561</v>
      </c>
      <c r="E1392" s="34"/>
      <c r="F1392" s="37">
        <v>211680</v>
      </c>
      <c r="G1392" s="37">
        <v>211680</v>
      </c>
      <c r="H1392" s="38">
        <v>46081</v>
      </c>
      <c r="I1392" s="38" t="s">
        <v>1796</v>
      </c>
      <c r="J1392" s="42">
        <v>0</v>
      </c>
      <c r="K1392" s="43">
        <v>211680</v>
      </c>
    </row>
    <row r="1393" spans="1:11" x14ac:dyDescent="0.25">
      <c r="A1393" s="38">
        <v>46081</v>
      </c>
      <c r="B1393" s="33" t="s">
        <v>1725</v>
      </c>
      <c r="C1393" s="36" t="s">
        <v>229</v>
      </c>
      <c r="D1393" s="34" t="s">
        <v>373</v>
      </c>
      <c r="E1393" s="34"/>
      <c r="F1393" s="37">
        <v>435120</v>
      </c>
      <c r="G1393" s="37">
        <v>435120</v>
      </c>
      <c r="H1393" s="38">
        <v>46081</v>
      </c>
      <c r="I1393" s="38" t="s">
        <v>1796</v>
      </c>
      <c r="J1393" s="42">
        <v>0</v>
      </c>
      <c r="K1393" s="43">
        <v>435120</v>
      </c>
    </row>
    <row r="1394" spans="1:11" x14ac:dyDescent="0.25">
      <c r="A1394" s="38">
        <v>46081</v>
      </c>
      <c r="B1394" s="33" t="s">
        <v>1726</v>
      </c>
      <c r="C1394" s="36" t="s">
        <v>229</v>
      </c>
      <c r="D1394" s="34" t="s">
        <v>373</v>
      </c>
      <c r="E1394" s="34"/>
      <c r="F1394" s="37">
        <v>108780</v>
      </c>
      <c r="G1394" s="37">
        <v>108780</v>
      </c>
      <c r="H1394" s="38">
        <v>46081</v>
      </c>
      <c r="I1394" s="38" t="s">
        <v>1796</v>
      </c>
      <c r="J1394" s="42">
        <v>0</v>
      </c>
      <c r="K1394" s="43">
        <v>108780</v>
      </c>
    </row>
    <row r="1395" spans="1:11" x14ac:dyDescent="0.25">
      <c r="A1395" s="38">
        <v>46081</v>
      </c>
      <c r="B1395" s="33" t="s">
        <v>1727</v>
      </c>
      <c r="C1395" s="36" t="s">
        <v>229</v>
      </c>
      <c r="D1395" s="34" t="s">
        <v>600</v>
      </c>
      <c r="E1395" s="34"/>
      <c r="F1395" s="37">
        <v>57330</v>
      </c>
      <c r="G1395" s="37">
        <v>57330</v>
      </c>
      <c r="H1395" s="38">
        <v>46081</v>
      </c>
      <c r="I1395" s="38" t="s">
        <v>1796</v>
      </c>
      <c r="J1395" s="42">
        <v>0</v>
      </c>
      <c r="K1395" s="43">
        <v>57330</v>
      </c>
    </row>
    <row r="1396" spans="1:11" x14ac:dyDescent="0.25">
      <c r="A1396" s="38">
        <v>46081</v>
      </c>
      <c r="B1396" s="33" t="s">
        <v>1728</v>
      </c>
      <c r="C1396" s="36" t="s">
        <v>229</v>
      </c>
      <c r="D1396" s="34" t="s">
        <v>373</v>
      </c>
      <c r="E1396" s="34"/>
      <c r="F1396" s="37">
        <v>40180</v>
      </c>
      <c r="G1396" s="37">
        <v>40180</v>
      </c>
      <c r="H1396" s="38">
        <v>46081</v>
      </c>
      <c r="I1396" s="38" t="s">
        <v>1796</v>
      </c>
      <c r="J1396" s="42">
        <v>0</v>
      </c>
      <c r="K1396" s="43">
        <v>40180</v>
      </c>
    </row>
    <row r="1397" spans="1:11" x14ac:dyDescent="0.25">
      <c r="A1397" s="38">
        <v>46081</v>
      </c>
      <c r="B1397" s="33" t="s">
        <v>1729</v>
      </c>
      <c r="C1397" s="36" t="s">
        <v>229</v>
      </c>
      <c r="D1397" s="34" t="s">
        <v>373</v>
      </c>
      <c r="E1397" s="34"/>
      <c r="F1397" s="37">
        <v>177870</v>
      </c>
      <c r="G1397" s="37">
        <v>177870</v>
      </c>
      <c r="H1397" s="38">
        <v>46081</v>
      </c>
      <c r="I1397" s="38" t="s">
        <v>1796</v>
      </c>
      <c r="J1397" s="42">
        <v>0</v>
      </c>
      <c r="K1397" s="43">
        <v>177870</v>
      </c>
    </row>
    <row r="1398" spans="1:11" x14ac:dyDescent="0.25">
      <c r="A1398" s="38">
        <v>46081</v>
      </c>
      <c r="B1398" s="33" t="s">
        <v>1730</v>
      </c>
      <c r="C1398" s="36" t="s">
        <v>229</v>
      </c>
      <c r="D1398" s="34" t="s">
        <v>373</v>
      </c>
      <c r="E1398" s="34"/>
      <c r="F1398" s="37">
        <v>28420</v>
      </c>
      <c r="G1398" s="37">
        <v>28420</v>
      </c>
      <c r="H1398" s="38">
        <v>46081</v>
      </c>
      <c r="I1398" s="38" t="s">
        <v>1796</v>
      </c>
      <c r="J1398" s="42">
        <v>0</v>
      </c>
      <c r="K1398" s="43">
        <v>28420</v>
      </c>
    </row>
    <row r="1399" spans="1:11" x14ac:dyDescent="0.25">
      <c r="A1399" s="38">
        <v>46081</v>
      </c>
      <c r="B1399" s="33" t="s">
        <v>1731</v>
      </c>
      <c r="C1399" s="36" t="s">
        <v>229</v>
      </c>
      <c r="D1399" s="34" t="s">
        <v>373</v>
      </c>
      <c r="E1399" s="34"/>
      <c r="F1399" s="37">
        <v>114660</v>
      </c>
      <c r="G1399" s="37">
        <v>114660</v>
      </c>
      <c r="H1399" s="38">
        <v>46081</v>
      </c>
      <c r="I1399" s="38" t="s">
        <v>1796</v>
      </c>
      <c r="J1399" s="42">
        <v>0</v>
      </c>
      <c r="K1399" s="43">
        <v>114660</v>
      </c>
    </row>
    <row r="1400" spans="1:11" x14ac:dyDescent="0.25">
      <c r="A1400" s="38">
        <v>46081</v>
      </c>
      <c r="B1400" s="33" t="s">
        <v>1732</v>
      </c>
      <c r="C1400" s="36" t="s">
        <v>229</v>
      </c>
      <c r="D1400" s="34" t="s">
        <v>341</v>
      </c>
      <c r="E1400" s="34"/>
      <c r="F1400" s="37">
        <v>82075</v>
      </c>
      <c r="G1400" s="37">
        <v>82075</v>
      </c>
      <c r="H1400" s="38">
        <v>46081</v>
      </c>
      <c r="I1400" s="38" t="s">
        <v>1796</v>
      </c>
      <c r="J1400" s="42">
        <v>0</v>
      </c>
      <c r="K1400" s="43">
        <v>82075</v>
      </c>
    </row>
    <row r="1401" spans="1:11" x14ac:dyDescent="0.25">
      <c r="A1401" s="38">
        <v>46081</v>
      </c>
      <c r="B1401" s="33" t="s">
        <v>447</v>
      </c>
      <c r="C1401" s="36" t="s">
        <v>230</v>
      </c>
      <c r="D1401" s="34" t="s">
        <v>426</v>
      </c>
      <c r="E1401" s="34"/>
      <c r="F1401" s="37">
        <v>65341.22</v>
      </c>
      <c r="G1401" s="37">
        <v>65341.22</v>
      </c>
      <c r="H1401" s="38">
        <v>46081</v>
      </c>
      <c r="I1401" s="38" t="s">
        <v>1796</v>
      </c>
      <c r="J1401" s="42">
        <v>0</v>
      </c>
      <c r="K1401" s="43">
        <v>65341.22</v>
      </c>
    </row>
    <row r="1402" spans="1:11" x14ac:dyDescent="0.25">
      <c r="A1402" s="38">
        <v>46081</v>
      </c>
      <c r="B1402" s="33" t="s">
        <v>1733</v>
      </c>
      <c r="C1402" s="36" t="s">
        <v>236</v>
      </c>
      <c r="D1402" s="34" t="s">
        <v>373</v>
      </c>
      <c r="E1402" s="34"/>
      <c r="F1402" s="37">
        <v>87309.72</v>
      </c>
      <c r="G1402" s="37">
        <v>87309.72</v>
      </c>
      <c r="H1402" s="38">
        <v>46081</v>
      </c>
      <c r="I1402" s="38" t="s">
        <v>1796</v>
      </c>
      <c r="J1402" s="42">
        <v>0</v>
      </c>
      <c r="K1402" s="43">
        <v>87309.72</v>
      </c>
    </row>
    <row r="1403" spans="1:11" x14ac:dyDescent="0.25">
      <c r="A1403" s="38">
        <v>46081</v>
      </c>
      <c r="B1403" s="33" t="s">
        <v>478</v>
      </c>
      <c r="C1403" s="36" t="s">
        <v>242</v>
      </c>
      <c r="D1403" s="34" t="s">
        <v>426</v>
      </c>
      <c r="E1403" s="34"/>
      <c r="F1403" s="37">
        <v>121611.52</v>
      </c>
      <c r="G1403" s="37">
        <v>121611.52</v>
      </c>
      <c r="H1403" s="38">
        <v>46096</v>
      </c>
      <c r="I1403" s="38" t="s">
        <v>1796</v>
      </c>
      <c r="J1403" s="42">
        <f t="shared" ref="J1403:J1407" si="48">$I$1-A1403</f>
        <v>0</v>
      </c>
      <c r="K1403" s="43">
        <v>121611.52</v>
      </c>
    </row>
    <row r="1404" spans="1:11" x14ac:dyDescent="0.25">
      <c r="A1404" s="38">
        <v>46081</v>
      </c>
      <c r="B1404" s="33" t="s">
        <v>476</v>
      </c>
      <c r="C1404" s="36" t="s">
        <v>242</v>
      </c>
      <c r="D1404" s="34" t="s">
        <v>426</v>
      </c>
      <c r="E1404" s="34"/>
      <c r="F1404" s="37">
        <v>124047</v>
      </c>
      <c r="G1404" s="37">
        <v>124047</v>
      </c>
      <c r="H1404" s="38">
        <v>46096</v>
      </c>
      <c r="I1404" s="38" t="s">
        <v>1796</v>
      </c>
      <c r="J1404" s="42">
        <f t="shared" si="48"/>
        <v>0</v>
      </c>
      <c r="K1404" s="43">
        <v>124047</v>
      </c>
    </row>
    <row r="1405" spans="1:11" x14ac:dyDescent="0.25">
      <c r="A1405" s="38">
        <v>46081</v>
      </c>
      <c r="B1405" s="33" t="s">
        <v>485</v>
      </c>
      <c r="C1405" s="36" t="s">
        <v>242</v>
      </c>
      <c r="D1405" s="34" t="s">
        <v>393</v>
      </c>
      <c r="E1405" s="34"/>
      <c r="F1405" s="37">
        <v>124740</v>
      </c>
      <c r="G1405" s="37">
        <v>124740</v>
      </c>
      <c r="H1405" s="38">
        <v>46096</v>
      </c>
      <c r="I1405" s="38" t="s">
        <v>1796</v>
      </c>
      <c r="J1405" s="42">
        <f t="shared" si="48"/>
        <v>0</v>
      </c>
      <c r="K1405" s="43">
        <v>124740</v>
      </c>
    </row>
    <row r="1406" spans="1:11" x14ac:dyDescent="0.25">
      <c r="A1406" s="38">
        <v>46081</v>
      </c>
      <c r="B1406" s="33" t="s">
        <v>537</v>
      </c>
      <c r="C1406" s="36" t="s">
        <v>242</v>
      </c>
      <c r="D1406" s="34" t="s">
        <v>426</v>
      </c>
      <c r="E1406" s="34"/>
      <c r="F1406" s="37">
        <v>118586.48</v>
      </c>
      <c r="G1406" s="37">
        <v>118586.48</v>
      </c>
      <c r="H1406" s="38">
        <v>46096</v>
      </c>
      <c r="I1406" s="38" t="s">
        <v>1796</v>
      </c>
      <c r="J1406" s="42">
        <f t="shared" si="48"/>
        <v>0</v>
      </c>
      <c r="K1406" s="43">
        <v>118586.48</v>
      </c>
    </row>
    <row r="1407" spans="1:11" x14ac:dyDescent="0.25">
      <c r="A1407" s="38">
        <v>46081</v>
      </c>
      <c r="B1407" s="33" t="s">
        <v>1734</v>
      </c>
      <c r="C1407" s="36" t="s">
        <v>244</v>
      </c>
      <c r="D1407" s="34" t="s">
        <v>412</v>
      </c>
      <c r="E1407" s="34"/>
      <c r="F1407" s="37">
        <v>270480</v>
      </c>
      <c r="G1407" s="37">
        <v>270480</v>
      </c>
      <c r="H1407" s="38">
        <v>46111</v>
      </c>
      <c r="I1407" s="38" t="s">
        <v>1796</v>
      </c>
      <c r="J1407" s="42">
        <f t="shared" si="48"/>
        <v>0</v>
      </c>
      <c r="K1407" s="43">
        <v>270480</v>
      </c>
    </row>
    <row r="1408" spans="1:11" x14ac:dyDescent="0.25">
      <c r="A1408" s="38">
        <v>46081</v>
      </c>
      <c r="B1408" s="33" t="s">
        <v>1735</v>
      </c>
      <c r="C1408" s="36" t="s">
        <v>245</v>
      </c>
      <c r="D1408" s="34" t="s">
        <v>642</v>
      </c>
      <c r="E1408" s="34"/>
      <c r="F1408" s="37">
        <v>60900</v>
      </c>
      <c r="G1408" s="37">
        <v>60900</v>
      </c>
      <c r="H1408" s="38">
        <v>46081</v>
      </c>
      <c r="I1408" s="38" t="s">
        <v>1796</v>
      </c>
      <c r="J1408" s="42">
        <v>0</v>
      </c>
      <c r="K1408" s="43">
        <v>60900</v>
      </c>
    </row>
    <row r="1409" spans="1:11" x14ac:dyDescent="0.25">
      <c r="A1409" s="38">
        <v>46081</v>
      </c>
      <c r="B1409" s="33" t="s">
        <v>1736</v>
      </c>
      <c r="C1409" s="36" t="s">
        <v>249</v>
      </c>
      <c r="D1409" s="34" t="s">
        <v>341</v>
      </c>
      <c r="E1409" s="34"/>
      <c r="F1409" s="37">
        <v>152220</v>
      </c>
      <c r="G1409" s="37">
        <v>152220</v>
      </c>
      <c r="H1409" s="38">
        <v>46081</v>
      </c>
      <c r="I1409" s="38" t="s">
        <v>1796</v>
      </c>
      <c r="J1409" s="42">
        <v>0</v>
      </c>
      <c r="K1409" s="43">
        <v>152220</v>
      </c>
    </row>
    <row r="1410" spans="1:11" x14ac:dyDescent="0.25">
      <c r="A1410" s="38">
        <v>46081</v>
      </c>
      <c r="B1410" s="33" t="s">
        <v>1737</v>
      </c>
      <c r="C1410" s="36" t="s">
        <v>251</v>
      </c>
      <c r="D1410" s="34" t="s">
        <v>402</v>
      </c>
      <c r="E1410" s="34"/>
      <c r="F1410" s="37">
        <v>4890</v>
      </c>
      <c r="G1410" s="37">
        <v>4890</v>
      </c>
      <c r="H1410" s="38">
        <v>46081</v>
      </c>
      <c r="I1410" s="38" t="s">
        <v>1796</v>
      </c>
      <c r="J1410" s="42">
        <v>0</v>
      </c>
      <c r="K1410" s="43">
        <v>4890</v>
      </c>
    </row>
    <row r="1411" spans="1:11" x14ac:dyDescent="0.25">
      <c r="A1411" s="38">
        <v>46081</v>
      </c>
      <c r="B1411" s="33" t="s">
        <v>1738</v>
      </c>
      <c r="C1411" s="36" t="s">
        <v>253</v>
      </c>
      <c r="D1411" s="34" t="s">
        <v>433</v>
      </c>
      <c r="E1411" s="34"/>
      <c r="F1411" s="37">
        <v>187920</v>
      </c>
      <c r="G1411" s="37">
        <v>187920</v>
      </c>
      <c r="H1411" s="38">
        <v>46081</v>
      </c>
      <c r="I1411" s="38" t="s">
        <v>1796</v>
      </c>
      <c r="J1411" s="42">
        <v>0</v>
      </c>
      <c r="K1411" s="43">
        <v>187920</v>
      </c>
    </row>
    <row r="1412" spans="1:11" x14ac:dyDescent="0.25">
      <c r="A1412" s="38">
        <v>46081</v>
      </c>
      <c r="B1412" s="33" t="s">
        <v>1739</v>
      </c>
      <c r="C1412" s="36" t="s">
        <v>253</v>
      </c>
      <c r="D1412" s="34" t="s">
        <v>433</v>
      </c>
      <c r="E1412" s="34"/>
      <c r="F1412" s="37">
        <v>257208</v>
      </c>
      <c r="G1412" s="37">
        <v>257208</v>
      </c>
      <c r="H1412" s="38">
        <v>46081</v>
      </c>
      <c r="I1412" s="38" t="s">
        <v>1796</v>
      </c>
      <c r="J1412" s="42">
        <v>0</v>
      </c>
      <c r="K1412" s="43">
        <v>257208</v>
      </c>
    </row>
    <row r="1413" spans="1:11" x14ac:dyDescent="0.25">
      <c r="A1413" s="38">
        <v>46081</v>
      </c>
      <c r="B1413" s="33" t="s">
        <v>1740</v>
      </c>
      <c r="C1413" s="36" t="s">
        <v>255</v>
      </c>
      <c r="D1413" s="34" t="s">
        <v>402</v>
      </c>
      <c r="E1413" s="34"/>
      <c r="F1413" s="37">
        <v>412960</v>
      </c>
      <c r="G1413" s="37">
        <v>412960</v>
      </c>
      <c r="H1413" s="38">
        <v>46081</v>
      </c>
      <c r="I1413" s="38" t="s">
        <v>1796</v>
      </c>
      <c r="J1413" s="42">
        <v>0</v>
      </c>
      <c r="K1413" s="43">
        <v>412960</v>
      </c>
    </row>
    <row r="1414" spans="1:11" x14ac:dyDescent="0.25">
      <c r="A1414" s="38">
        <v>46081</v>
      </c>
      <c r="B1414" s="33" t="s">
        <v>1741</v>
      </c>
      <c r="C1414" s="36" t="s">
        <v>259</v>
      </c>
      <c r="D1414" s="34" t="s">
        <v>323</v>
      </c>
      <c r="E1414" s="34"/>
      <c r="F1414" s="37">
        <v>140403.38</v>
      </c>
      <c r="G1414" s="37">
        <v>140403.38</v>
      </c>
      <c r="H1414" s="38">
        <v>46088</v>
      </c>
      <c r="I1414" s="38" t="s">
        <v>1796</v>
      </c>
      <c r="J1414" s="42">
        <f t="shared" ref="J1414:J1415" si="49">$I$1-A1414</f>
        <v>0</v>
      </c>
      <c r="K1414" s="43">
        <v>140403.38</v>
      </c>
    </row>
    <row r="1415" spans="1:11" x14ac:dyDescent="0.25">
      <c r="A1415" s="38">
        <v>46081</v>
      </c>
      <c r="B1415" s="33" t="s">
        <v>1742</v>
      </c>
      <c r="C1415" s="36" t="s">
        <v>259</v>
      </c>
      <c r="D1415" s="34" t="s">
        <v>323</v>
      </c>
      <c r="E1415" s="34"/>
      <c r="F1415" s="37">
        <v>153137.26</v>
      </c>
      <c r="G1415" s="37">
        <v>153137.26</v>
      </c>
      <c r="H1415" s="38">
        <v>46088</v>
      </c>
      <c r="I1415" s="38" t="s">
        <v>1796</v>
      </c>
      <c r="J1415" s="42">
        <f t="shared" si="49"/>
        <v>0</v>
      </c>
      <c r="K1415" s="43">
        <v>153137.26</v>
      </c>
    </row>
    <row r="1416" spans="1:11" x14ac:dyDescent="0.25">
      <c r="A1416" s="38">
        <v>46081</v>
      </c>
      <c r="B1416" s="33" t="s">
        <v>1743</v>
      </c>
      <c r="C1416" s="36" t="s">
        <v>261</v>
      </c>
      <c r="D1416" s="34" t="s">
        <v>449</v>
      </c>
      <c r="E1416" s="34"/>
      <c r="F1416" s="39">
        <v>8961777.0899999999</v>
      </c>
      <c r="G1416" s="39">
        <v>8961777.0899999999</v>
      </c>
      <c r="H1416" s="38">
        <v>46081</v>
      </c>
      <c r="I1416" s="38" t="s">
        <v>1796</v>
      </c>
      <c r="J1416" s="42">
        <v>0</v>
      </c>
      <c r="K1416" s="43">
        <v>-8961777.0899999999</v>
      </c>
    </row>
    <row r="1417" spans="1:11" x14ac:dyDescent="0.25">
      <c r="A1417" s="38">
        <v>46081</v>
      </c>
      <c r="B1417" s="33" t="s">
        <v>1744</v>
      </c>
      <c r="C1417" s="36" t="s">
        <v>261</v>
      </c>
      <c r="D1417" s="34" t="s">
        <v>449</v>
      </c>
      <c r="E1417" s="34"/>
      <c r="F1417" s="39">
        <v>6391959.7000000002</v>
      </c>
      <c r="G1417" s="39">
        <v>6391959.7000000002</v>
      </c>
      <c r="H1417" s="38">
        <v>46081</v>
      </c>
      <c r="I1417" s="38" t="s">
        <v>1796</v>
      </c>
      <c r="J1417" s="42">
        <v>0</v>
      </c>
      <c r="K1417" s="43">
        <v>-6391959.7000000002</v>
      </c>
    </row>
    <row r="1418" spans="1:11" x14ac:dyDescent="0.25">
      <c r="A1418" s="38">
        <v>46081</v>
      </c>
      <c r="B1418" s="33" t="s">
        <v>1745</v>
      </c>
      <c r="C1418" s="36" t="s">
        <v>264</v>
      </c>
      <c r="D1418" s="34" t="s">
        <v>565</v>
      </c>
      <c r="E1418" s="34"/>
      <c r="F1418" s="37">
        <v>37000</v>
      </c>
      <c r="G1418" s="37">
        <v>37000</v>
      </c>
      <c r="H1418" s="38">
        <v>46081</v>
      </c>
      <c r="I1418" s="38" t="s">
        <v>1796</v>
      </c>
      <c r="J1418" s="42">
        <v>0</v>
      </c>
      <c r="K1418" s="43">
        <v>37000</v>
      </c>
    </row>
    <row r="1419" spans="1:11" x14ac:dyDescent="0.25">
      <c r="A1419" s="38">
        <v>46081</v>
      </c>
      <c r="B1419" s="33" t="s">
        <v>1746</v>
      </c>
      <c r="C1419" s="36" t="s">
        <v>266</v>
      </c>
      <c r="D1419" s="34" t="s">
        <v>616</v>
      </c>
      <c r="E1419" s="34"/>
      <c r="F1419" s="37">
        <v>125700</v>
      </c>
      <c r="G1419" s="37">
        <v>125700</v>
      </c>
      <c r="H1419" s="38">
        <v>46081</v>
      </c>
      <c r="I1419" s="38" t="s">
        <v>1796</v>
      </c>
      <c r="J1419" s="42">
        <v>0</v>
      </c>
      <c r="K1419" s="43">
        <v>125700</v>
      </c>
    </row>
    <row r="1420" spans="1:11" x14ac:dyDescent="0.25">
      <c r="A1420" s="38">
        <v>46081</v>
      </c>
      <c r="B1420" s="33" t="s">
        <v>1747</v>
      </c>
      <c r="C1420" s="36" t="s">
        <v>266</v>
      </c>
      <c r="D1420" s="34" t="s">
        <v>616</v>
      </c>
      <c r="E1420" s="34"/>
      <c r="F1420" s="37">
        <v>66200</v>
      </c>
      <c r="G1420" s="37">
        <v>66200</v>
      </c>
      <c r="H1420" s="38">
        <v>46081</v>
      </c>
      <c r="I1420" s="38" t="s">
        <v>1796</v>
      </c>
      <c r="J1420" s="42">
        <v>0</v>
      </c>
      <c r="K1420" s="43">
        <v>66200</v>
      </c>
    </row>
    <row r="1421" spans="1:11" x14ac:dyDescent="0.25">
      <c r="A1421" s="38">
        <v>46081</v>
      </c>
      <c r="B1421" s="33" t="s">
        <v>512</v>
      </c>
      <c r="C1421" s="36" t="s">
        <v>274</v>
      </c>
      <c r="D1421" s="34" t="s">
        <v>412</v>
      </c>
      <c r="E1421" s="34"/>
      <c r="F1421" s="37">
        <v>10541.62</v>
      </c>
      <c r="G1421" s="37">
        <v>10541.62</v>
      </c>
      <c r="H1421" s="38">
        <v>46081</v>
      </c>
      <c r="I1421" s="38" t="s">
        <v>1796</v>
      </c>
      <c r="J1421" s="42">
        <v>0</v>
      </c>
      <c r="K1421" s="43">
        <v>10541.62</v>
      </c>
    </row>
    <row r="1422" spans="1:11" x14ac:dyDescent="0.25">
      <c r="A1422" s="38">
        <v>46081</v>
      </c>
      <c r="B1422" s="33" t="s">
        <v>1748</v>
      </c>
      <c r="C1422" s="36" t="s">
        <v>274</v>
      </c>
      <c r="D1422" s="34" t="s">
        <v>402</v>
      </c>
      <c r="E1422" s="34"/>
      <c r="F1422" s="37">
        <v>49166</v>
      </c>
      <c r="G1422" s="37">
        <v>49166</v>
      </c>
      <c r="H1422" s="38">
        <v>46081</v>
      </c>
      <c r="I1422" s="38" t="s">
        <v>1796</v>
      </c>
      <c r="J1422" s="42">
        <v>0</v>
      </c>
      <c r="K1422" s="43">
        <v>49166</v>
      </c>
    </row>
    <row r="1423" spans="1:11" x14ac:dyDescent="0.25">
      <c r="A1423" s="38">
        <v>46081</v>
      </c>
      <c r="B1423" s="33" t="s">
        <v>1749</v>
      </c>
      <c r="C1423" s="36" t="s">
        <v>274</v>
      </c>
      <c r="D1423" s="34" t="s">
        <v>412</v>
      </c>
      <c r="E1423" s="34"/>
      <c r="F1423" s="39">
        <v>10541.62</v>
      </c>
      <c r="G1423" s="39">
        <v>10541.62</v>
      </c>
      <c r="H1423" s="38">
        <v>46081</v>
      </c>
      <c r="I1423" s="38" t="s">
        <v>1796</v>
      </c>
      <c r="J1423" s="42">
        <v>0</v>
      </c>
      <c r="K1423" s="43">
        <v>-10541.62</v>
      </c>
    </row>
    <row r="1424" spans="1:11" x14ac:dyDescent="0.25">
      <c r="A1424" s="38">
        <v>46081</v>
      </c>
      <c r="B1424" s="33" t="s">
        <v>820</v>
      </c>
      <c r="C1424" s="36" t="s">
        <v>282</v>
      </c>
      <c r="D1424" s="34" t="s">
        <v>341</v>
      </c>
      <c r="E1424" s="34"/>
      <c r="F1424" s="37">
        <v>389435.2</v>
      </c>
      <c r="G1424" s="37">
        <v>389435.2</v>
      </c>
      <c r="H1424" s="38">
        <v>46081</v>
      </c>
      <c r="I1424" s="38" t="s">
        <v>1796</v>
      </c>
      <c r="J1424" s="42">
        <v>0</v>
      </c>
      <c r="K1424" s="43">
        <v>389435.2</v>
      </c>
    </row>
    <row r="1425" spans="1:11" x14ac:dyDescent="0.25">
      <c r="A1425" s="38">
        <v>46081</v>
      </c>
      <c r="B1425" s="33" t="s">
        <v>1750</v>
      </c>
      <c r="C1425" s="36" t="s">
        <v>1751</v>
      </c>
      <c r="D1425" s="34" t="s">
        <v>412</v>
      </c>
      <c r="E1425" s="34"/>
      <c r="F1425" s="39">
        <v>906240</v>
      </c>
      <c r="G1425" s="39">
        <v>906240</v>
      </c>
      <c r="H1425" s="38">
        <v>46081</v>
      </c>
      <c r="I1425" s="38" t="s">
        <v>1796</v>
      </c>
      <c r="J1425" s="42">
        <v>0</v>
      </c>
      <c r="K1425" s="43">
        <v>-906240</v>
      </c>
    </row>
    <row r="1426" spans="1:11" x14ac:dyDescent="0.25">
      <c r="A1426" s="38">
        <v>46081</v>
      </c>
      <c r="B1426" s="33" t="s">
        <v>1752</v>
      </c>
      <c r="C1426" s="36" t="s">
        <v>1751</v>
      </c>
      <c r="D1426" s="34" t="s">
        <v>616</v>
      </c>
      <c r="E1426" s="34"/>
      <c r="F1426" s="37">
        <v>906240</v>
      </c>
      <c r="G1426" s="37">
        <v>906240</v>
      </c>
      <c r="H1426" s="38">
        <v>46081</v>
      </c>
      <c r="I1426" s="38" t="s">
        <v>1796</v>
      </c>
      <c r="J1426" s="42">
        <v>0</v>
      </c>
      <c r="K1426" s="43">
        <v>906240</v>
      </c>
    </row>
    <row r="1427" spans="1:11" x14ac:dyDescent="0.25">
      <c r="A1427" s="38">
        <v>46081</v>
      </c>
      <c r="B1427" s="33" t="s">
        <v>1753</v>
      </c>
      <c r="C1427" s="36" t="s">
        <v>289</v>
      </c>
      <c r="D1427" s="34" t="s">
        <v>412</v>
      </c>
      <c r="E1427" s="34"/>
      <c r="F1427" s="37">
        <v>1152808</v>
      </c>
      <c r="G1427" s="37">
        <v>1152808</v>
      </c>
      <c r="H1427" s="38">
        <v>46111</v>
      </c>
      <c r="I1427" s="38" t="s">
        <v>1796</v>
      </c>
      <c r="J1427" s="42">
        <f>$I$1-A1427</f>
        <v>0</v>
      </c>
      <c r="K1427" s="43">
        <v>1152808</v>
      </c>
    </row>
    <row r="1428" spans="1:11" x14ac:dyDescent="0.25">
      <c r="A1428" s="38">
        <v>46081</v>
      </c>
      <c r="B1428" s="33" t="s">
        <v>1754</v>
      </c>
      <c r="C1428" s="36" t="s">
        <v>292</v>
      </c>
      <c r="D1428" s="34" t="s">
        <v>561</v>
      </c>
      <c r="E1428" s="34"/>
      <c r="F1428" s="37">
        <v>1354201.6</v>
      </c>
      <c r="G1428" s="37">
        <v>1354201.6</v>
      </c>
      <c r="H1428" s="38">
        <v>46081</v>
      </c>
      <c r="I1428" s="38" t="s">
        <v>1796</v>
      </c>
      <c r="J1428" s="42">
        <v>0</v>
      </c>
      <c r="K1428" s="43">
        <v>1354201.6</v>
      </c>
    </row>
    <row r="1429" spans="1:11" x14ac:dyDescent="0.25">
      <c r="A1429" s="38">
        <v>46081</v>
      </c>
      <c r="B1429" s="33" t="s">
        <v>1755</v>
      </c>
      <c r="C1429" s="36" t="s">
        <v>296</v>
      </c>
      <c r="D1429" s="34" t="s">
        <v>341</v>
      </c>
      <c r="E1429" s="34"/>
      <c r="F1429" s="37">
        <v>19779.38</v>
      </c>
      <c r="G1429" s="37">
        <v>19779.38</v>
      </c>
      <c r="H1429" s="38">
        <v>46111</v>
      </c>
      <c r="I1429" s="38" t="s">
        <v>1796</v>
      </c>
      <c r="J1429" s="42">
        <f t="shared" ref="J1429:J1430" si="50">$I$1-A1429</f>
        <v>0</v>
      </c>
      <c r="K1429" s="43">
        <v>19779.38</v>
      </c>
    </row>
    <row r="1430" spans="1:11" x14ac:dyDescent="0.25">
      <c r="A1430" s="38">
        <v>46081</v>
      </c>
      <c r="B1430" s="33" t="s">
        <v>1756</v>
      </c>
      <c r="C1430" s="36" t="s">
        <v>297</v>
      </c>
      <c r="D1430" s="34" t="s">
        <v>341</v>
      </c>
      <c r="E1430" s="34"/>
      <c r="F1430" s="37">
        <v>21724</v>
      </c>
      <c r="G1430" s="37">
        <v>21724</v>
      </c>
      <c r="H1430" s="38">
        <v>46111</v>
      </c>
      <c r="I1430" s="38" t="s">
        <v>1796</v>
      </c>
      <c r="J1430" s="42">
        <f>$I$1-A1430</f>
        <v>0</v>
      </c>
      <c r="K1430" s="43">
        <v>21724</v>
      </c>
    </row>
    <row r="1431" spans="1:11" x14ac:dyDescent="0.25">
      <c r="A1431" s="38">
        <v>46081</v>
      </c>
      <c r="B1431" s="33" t="s">
        <v>1757</v>
      </c>
      <c r="C1431" s="36" t="s">
        <v>301</v>
      </c>
      <c r="D1431" s="34" t="s">
        <v>426</v>
      </c>
      <c r="E1431" s="34"/>
      <c r="F1431" s="37">
        <v>181981.58</v>
      </c>
      <c r="G1431" s="37">
        <v>181981.58</v>
      </c>
      <c r="H1431" s="38">
        <v>46081</v>
      </c>
      <c r="I1431" s="38" t="s">
        <v>1796</v>
      </c>
      <c r="J1431" s="42">
        <v>0</v>
      </c>
      <c r="K1431" s="43">
        <v>181981.58</v>
      </c>
    </row>
    <row r="1432" spans="1:11" x14ac:dyDescent="0.25">
      <c r="A1432" s="38">
        <v>46081</v>
      </c>
      <c r="B1432" s="33" t="s">
        <v>1758</v>
      </c>
      <c r="C1432" s="36" t="s">
        <v>302</v>
      </c>
      <c r="D1432" s="34" t="s">
        <v>412</v>
      </c>
      <c r="E1432" s="34"/>
      <c r="F1432" s="37">
        <v>53751</v>
      </c>
      <c r="G1432" s="37">
        <v>53751</v>
      </c>
      <c r="H1432" s="38">
        <v>46081</v>
      </c>
      <c r="I1432" s="38" t="s">
        <v>1796</v>
      </c>
      <c r="J1432" s="42">
        <v>0</v>
      </c>
      <c r="K1432" s="43">
        <v>53751</v>
      </c>
    </row>
    <row r="1433" spans="1:11" x14ac:dyDescent="0.25">
      <c r="A1433" s="38">
        <v>46081</v>
      </c>
      <c r="B1433" s="33" t="s">
        <v>1759</v>
      </c>
      <c r="C1433" s="36" t="s">
        <v>302</v>
      </c>
      <c r="D1433" s="34" t="s">
        <v>433</v>
      </c>
      <c r="E1433" s="34"/>
      <c r="F1433" s="37">
        <v>360040</v>
      </c>
      <c r="G1433" s="37">
        <v>360040</v>
      </c>
      <c r="H1433" s="38">
        <v>46081</v>
      </c>
      <c r="I1433" s="38" t="s">
        <v>1796</v>
      </c>
      <c r="J1433" s="42">
        <v>0</v>
      </c>
      <c r="K1433" s="43">
        <v>360040</v>
      </c>
    </row>
    <row r="1434" spans="1:11" x14ac:dyDescent="0.25">
      <c r="A1434" s="38">
        <v>46081</v>
      </c>
      <c r="B1434" s="33" t="s">
        <v>1760</v>
      </c>
      <c r="C1434" s="36" t="s">
        <v>303</v>
      </c>
      <c r="D1434" s="34" t="s">
        <v>565</v>
      </c>
      <c r="E1434" s="34"/>
      <c r="F1434" s="37">
        <v>200231</v>
      </c>
      <c r="G1434" s="37">
        <v>200231</v>
      </c>
      <c r="H1434" s="38">
        <v>46081</v>
      </c>
      <c r="I1434" s="38" t="s">
        <v>1796</v>
      </c>
      <c r="J1434" s="42">
        <v>0</v>
      </c>
      <c r="K1434" s="43">
        <v>200231</v>
      </c>
    </row>
    <row r="1435" spans="1:11" x14ac:dyDescent="0.25">
      <c r="A1435" s="38">
        <v>46081</v>
      </c>
      <c r="B1435" s="33" t="s">
        <v>1761</v>
      </c>
      <c r="C1435" s="36" t="s">
        <v>307</v>
      </c>
      <c r="D1435" s="34" t="s">
        <v>412</v>
      </c>
      <c r="E1435" s="34"/>
      <c r="F1435" s="37">
        <v>4112</v>
      </c>
      <c r="G1435" s="37">
        <v>4112</v>
      </c>
      <c r="H1435" s="38">
        <v>46081</v>
      </c>
      <c r="I1435" s="38" t="s">
        <v>1796</v>
      </c>
      <c r="J1435" s="42">
        <v>0</v>
      </c>
      <c r="K1435" s="43">
        <v>4112</v>
      </c>
    </row>
    <row r="1436" spans="1:11" x14ac:dyDescent="0.25">
      <c r="A1436" s="38">
        <v>46081</v>
      </c>
      <c r="B1436" s="33" t="s">
        <v>1762</v>
      </c>
      <c r="C1436" s="36" t="s">
        <v>309</v>
      </c>
      <c r="D1436" s="34" t="s">
        <v>341</v>
      </c>
      <c r="E1436" s="34"/>
      <c r="F1436" s="37">
        <v>70560</v>
      </c>
      <c r="G1436" s="37">
        <v>70560</v>
      </c>
      <c r="H1436" s="38">
        <v>46081</v>
      </c>
      <c r="I1436" s="38" t="s">
        <v>1796</v>
      </c>
      <c r="J1436" s="42">
        <v>0</v>
      </c>
      <c r="K1436" s="43">
        <v>70560</v>
      </c>
    </row>
    <row r="1437" spans="1:11" x14ac:dyDescent="0.25">
      <c r="A1437" s="38">
        <v>46081</v>
      </c>
      <c r="B1437" s="33" t="s">
        <v>1763</v>
      </c>
      <c r="C1437" s="36" t="s">
        <v>309</v>
      </c>
      <c r="D1437" s="34" t="s">
        <v>341</v>
      </c>
      <c r="E1437" s="34"/>
      <c r="F1437" s="37">
        <v>142099</v>
      </c>
      <c r="G1437" s="37">
        <v>142099</v>
      </c>
      <c r="H1437" s="38">
        <v>46081</v>
      </c>
      <c r="I1437" s="38" t="s">
        <v>1796</v>
      </c>
      <c r="J1437" s="42">
        <v>0</v>
      </c>
      <c r="K1437" s="43">
        <v>142099</v>
      </c>
    </row>
    <row r="1438" spans="1:11" x14ac:dyDescent="0.25">
      <c r="A1438" s="38">
        <v>46081</v>
      </c>
      <c r="B1438" s="33" t="s">
        <v>1764</v>
      </c>
      <c r="C1438" s="36" t="s">
        <v>309</v>
      </c>
      <c r="D1438" s="34" t="s">
        <v>341</v>
      </c>
      <c r="E1438" s="34"/>
      <c r="F1438" s="37">
        <v>70560</v>
      </c>
      <c r="G1438" s="37">
        <v>70560</v>
      </c>
      <c r="H1438" s="38">
        <v>46081</v>
      </c>
      <c r="I1438" s="38" t="s">
        <v>1796</v>
      </c>
      <c r="J1438" s="42">
        <v>0</v>
      </c>
      <c r="K1438" s="43">
        <v>70560</v>
      </c>
    </row>
    <row r="1439" spans="1:11" x14ac:dyDescent="0.25">
      <c r="A1439" s="38">
        <v>46081</v>
      </c>
      <c r="B1439" s="33" t="s">
        <v>1765</v>
      </c>
      <c r="C1439" s="36" t="s">
        <v>309</v>
      </c>
      <c r="D1439" s="34" t="s">
        <v>412</v>
      </c>
      <c r="E1439" s="34"/>
      <c r="F1439" s="37">
        <v>217233.66</v>
      </c>
      <c r="G1439" s="37">
        <v>217233.66</v>
      </c>
      <c r="H1439" s="38">
        <v>46081</v>
      </c>
      <c r="I1439" s="38" t="s">
        <v>1796</v>
      </c>
      <c r="J1439" s="42">
        <v>0</v>
      </c>
      <c r="K1439" s="43">
        <v>217233.66</v>
      </c>
    </row>
    <row r="1440" spans="1:11" x14ac:dyDescent="0.25">
      <c r="A1440" s="38">
        <v>46081</v>
      </c>
      <c r="B1440" s="33" t="s">
        <v>1766</v>
      </c>
      <c r="C1440" s="36" t="s">
        <v>309</v>
      </c>
      <c r="D1440" s="34" t="s">
        <v>341</v>
      </c>
      <c r="E1440" s="34"/>
      <c r="F1440" s="37">
        <v>41650</v>
      </c>
      <c r="G1440" s="37">
        <v>41650</v>
      </c>
      <c r="H1440" s="38">
        <v>46081</v>
      </c>
      <c r="I1440" s="38" t="s">
        <v>1796</v>
      </c>
      <c r="J1440" s="42">
        <v>0</v>
      </c>
      <c r="K1440" s="43">
        <v>41650</v>
      </c>
    </row>
    <row r="1441" spans="1:11" x14ac:dyDescent="0.25">
      <c r="A1441" s="38">
        <v>46081</v>
      </c>
      <c r="B1441" s="33" t="s">
        <v>1767</v>
      </c>
      <c r="C1441" s="36" t="s">
        <v>309</v>
      </c>
      <c r="D1441" s="34" t="s">
        <v>341</v>
      </c>
      <c r="E1441" s="34"/>
      <c r="F1441" s="37">
        <v>41650</v>
      </c>
      <c r="G1441" s="37">
        <v>41650</v>
      </c>
      <c r="H1441" s="38">
        <v>46081</v>
      </c>
      <c r="I1441" s="38" t="s">
        <v>1796</v>
      </c>
      <c r="J1441" s="42">
        <v>0</v>
      </c>
      <c r="K1441" s="43">
        <v>41650</v>
      </c>
    </row>
    <row r="1442" spans="1:11" x14ac:dyDescent="0.25">
      <c r="A1442" s="38">
        <v>46081</v>
      </c>
      <c r="B1442" s="33" t="s">
        <v>1768</v>
      </c>
      <c r="C1442" s="36" t="s">
        <v>309</v>
      </c>
      <c r="D1442" s="34" t="s">
        <v>341</v>
      </c>
      <c r="E1442" s="34"/>
      <c r="F1442" s="37">
        <v>28420</v>
      </c>
      <c r="G1442" s="37">
        <v>28420</v>
      </c>
      <c r="H1442" s="38">
        <v>46081</v>
      </c>
      <c r="I1442" s="38" t="s">
        <v>1796</v>
      </c>
      <c r="J1442" s="42">
        <v>0</v>
      </c>
      <c r="K1442" s="43">
        <v>28420</v>
      </c>
    </row>
    <row r="1443" spans="1:11" x14ac:dyDescent="0.25">
      <c r="A1443" s="42"/>
      <c r="B1443" s="33" t="s">
        <v>8</v>
      </c>
      <c r="C1443" s="36" t="s">
        <v>8</v>
      </c>
      <c r="D1443" s="34" t="s">
        <v>393</v>
      </c>
      <c r="E1443" s="34"/>
      <c r="F1443" s="40">
        <v>299592976.36000001</v>
      </c>
      <c r="G1443" s="40">
        <v>268156320.52000001</v>
      </c>
      <c r="H1443" s="35" t="s">
        <v>8</v>
      </c>
      <c r="I1443" s="35"/>
      <c r="J1443" s="35" t="s">
        <v>8</v>
      </c>
      <c r="K1443" s="43"/>
    </row>
  </sheetData>
  <autoFilter ref="A4:K1443">
    <filterColumn colId="3" showButton="0"/>
  </autoFilter>
  <mergeCells count="1444">
    <mergeCell ref="B1:C1"/>
    <mergeCell ref="D1:G1"/>
    <mergeCell ref="B2:C2"/>
    <mergeCell ref="A3:B3"/>
    <mergeCell ref="D4:E4"/>
    <mergeCell ref="D17:E17"/>
    <mergeCell ref="D18:E18"/>
    <mergeCell ref="D19:E19"/>
    <mergeCell ref="D20:E20"/>
    <mergeCell ref="D21:E21"/>
    <mergeCell ref="D22:E22"/>
    <mergeCell ref="D11:E11"/>
    <mergeCell ref="D12:E12"/>
    <mergeCell ref="D13:E13"/>
    <mergeCell ref="D14:E14"/>
    <mergeCell ref="D15:E15"/>
    <mergeCell ref="D16:E16"/>
    <mergeCell ref="D5:E5"/>
    <mergeCell ref="D6:E6"/>
    <mergeCell ref="D7:E7"/>
    <mergeCell ref="D8:E8"/>
    <mergeCell ref="D9:E9"/>
    <mergeCell ref="D10:E10"/>
    <mergeCell ref="D35:E35"/>
    <mergeCell ref="D36:E36"/>
    <mergeCell ref="D37:E37"/>
    <mergeCell ref="D38:E38"/>
    <mergeCell ref="D39:E39"/>
    <mergeCell ref="D40:E40"/>
    <mergeCell ref="D29:E29"/>
    <mergeCell ref="D30:E30"/>
    <mergeCell ref="D31:E31"/>
    <mergeCell ref="D32:E32"/>
    <mergeCell ref="D33:E33"/>
    <mergeCell ref="D34:E34"/>
    <mergeCell ref="D23:E23"/>
    <mergeCell ref="D24:E24"/>
    <mergeCell ref="D25:E25"/>
    <mergeCell ref="D26:E26"/>
    <mergeCell ref="D27:E27"/>
    <mergeCell ref="D28:E28"/>
    <mergeCell ref="D53:E53"/>
    <mergeCell ref="D54:E54"/>
    <mergeCell ref="D55:E55"/>
    <mergeCell ref="D56:E56"/>
    <mergeCell ref="D57:E57"/>
    <mergeCell ref="D58:E58"/>
    <mergeCell ref="D47:E47"/>
    <mergeCell ref="D48:E48"/>
    <mergeCell ref="D49:E49"/>
    <mergeCell ref="D50:E50"/>
    <mergeCell ref="D51:E51"/>
    <mergeCell ref="D52:E52"/>
    <mergeCell ref="D41:E41"/>
    <mergeCell ref="D42:E42"/>
    <mergeCell ref="D43:E43"/>
    <mergeCell ref="D44:E44"/>
    <mergeCell ref="D45:E45"/>
    <mergeCell ref="D46:E46"/>
    <mergeCell ref="D71:E71"/>
    <mergeCell ref="D72:E72"/>
    <mergeCell ref="D73:E73"/>
    <mergeCell ref="D74:E74"/>
    <mergeCell ref="D75:E75"/>
    <mergeCell ref="D76:E76"/>
    <mergeCell ref="D65:E65"/>
    <mergeCell ref="D66:E66"/>
    <mergeCell ref="D67:E67"/>
    <mergeCell ref="D68:E68"/>
    <mergeCell ref="D69:E69"/>
    <mergeCell ref="D70:E70"/>
    <mergeCell ref="D59:E59"/>
    <mergeCell ref="D60:E60"/>
    <mergeCell ref="D61:E61"/>
    <mergeCell ref="D62:E62"/>
    <mergeCell ref="D63:E63"/>
    <mergeCell ref="D64:E64"/>
    <mergeCell ref="D89:E89"/>
    <mergeCell ref="D90:E90"/>
    <mergeCell ref="D91:E91"/>
    <mergeCell ref="D92:E92"/>
    <mergeCell ref="D93:E93"/>
    <mergeCell ref="D94:E94"/>
    <mergeCell ref="D83:E83"/>
    <mergeCell ref="D84:E84"/>
    <mergeCell ref="D85:E85"/>
    <mergeCell ref="D86:E86"/>
    <mergeCell ref="D87:E87"/>
    <mergeCell ref="D88:E88"/>
    <mergeCell ref="D77:E77"/>
    <mergeCell ref="D78:E78"/>
    <mergeCell ref="D79:E79"/>
    <mergeCell ref="D80:E80"/>
    <mergeCell ref="D81:E81"/>
    <mergeCell ref="D82:E82"/>
    <mergeCell ref="D107:E107"/>
    <mergeCell ref="D108:E108"/>
    <mergeCell ref="D109:E109"/>
    <mergeCell ref="D110:E110"/>
    <mergeCell ref="D111:E111"/>
    <mergeCell ref="D112:E112"/>
    <mergeCell ref="D101:E101"/>
    <mergeCell ref="D102:E102"/>
    <mergeCell ref="D103:E103"/>
    <mergeCell ref="D104:E104"/>
    <mergeCell ref="D105:E105"/>
    <mergeCell ref="D106:E106"/>
    <mergeCell ref="D95:E95"/>
    <mergeCell ref="D96:E96"/>
    <mergeCell ref="D97:E97"/>
    <mergeCell ref="D98:E98"/>
    <mergeCell ref="D99:E99"/>
    <mergeCell ref="D100:E100"/>
    <mergeCell ref="D125:E125"/>
    <mergeCell ref="D126:E126"/>
    <mergeCell ref="D127:E127"/>
    <mergeCell ref="D128:E128"/>
    <mergeCell ref="D129:E129"/>
    <mergeCell ref="D130:E130"/>
    <mergeCell ref="D119:E119"/>
    <mergeCell ref="D120:E120"/>
    <mergeCell ref="D121:E121"/>
    <mergeCell ref="D122:E122"/>
    <mergeCell ref="D123:E123"/>
    <mergeCell ref="D124:E124"/>
    <mergeCell ref="D113:E113"/>
    <mergeCell ref="D114:E114"/>
    <mergeCell ref="D115:E115"/>
    <mergeCell ref="D116:E116"/>
    <mergeCell ref="D117:E117"/>
    <mergeCell ref="D118:E118"/>
    <mergeCell ref="D143:E143"/>
    <mergeCell ref="D144:E144"/>
    <mergeCell ref="D145:E145"/>
    <mergeCell ref="D146:E146"/>
    <mergeCell ref="D147:E147"/>
    <mergeCell ref="D148:E148"/>
    <mergeCell ref="D137:E137"/>
    <mergeCell ref="D138:E138"/>
    <mergeCell ref="D139:E139"/>
    <mergeCell ref="D140:E140"/>
    <mergeCell ref="D141:E141"/>
    <mergeCell ref="D142:E142"/>
    <mergeCell ref="D131:E131"/>
    <mergeCell ref="D132:E132"/>
    <mergeCell ref="D133:E133"/>
    <mergeCell ref="D134:E134"/>
    <mergeCell ref="D135:E135"/>
    <mergeCell ref="D136:E136"/>
    <mergeCell ref="D161:E161"/>
    <mergeCell ref="D162:E162"/>
    <mergeCell ref="D163:E163"/>
    <mergeCell ref="D164:E164"/>
    <mergeCell ref="D165:E165"/>
    <mergeCell ref="D166:E166"/>
    <mergeCell ref="D155:E155"/>
    <mergeCell ref="D156:E156"/>
    <mergeCell ref="D157:E157"/>
    <mergeCell ref="D158:E158"/>
    <mergeCell ref="D159:E159"/>
    <mergeCell ref="D160:E160"/>
    <mergeCell ref="D149:E149"/>
    <mergeCell ref="D150:E150"/>
    <mergeCell ref="D151:E151"/>
    <mergeCell ref="D152:E152"/>
    <mergeCell ref="D153:E153"/>
    <mergeCell ref="D154:E154"/>
    <mergeCell ref="D179:E179"/>
    <mergeCell ref="D180:E180"/>
    <mergeCell ref="D181:E181"/>
    <mergeCell ref="D182:E182"/>
    <mergeCell ref="D183:E183"/>
    <mergeCell ref="D184:E184"/>
    <mergeCell ref="D173:E173"/>
    <mergeCell ref="D174:E174"/>
    <mergeCell ref="D175:E175"/>
    <mergeCell ref="D176:E176"/>
    <mergeCell ref="D177:E177"/>
    <mergeCell ref="D178:E178"/>
    <mergeCell ref="D167:E167"/>
    <mergeCell ref="D168:E168"/>
    <mergeCell ref="D169:E169"/>
    <mergeCell ref="D170:E170"/>
    <mergeCell ref="D171:E171"/>
    <mergeCell ref="D172:E172"/>
    <mergeCell ref="D197:E197"/>
    <mergeCell ref="D198:E198"/>
    <mergeCell ref="D199:E199"/>
    <mergeCell ref="D200:E200"/>
    <mergeCell ref="D201:E201"/>
    <mergeCell ref="D202:E202"/>
    <mergeCell ref="D191:E191"/>
    <mergeCell ref="D192:E192"/>
    <mergeCell ref="D193:E193"/>
    <mergeCell ref="D194:E194"/>
    <mergeCell ref="D195:E195"/>
    <mergeCell ref="D196:E196"/>
    <mergeCell ref="D185:E185"/>
    <mergeCell ref="D186:E186"/>
    <mergeCell ref="D187:E187"/>
    <mergeCell ref="D188:E188"/>
    <mergeCell ref="D189:E189"/>
    <mergeCell ref="D190:E190"/>
    <mergeCell ref="D215:E215"/>
    <mergeCell ref="D216:E216"/>
    <mergeCell ref="D217:E217"/>
    <mergeCell ref="D218:E218"/>
    <mergeCell ref="D219:E219"/>
    <mergeCell ref="D220:E220"/>
    <mergeCell ref="D209:E209"/>
    <mergeCell ref="D210:E210"/>
    <mergeCell ref="D211:E211"/>
    <mergeCell ref="D212:E212"/>
    <mergeCell ref="D213:E213"/>
    <mergeCell ref="D214:E214"/>
    <mergeCell ref="D203:E203"/>
    <mergeCell ref="D204:E204"/>
    <mergeCell ref="D205:E205"/>
    <mergeCell ref="D206:E206"/>
    <mergeCell ref="D207:E207"/>
    <mergeCell ref="D208:E208"/>
    <mergeCell ref="D233:E233"/>
    <mergeCell ref="D234:E234"/>
    <mergeCell ref="D235:E235"/>
    <mergeCell ref="D236:E236"/>
    <mergeCell ref="D237:E237"/>
    <mergeCell ref="D238:E238"/>
    <mergeCell ref="D227:E227"/>
    <mergeCell ref="D228:E228"/>
    <mergeCell ref="D229:E229"/>
    <mergeCell ref="D230:E230"/>
    <mergeCell ref="D231:E231"/>
    <mergeCell ref="D232:E232"/>
    <mergeCell ref="D221:E221"/>
    <mergeCell ref="D222:E222"/>
    <mergeCell ref="D223:E223"/>
    <mergeCell ref="D224:E224"/>
    <mergeCell ref="D225:E225"/>
    <mergeCell ref="D226:E226"/>
    <mergeCell ref="D251:E251"/>
    <mergeCell ref="D252:E252"/>
    <mergeCell ref="D253:E253"/>
    <mergeCell ref="D254:E254"/>
    <mergeCell ref="D255:E255"/>
    <mergeCell ref="D256:E256"/>
    <mergeCell ref="D245:E245"/>
    <mergeCell ref="D246:E246"/>
    <mergeCell ref="D247:E247"/>
    <mergeCell ref="D248:E248"/>
    <mergeCell ref="D249:E249"/>
    <mergeCell ref="D250:E250"/>
    <mergeCell ref="D239:E239"/>
    <mergeCell ref="D240:E240"/>
    <mergeCell ref="D241:E241"/>
    <mergeCell ref="D242:E242"/>
    <mergeCell ref="D243:E243"/>
    <mergeCell ref="D244:E244"/>
    <mergeCell ref="D269:E269"/>
    <mergeCell ref="D270:E270"/>
    <mergeCell ref="D271:E271"/>
    <mergeCell ref="D272:E272"/>
    <mergeCell ref="D273:E273"/>
    <mergeCell ref="D274:E274"/>
    <mergeCell ref="D263:E263"/>
    <mergeCell ref="D264:E264"/>
    <mergeCell ref="D265:E265"/>
    <mergeCell ref="D266:E266"/>
    <mergeCell ref="D267:E267"/>
    <mergeCell ref="D268:E268"/>
    <mergeCell ref="D257:E257"/>
    <mergeCell ref="D258:E258"/>
    <mergeCell ref="D259:E259"/>
    <mergeCell ref="D260:E260"/>
    <mergeCell ref="D261:E261"/>
    <mergeCell ref="D262:E262"/>
    <mergeCell ref="D287:E287"/>
    <mergeCell ref="D288:E288"/>
    <mergeCell ref="D289:E289"/>
    <mergeCell ref="D290:E290"/>
    <mergeCell ref="D291:E291"/>
    <mergeCell ref="D292:E292"/>
    <mergeCell ref="D281:E281"/>
    <mergeCell ref="D282:E282"/>
    <mergeCell ref="D283:E283"/>
    <mergeCell ref="D284:E284"/>
    <mergeCell ref="D285:E285"/>
    <mergeCell ref="D286:E286"/>
    <mergeCell ref="D275:E275"/>
    <mergeCell ref="D276:E276"/>
    <mergeCell ref="D277:E277"/>
    <mergeCell ref="D278:E278"/>
    <mergeCell ref="D279:E279"/>
    <mergeCell ref="D280:E280"/>
    <mergeCell ref="D305:E305"/>
    <mergeCell ref="D306:E306"/>
    <mergeCell ref="D307:E307"/>
    <mergeCell ref="D308:E308"/>
    <mergeCell ref="D309:E309"/>
    <mergeCell ref="D310:E310"/>
    <mergeCell ref="D299:E299"/>
    <mergeCell ref="D300:E300"/>
    <mergeCell ref="D301:E301"/>
    <mergeCell ref="D302:E302"/>
    <mergeCell ref="D303:E303"/>
    <mergeCell ref="D304:E304"/>
    <mergeCell ref="D293:E293"/>
    <mergeCell ref="D294:E294"/>
    <mergeCell ref="D295:E295"/>
    <mergeCell ref="D296:E296"/>
    <mergeCell ref="D297:E297"/>
    <mergeCell ref="D298:E298"/>
    <mergeCell ref="D323:E323"/>
    <mergeCell ref="D324:E324"/>
    <mergeCell ref="D325:E325"/>
    <mergeCell ref="D326:E326"/>
    <mergeCell ref="D327:E327"/>
    <mergeCell ref="D328:E328"/>
    <mergeCell ref="D317:E317"/>
    <mergeCell ref="D318:E318"/>
    <mergeCell ref="D319:E319"/>
    <mergeCell ref="D320:E320"/>
    <mergeCell ref="D321:E321"/>
    <mergeCell ref="D322:E322"/>
    <mergeCell ref="D311:E311"/>
    <mergeCell ref="D312:E312"/>
    <mergeCell ref="D313:E313"/>
    <mergeCell ref="D314:E314"/>
    <mergeCell ref="D315:E315"/>
    <mergeCell ref="D316:E316"/>
    <mergeCell ref="D341:E341"/>
    <mergeCell ref="D342:E342"/>
    <mergeCell ref="D343:E343"/>
    <mergeCell ref="D344:E344"/>
    <mergeCell ref="D345:E345"/>
    <mergeCell ref="D346:E346"/>
    <mergeCell ref="D335:E335"/>
    <mergeCell ref="D336:E336"/>
    <mergeCell ref="D337:E337"/>
    <mergeCell ref="D338:E338"/>
    <mergeCell ref="D339:E339"/>
    <mergeCell ref="D340:E340"/>
    <mergeCell ref="D329:E329"/>
    <mergeCell ref="D330:E330"/>
    <mergeCell ref="D331:E331"/>
    <mergeCell ref="D332:E332"/>
    <mergeCell ref="D333:E333"/>
    <mergeCell ref="D334:E334"/>
    <mergeCell ref="D359:E359"/>
    <mergeCell ref="D360:E360"/>
    <mergeCell ref="D361:E361"/>
    <mergeCell ref="D362:E362"/>
    <mergeCell ref="D363:E363"/>
    <mergeCell ref="D364:E364"/>
    <mergeCell ref="D353:E353"/>
    <mergeCell ref="D354:E354"/>
    <mergeCell ref="D355:E355"/>
    <mergeCell ref="D356:E356"/>
    <mergeCell ref="D357:E357"/>
    <mergeCell ref="D358:E358"/>
    <mergeCell ref="D347:E347"/>
    <mergeCell ref="D348:E348"/>
    <mergeCell ref="D349:E349"/>
    <mergeCell ref="D350:E350"/>
    <mergeCell ref="D351:E351"/>
    <mergeCell ref="D352:E352"/>
    <mergeCell ref="D377:E377"/>
    <mergeCell ref="D378:E378"/>
    <mergeCell ref="D379:E379"/>
    <mergeCell ref="D380:E380"/>
    <mergeCell ref="D381:E381"/>
    <mergeCell ref="D382:E382"/>
    <mergeCell ref="D371:E371"/>
    <mergeCell ref="D372:E372"/>
    <mergeCell ref="D373:E373"/>
    <mergeCell ref="D374:E374"/>
    <mergeCell ref="D375:E375"/>
    <mergeCell ref="D376:E376"/>
    <mergeCell ref="D365:E365"/>
    <mergeCell ref="D366:E366"/>
    <mergeCell ref="D367:E367"/>
    <mergeCell ref="D368:E368"/>
    <mergeCell ref="D369:E369"/>
    <mergeCell ref="D370:E370"/>
    <mergeCell ref="D395:E395"/>
    <mergeCell ref="D396:E396"/>
    <mergeCell ref="D397:E397"/>
    <mergeCell ref="D398:E398"/>
    <mergeCell ref="D399:E399"/>
    <mergeCell ref="D400:E400"/>
    <mergeCell ref="D389:E389"/>
    <mergeCell ref="D390:E390"/>
    <mergeCell ref="D391:E391"/>
    <mergeCell ref="D392:E392"/>
    <mergeCell ref="D393:E393"/>
    <mergeCell ref="D394:E394"/>
    <mergeCell ref="D383:E383"/>
    <mergeCell ref="D384:E384"/>
    <mergeCell ref="D385:E385"/>
    <mergeCell ref="D386:E386"/>
    <mergeCell ref="D387:E387"/>
    <mergeCell ref="D388:E388"/>
    <mergeCell ref="D413:E413"/>
    <mergeCell ref="D414:E414"/>
    <mergeCell ref="D415:E415"/>
    <mergeCell ref="D416:E416"/>
    <mergeCell ref="D417:E417"/>
    <mergeCell ref="D418:E418"/>
    <mergeCell ref="D407:E407"/>
    <mergeCell ref="D408:E408"/>
    <mergeCell ref="D409:E409"/>
    <mergeCell ref="D410:E410"/>
    <mergeCell ref="D411:E411"/>
    <mergeCell ref="D412:E412"/>
    <mergeCell ref="D401:E401"/>
    <mergeCell ref="D402:E402"/>
    <mergeCell ref="D403:E403"/>
    <mergeCell ref="D404:E404"/>
    <mergeCell ref="D405:E405"/>
    <mergeCell ref="D406:E406"/>
    <mergeCell ref="D431:E431"/>
    <mergeCell ref="D432:E432"/>
    <mergeCell ref="D433:E433"/>
    <mergeCell ref="D434:E434"/>
    <mergeCell ref="D435:E435"/>
    <mergeCell ref="D436:E436"/>
    <mergeCell ref="D425:E425"/>
    <mergeCell ref="D426:E426"/>
    <mergeCell ref="D427:E427"/>
    <mergeCell ref="D428:E428"/>
    <mergeCell ref="D429:E429"/>
    <mergeCell ref="D430:E430"/>
    <mergeCell ref="D419:E419"/>
    <mergeCell ref="D420:E420"/>
    <mergeCell ref="D421:E421"/>
    <mergeCell ref="D422:E422"/>
    <mergeCell ref="D423:E423"/>
    <mergeCell ref="D424:E424"/>
    <mergeCell ref="D449:E449"/>
    <mergeCell ref="D450:E450"/>
    <mergeCell ref="D451:E451"/>
    <mergeCell ref="D452:E452"/>
    <mergeCell ref="D453:E453"/>
    <mergeCell ref="D454:E454"/>
    <mergeCell ref="D443:E443"/>
    <mergeCell ref="D444:E444"/>
    <mergeCell ref="D445:E445"/>
    <mergeCell ref="D446:E446"/>
    <mergeCell ref="D447:E447"/>
    <mergeCell ref="D448:E448"/>
    <mergeCell ref="D437:E437"/>
    <mergeCell ref="D438:E438"/>
    <mergeCell ref="D439:E439"/>
    <mergeCell ref="D440:E440"/>
    <mergeCell ref="D441:E441"/>
    <mergeCell ref="D442:E442"/>
    <mergeCell ref="D467:E467"/>
    <mergeCell ref="D468:E468"/>
    <mergeCell ref="D469:E469"/>
    <mergeCell ref="D470:E470"/>
    <mergeCell ref="D471:E471"/>
    <mergeCell ref="D472:E472"/>
    <mergeCell ref="D461:E461"/>
    <mergeCell ref="D462:E462"/>
    <mergeCell ref="D463:E463"/>
    <mergeCell ref="D464:E464"/>
    <mergeCell ref="D465:E465"/>
    <mergeCell ref="D466:E466"/>
    <mergeCell ref="D455:E455"/>
    <mergeCell ref="D456:E456"/>
    <mergeCell ref="D457:E457"/>
    <mergeCell ref="D458:E458"/>
    <mergeCell ref="D459:E459"/>
    <mergeCell ref="D460:E460"/>
    <mergeCell ref="D485:E485"/>
    <mergeCell ref="D486:E486"/>
    <mergeCell ref="D487:E487"/>
    <mergeCell ref="D488:E488"/>
    <mergeCell ref="D489:E489"/>
    <mergeCell ref="D490:E490"/>
    <mergeCell ref="D479:E479"/>
    <mergeCell ref="D480:E480"/>
    <mergeCell ref="D481:E481"/>
    <mergeCell ref="D482:E482"/>
    <mergeCell ref="D483:E483"/>
    <mergeCell ref="D484:E484"/>
    <mergeCell ref="D473:E473"/>
    <mergeCell ref="D474:E474"/>
    <mergeCell ref="D475:E475"/>
    <mergeCell ref="D476:E476"/>
    <mergeCell ref="D477:E477"/>
    <mergeCell ref="D478:E478"/>
    <mergeCell ref="D503:E503"/>
    <mergeCell ref="D504:E504"/>
    <mergeCell ref="D505:E505"/>
    <mergeCell ref="D506:E506"/>
    <mergeCell ref="D507:E507"/>
    <mergeCell ref="D508:E508"/>
    <mergeCell ref="D497:E497"/>
    <mergeCell ref="D498:E498"/>
    <mergeCell ref="D499:E499"/>
    <mergeCell ref="D500:E500"/>
    <mergeCell ref="D501:E501"/>
    <mergeCell ref="D502:E502"/>
    <mergeCell ref="D491:E491"/>
    <mergeCell ref="D492:E492"/>
    <mergeCell ref="D493:E493"/>
    <mergeCell ref="D494:E494"/>
    <mergeCell ref="D495:E495"/>
    <mergeCell ref="D496:E496"/>
    <mergeCell ref="D521:E521"/>
    <mergeCell ref="D522:E522"/>
    <mergeCell ref="D523:E523"/>
    <mergeCell ref="D524:E524"/>
    <mergeCell ref="D525:E525"/>
    <mergeCell ref="D526:E526"/>
    <mergeCell ref="D515:E515"/>
    <mergeCell ref="D516:E516"/>
    <mergeCell ref="D517:E517"/>
    <mergeCell ref="D518:E518"/>
    <mergeCell ref="D519:E519"/>
    <mergeCell ref="D520:E520"/>
    <mergeCell ref="D509:E509"/>
    <mergeCell ref="D510:E510"/>
    <mergeCell ref="D511:E511"/>
    <mergeCell ref="D512:E512"/>
    <mergeCell ref="D513:E513"/>
    <mergeCell ref="D514:E514"/>
    <mergeCell ref="D539:E539"/>
    <mergeCell ref="D540:E540"/>
    <mergeCell ref="D541:E541"/>
    <mergeCell ref="D542:E542"/>
    <mergeCell ref="D543:E543"/>
    <mergeCell ref="D544:E544"/>
    <mergeCell ref="D533:E533"/>
    <mergeCell ref="D534:E534"/>
    <mergeCell ref="D535:E535"/>
    <mergeCell ref="D536:E536"/>
    <mergeCell ref="D537:E537"/>
    <mergeCell ref="D538:E538"/>
    <mergeCell ref="D527:E527"/>
    <mergeCell ref="D528:E528"/>
    <mergeCell ref="D529:E529"/>
    <mergeCell ref="D530:E530"/>
    <mergeCell ref="D531:E531"/>
    <mergeCell ref="D532:E532"/>
    <mergeCell ref="D557:E557"/>
    <mergeCell ref="D558:E558"/>
    <mergeCell ref="D559:E559"/>
    <mergeCell ref="D560:E560"/>
    <mergeCell ref="D561:E561"/>
    <mergeCell ref="D562:E562"/>
    <mergeCell ref="D551:E551"/>
    <mergeCell ref="D552:E552"/>
    <mergeCell ref="D553:E553"/>
    <mergeCell ref="D554:E554"/>
    <mergeCell ref="D555:E555"/>
    <mergeCell ref="D556:E556"/>
    <mergeCell ref="D545:E545"/>
    <mergeCell ref="D546:E546"/>
    <mergeCell ref="D547:E547"/>
    <mergeCell ref="D548:E548"/>
    <mergeCell ref="D549:E549"/>
    <mergeCell ref="D550:E550"/>
    <mergeCell ref="D575:E575"/>
    <mergeCell ref="D576:E576"/>
    <mergeCell ref="D577:E577"/>
    <mergeCell ref="D578:E578"/>
    <mergeCell ref="D579:E579"/>
    <mergeCell ref="D580:E580"/>
    <mergeCell ref="D569:E569"/>
    <mergeCell ref="D570:E570"/>
    <mergeCell ref="D571:E571"/>
    <mergeCell ref="D572:E572"/>
    <mergeCell ref="D573:E573"/>
    <mergeCell ref="D574:E574"/>
    <mergeCell ref="D563:E563"/>
    <mergeCell ref="D564:E564"/>
    <mergeCell ref="D565:E565"/>
    <mergeCell ref="D566:E566"/>
    <mergeCell ref="D567:E567"/>
    <mergeCell ref="D568:E568"/>
    <mergeCell ref="D593:E593"/>
    <mergeCell ref="D594:E594"/>
    <mergeCell ref="D595:E595"/>
    <mergeCell ref="D596:E596"/>
    <mergeCell ref="D597:E597"/>
    <mergeCell ref="D598:E598"/>
    <mergeCell ref="D587:E587"/>
    <mergeCell ref="D588:E588"/>
    <mergeCell ref="D589:E589"/>
    <mergeCell ref="D590:E590"/>
    <mergeCell ref="D591:E591"/>
    <mergeCell ref="D592:E592"/>
    <mergeCell ref="D581:E581"/>
    <mergeCell ref="D582:E582"/>
    <mergeCell ref="D583:E583"/>
    <mergeCell ref="D584:E584"/>
    <mergeCell ref="D585:E585"/>
    <mergeCell ref="D586:E586"/>
    <mergeCell ref="D611:E611"/>
    <mergeCell ref="D612:E612"/>
    <mergeCell ref="D613:E613"/>
    <mergeCell ref="D614:E614"/>
    <mergeCell ref="D615:E615"/>
    <mergeCell ref="D616:E616"/>
    <mergeCell ref="D605:E605"/>
    <mergeCell ref="D606:E606"/>
    <mergeCell ref="D607:E607"/>
    <mergeCell ref="D608:E608"/>
    <mergeCell ref="D609:E609"/>
    <mergeCell ref="D610:E610"/>
    <mergeCell ref="D599:E599"/>
    <mergeCell ref="D600:E600"/>
    <mergeCell ref="D601:E601"/>
    <mergeCell ref="D602:E602"/>
    <mergeCell ref="D603:E603"/>
    <mergeCell ref="D604:E604"/>
    <mergeCell ref="D629:E629"/>
    <mergeCell ref="D630:E630"/>
    <mergeCell ref="D631:E631"/>
    <mergeCell ref="D632:E632"/>
    <mergeCell ref="D633:E633"/>
    <mergeCell ref="D634:E634"/>
    <mergeCell ref="D623:E623"/>
    <mergeCell ref="D624:E624"/>
    <mergeCell ref="D625:E625"/>
    <mergeCell ref="D626:E626"/>
    <mergeCell ref="D627:E627"/>
    <mergeCell ref="D628:E628"/>
    <mergeCell ref="D617:E617"/>
    <mergeCell ref="D618:E618"/>
    <mergeCell ref="D619:E619"/>
    <mergeCell ref="D620:E620"/>
    <mergeCell ref="D621:E621"/>
    <mergeCell ref="D622:E622"/>
    <mergeCell ref="D647:E647"/>
    <mergeCell ref="D648:E648"/>
    <mergeCell ref="D649:E649"/>
    <mergeCell ref="D650:E650"/>
    <mergeCell ref="D651:E651"/>
    <mergeCell ref="D652:E652"/>
    <mergeCell ref="D641:E641"/>
    <mergeCell ref="D642:E642"/>
    <mergeCell ref="D643:E643"/>
    <mergeCell ref="D644:E644"/>
    <mergeCell ref="D645:E645"/>
    <mergeCell ref="D646:E646"/>
    <mergeCell ref="D635:E635"/>
    <mergeCell ref="D636:E636"/>
    <mergeCell ref="D637:E637"/>
    <mergeCell ref="D638:E638"/>
    <mergeCell ref="D639:E639"/>
    <mergeCell ref="D640:E640"/>
    <mergeCell ref="D665:E665"/>
    <mergeCell ref="D666:E666"/>
    <mergeCell ref="D667:E667"/>
    <mergeCell ref="D668:E668"/>
    <mergeCell ref="D669:E669"/>
    <mergeCell ref="D670:E670"/>
    <mergeCell ref="D659:E659"/>
    <mergeCell ref="D660:E660"/>
    <mergeCell ref="D661:E661"/>
    <mergeCell ref="D662:E662"/>
    <mergeCell ref="D663:E663"/>
    <mergeCell ref="D664:E664"/>
    <mergeCell ref="D653:E653"/>
    <mergeCell ref="D654:E654"/>
    <mergeCell ref="D655:E655"/>
    <mergeCell ref="D656:E656"/>
    <mergeCell ref="D657:E657"/>
    <mergeCell ref="D658:E658"/>
    <mergeCell ref="D683:E683"/>
    <mergeCell ref="D684:E684"/>
    <mergeCell ref="D685:E685"/>
    <mergeCell ref="D686:E686"/>
    <mergeCell ref="D687:E687"/>
    <mergeCell ref="D688:E688"/>
    <mergeCell ref="D677:E677"/>
    <mergeCell ref="D678:E678"/>
    <mergeCell ref="D679:E679"/>
    <mergeCell ref="D680:E680"/>
    <mergeCell ref="D681:E681"/>
    <mergeCell ref="D682:E682"/>
    <mergeCell ref="D671:E671"/>
    <mergeCell ref="D672:E672"/>
    <mergeCell ref="D673:E673"/>
    <mergeCell ref="D674:E674"/>
    <mergeCell ref="D675:E675"/>
    <mergeCell ref="D676:E676"/>
    <mergeCell ref="D701:E701"/>
    <mergeCell ref="D702:E702"/>
    <mergeCell ref="D703:E703"/>
    <mergeCell ref="D704:E704"/>
    <mergeCell ref="D705:E705"/>
    <mergeCell ref="D706:E706"/>
    <mergeCell ref="D695:E695"/>
    <mergeCell ref="D696:E696"/>
    <mergeCell ref="D697:E697"/>
    <mergeCell ref="D698:E698"/>
    <mergeCell ref="D699:E699"/>
    <mergeCell ref="D700:E700"/>
    <mergeCell ref="D689:E689"/>
    <mergeCell ref="D690:E690"/>
    <mergeCell ref="D691:E691"/>
    <mergeCell ref="D692:E692"/>
    <mergeCell ref="D693:E693"/>
    <mergeCell ref="D694:E694"/>
    <mergeCell ref="D719:E719"/>
    <mergeCell ref="D720:E720"/>
    <mergeCell ref="D721:E721"/>
    <mergeCell ref="D722:E722"/>
    <mergeCell ref="D723:E723"/>
    <mergeCell ref="D724:E724"/>
    <mergeCell ref="D713:E713"/>
    <mergeCell ref="D714:E714"/>
    <mergeCell ref="D715:E715"/>
    <mergeCell ref="D716:E716"/>
    <mergeCell ref="D717:E717"/>
    <mergeCell ref="D718:E718"/>
    <mergeCell ref="D707:E707"/>
    <mergeCell ref="D708:E708"/>
    <mergeCell ref="D709:E709"/>
    <mergeCell ref="D710:E710"/>
    <mergeCell ref="D711:E711"/>
    <mergeCell ref="D712:E712"/>
    <mergeCell ref="D737:E737"/>
    <mergeCell ref="D738:E738"/>
    <mergeCell ref="D739:E739"/>
    <mergeCell ref="D740:E740"/>
    <mergeCell ref="D741:E741"/>
    <mergeCell ref="D742:E742"/>
    <mergeCell ref="D731:E731"/>
    <mergeCell ref="D732:E732"/>
    <mergeCell ref="D733:E733"/>
    <mergeCell ref="D734:E734"/>
    <mergeCell ref="D735:E735"/>
    <mergeCell ref="D736:E736"/>
    <mergeCell ref="D725:E725"/>
    <mergeCell ref="D726:E726"/>
    <mergeCell ref="D727:E727"/>
    <mergeCell ref="D728:E728"/>
    <mergeCell ref="D729:E729"/>
    <mergeCell ref="D730:E730"/>
    <mergeCell ref="D755:E755"/>
    <mergeCell ref="D756:E756"/>
    <mergeCell ref="D757:E757"/>
    <mergeCell ref="D758:E758"/>
    <mergeCell ref="D759:E759"/>
    <mergeCell ref="D760:E760"/>
    <mergeCell ref="D749:E749"/>
    <mergeCell ref="D750:E750"/>
    <mergeCell ref="D751:E751"/>
    <mergeCell ref="D752:E752"/>
    <mergeCell ref="D753:E753"/>
    <mergeCell ref="D754:E754"/>
    <mergeCell ref="D743:E743"/>
    <mergeCell ref="D744:E744"/>
    <mergeCell ref="D745:E745"/>
    <mergeCell ref="D746:E746"/>
    <mergeCell ref="D747:E747"/>
    <mergeCell ref="D748:E748"/>
    <mergeCell ref="D773:E773"/>
    <mergeCell ref="D774:E774"/>
    <mergeCell ref="D775:E775"/>
    <mergeCell ref="D776:E776"/>
    <mergeCell ref="D777:E777"/>
    <mergeCell ref="D778:E778"/>
    <mergeCell ref="D767:E767"/>
    <mergeCell ref="D768:E768"/>
    <mergeCell ref="D769:E769"/>
    <mergeCell ref="D770:E770"/>
    <mergeCell ref="D771:E771"/>
    <mergeCell ref="D772:E772"/>
    <mergeCell ref="D761:E761"/>
    <mergeCell ref="D762:E762"/>
    <mergeCell ref="D763:E763"/>
    <mergeCell ref="D764:E764"/>
    <mergeCell ref="D765:E765"/>
    <mergeCell ref="D766:E766"/>
    <mergeCell ref="D791:E791"/>
    <mergeCell ref="D792:E792"/>
    <mergeCell ref="D793:E793"/>
    <mergeCell ref="D794:E794"/>
    <mergeCell ref="D795:E795"/>
    <mergeCell ref="D796:E796"/>
    <mergeCell ref="D785:E785"/>
    <mergeCell ref="D786:E786"/>
    <mergeCell ref="D787:E787"/>
    <mergeCell ref="D788:E788"/>
    <mergeCell ref="D789:E789"/>
    <mergeCell ref="D790:E790"/>
    <mergeCell ref="D779:E779"/>
    <mergeCell ref="D780:E780"/>
    <mergeCell ref="D781:E781"/>
    <mergeCell ref="D782:E782"/>
    <mergeCell ref="D783:E783"/>
    <mergeCell ref="D784:E784"/>
    <mergeCell ref="D809:E809"/>
    <mergeCell ref="D810:E810"/>
    <mergeCell ref="D811:E811"/>
    <mergeCell ref="D812:E812"/>
    <mergeCell ref="D813:E813"/>
    <mergeCell ref="D814:E814"/>
    <mergeCell ref="D803:E803"/>
    <mergeCell ref="D804:E804"/>
    <mergeCell ref="D805:E805"/>
    <mergeCell ref="D806:E806"/>
    <mergeCell ref="D807:E807"/>
    <mergeCell ref="D808:E808"/>
    <mergeCell ref="D797:E797"/>
    <mergeCell ref="D798:E798"/>
    <mergeCell ref="D799:E799"/>
    <mergeCell ref="D800:E800"/>
    <mergeCell ref="D801:E801"/>
    <mergeCell ref="D802:E802"/>
    <mergeCell ref="D827:E827"/>
    <mergeCell ref="D828:E828"/>
    <mergeCell ref="D829:E829"/>
    <mergeCell ref="D830:E830"/>
    <mergeCell ref="D831:E831"/>
    <mergeCell ref="D832:E832"/>
    <mergeCell ref="D821:E821"/>
    <mergeCell ref="D822:E822"/>
    <mergeCell ref="D823:E823"/>
    <mergeCell ref="D824:E824"/>
    <mergeCell ref="D825:E825"/>
    <mergeCell ref="D826:E826"/>
    <mergeCell ref="D815:E815"/>
    <mergeCell ref="D816:E816"/>
    <mergeCell ref="D817:E817"/>
    <mergeCell ref="D818:E818"/>
    <mergeCell ref="D819:E819"/>
    <mergeCell ref="D820:E820"/>
    <mergeCell ref="D845:E845"/>
    <mergeCell ref="D846:E846"/>
    <mergeCell ref="D847:E847"/>
    <mergeCell ref="D848:E848"/>
    <mergeCell ref="D849:E849"/>
    <mergeCell ref="D850:E850"/>
    <mergeCell ref="D839:E839"/>
    <mergeCell ref="D840:E840"/>
    <mergeCell ref="D841:E841"/>
    <mergeCell ref="D842:E842"/>
    <mergeCell ref="D843:E843"/>
    <mergeCell ref="D844:E844"/>
    <mergeCell ref="D833:E833"/>
    <mergeCell ref="D834:E834"/>
    <mergeCell ref="D835:E835"/>
    <mergeCell ref="D836:E836"/>
    <mergeCell ref="D837:E837"/>
    <mergeCell ref="D838:E838"/>
    <mergeCell ref="D863:E863"/>
    <mergeCell ref="D864:E864"/>
    <mergeCell ref="D865:E865"/>
    <mergeCell ref="D866:E866"/>
    <mergeCell ref="D867:E867"/>
    <mergeCell ref="D868:E868"/>
    <mergeCell ref="D857:E857"/>
    <mergeCell ref="D858:E858"/>
    <mergeCell ref="D859:E859"/>
    <mergeCell ref="D860:E860"/>
    <mergeCell ref="D861:E861"/>
    <mergeCell ref="D862:E862"/>
    <mergeCell ref="D851:E851"/>
    <mergeCell ref="D852:E852"/>
    <mergeCell ref="D853:E853"/>
    <mergeCell ref="D854:E854"/>
    <mergeCell ref="D855:E855"/>
    <mergeCell ref="D856:E856"/>
    <mergeCell ref="D881:E881"/>
    <mergeCell ref="D882:E882"/>
    <mergeCell ref="D883:E883"/>
    <mergeCell ref="D884:E884"/>
    <mergeCell ref="D885:E885"/>
    <mergeCell ref="D886:E886"/>
    <mergeCell ref="D875:E875"/>
    <mergeCell ref="D876:E876"/>
    <mergeCell ref="D877:E877"/>
    <mergeCell ref="D878:E878"/>
    <mergeCell ref="D879:E879"/>
    <mergeCell ref="D880:E880"/>
    <mergeCell ref="D869:E869"/>
    <mergeCell ref="D870:E870"/>
    <mergeCell ref="D871:E871"/>
    <mergeCell ref="D872:E872"/>
    <mergeCell ref="D873:E873"/>
    <mergeCell ref="D874:E874"/>
    <mergeCell ref="D899:E899"/>
    <mergeCell ref="D900:E900"/>
    <mergeCell ref="D901:E901"/>
    <mergeCell ref="D902:E902"/>
    <mergeCell ref="D903:E903"/>
    <mergeCell ref="D904:E904"/>
    <mergeCell ref="D893:E893"/>
    <mergeCell ref="D894:E894"/>
    <mergeCell ref="D895:E895"/>
    <mergeCell ref="D896:E896"/>
    <mergeCell ref="D897:E897"/>
    <mergeCell ref="D898:E898"/>
    <mergeCell ref="D887:E887"/>
    <mergeCell ref="D888:E888"/>
    <mergeCell ref="D889:E889"/>
    <mergeCell ref="D890:E890"/>
    <mergeCell ref="D891:E891"/>
    <mergeCell ref="D892:E892"/>
    <mergeCell ref="D917:E917"/>
    <mergeCell ref="D918:E918"/>
    <mergeCell ref="D919:E919"/>
    <mergeCell ref="D920:E920"/>
    <mergeCell ref="D921:E921"/>
    <mergeCell ref="D922:E922"/>
    <mergeCell ref="D911:E911"/>
    <mergeCell ref="D912:E912"/>
    <mergeCell ref="D913:E913"/>
    <mergeCell ref="D914:E914"/>
    <mergeCell ref="D915:E915"/>
    <mergeCell ref="D916:E916"/>
    <mergeCell ref="D905:E905"/>
    <mergeCell ref="D906:E906"/>
    <mergeCell ref="D907:E907"/>
    <mergeCell ref="D908:E908"/>
    <mergeCell ref="D909:E909"/>
    <mergeCell ref="D910:E910"/>
    <mergeCell ref="D935:E935"/>
    <mergeCell ref="D936:E936"/>
    <mergeCell ref="D937:E937"/>
    <mergeCell ref="D938:E938"/>
    <mergeCell ref="D939:E939"/>
    <mergeCell ref="D940:E940"/>
    <mergeCell ref="D929:E929"/>
    <mergeCell ref="D930:E930"/>
    <mergeCell ref="D931:E931"/>
    <mergeCell ref="D932:E932"/>
    <mergeCell ref="D933:E933"/>
    <mergeCell ref="D934:E934"/>
    <mergeCell ref="D923:E923"/>
    <mergeCell ref="D924:E924"/>
    <mergeCell ref="D925:E925"/>
    <mergeCell ref="D926:E926"/>
    <mergeCell ref="D927:E927"/>
    <mergeCell ref="D928:E928"/>
    <mergeCell ref="D953:E953"/>
    <mergeCell ref="D954:E954"/>
    <mergeCell ref="D955:E955"/>
    <mergeCell ref="D956:E956"/>
    <mergeCell ref="D957:E957"/>
    <mergeCell ref="D958:E958"/>
    <mergeCell ref="D947:E947"/>
    <mergeCell ref="D948:E948"/>
    <mergeCell ref="D949:E949"/>
    <mergeCell ref="D950:E950"/>
    <mergeCell ref="D951:E951"/>
    <mergeCell ref="D952:E952"/>
    <mergeCell ref="D941:E941"/>
    <mergeCell ref="D942:E942"/>
    <mergeCell ref="D943:E943"/>
    <mergeCell ref="D944:E944"/>
    <mergeCell ref="D945:E945"/>
    <mergeCell ref="D946:E946"/>
    <mergeCell ref="D971:E971"/>
    <mergeCell ref="D972:E972"/>
    <mergeCell ref="D973:E973"/>
    <mergeCell ref="D974:E974"/>
    <mergeCell ref="D975:E975"/>
    <mergeCell ref="D976:E976"/>
    <mergeCell ref="D965:E965"/>
    <mergeCell ref="D966:E966"/>
    <mergeCell ref="D967:E967"/>
    <mergeCell ref="D968:E968"/>
    <mergeCell ref="D969:E969"/>
    <mergeCell ref="D970:E970"/>
    <mergeCell ref="D959:E959"/>
    <mergeCell ref="D960:E960"/>
    <mergeCell ref="D961:E961"/>
    <mergeCell ref="D962:E962"/>
    <mergeCell ref="D963:E963"/>
    <mergeCell ref="D964:E964"/>
    <mergeCell ref="D989:E989"/>
    <mergeCell ref="D990:E990"/>
    <mergeCell ref="D991:E991"/>
    <mergeCell ref="D992:E992"/>
    <mergeCell ref="D993:E993"/>
    <mergeCell ref="D994:E994"/>
    <mergeCell ref="D983:E983"/>
    <mergeCell ref="D984:E984"/>
    <mergeCell ref="D985:E985"/>
    <mergeCell ref="D986:E986"/>
    <mergeCell ref="D987:E987"/>
    <mergeCell ref="D988:E988"/>
    <mergeCell ref="D977:E977"/>
    <mergeCell ref="D978:E978"/>
    <mergeCell ref="D979:E979"/>
    <mergeCell ref="D980:E980"/>
    <mergeCell ref="D981:E981"/>
    <mergeCell ref="D982:E982"/>
    <mergeCell ref="D1007:E1007"/>
    <mergeCell ref="D1008:E1008"/>
    <mergeCell ref="D1009:E1009"/>
    <mergeCell ref="D1010:E1010"/>
    <mergeCell ref="D1011:E1011"/>
    <mergeCell ref="D1012:E1012"/>
    <mergeCell ref="D1001:E1001"/>
    <mergeCell ref="D1002:E1002"/>
    <mergeCell ref="D1003:E1003"/>
    <mergeCell ref="D1004:E1004"/>
    <mergeCell ref="D1005:E1005"/>
    <mergeCell ref="D1006:E1006"/>
    <mergeCell ref="D995:E995"/>
    <mergeCell ref="D996:E996"/>
    <mergeCell ref="D997:E997"/>
    <mergeCell ref="D998:E998"/>
    <mergeCell ref="D999:E999"/>
    <mergeCell ref="D1000:E1000"/>
    <mergeCell ref="D1025:E1025"/>
    <mergeCell ref="D1026:E1026"/>
    <mergeCell ref="D1027:E1027"/>
    <mergeCell ref="D1028:E1028"/>
    <mergeCell ref="D1029:E1029"/>
    <mergeCell ref="D1030:E1030"/>
    <mergeCell ref="D1019:E1019"/>
    <mergeCell ref="D1020:E1020"/>
    <mergeCell ref="D1021:E1021"/>
    <mergeCell ref="D1022:E1022"/>
    <mergeCell ref="D1023:E1023"/>
    <mergeCell ref="D1024:E1024"/>
    <mergeCell ref="D1013:E1013"/>
    <mergeCell ref="D1014:E1014"/>
    <mergeCell ref="D1015:E1015"/>
    <mergeCell ref="D1016:E1016"/>
    <mergeCell ref="D1017:E1017"/>
    <mergeCell ref="D1018:E1018"/>
    <mergeCell ref="D1043:E1043"/>
    <mergeCell ref="D1044:E1044"/>
    <mergeCell ref="D1045:E1045"/>
    <mergeCell ref="D1046:E1046"/>
    <mergeCell ref="D1047:E1047"/>
    <mergeCell ref="D1048:E1048"/>
    <mergeCell ref="D1037:E1037"/>
    <mergeCell ref="D1038:E1038"/>
    <mergeCell ref="D1039:E1039"/>
    <mergeCell ref="D1040:E1040"/>
    <mergeCell ref="D1041:E1041"/>
    <mergeCell ref="D1042:E1042"/>
    <mergeCell ref="D1031:E1031"/>
    <mergeCell ref="D1032:E1032"/>
    <mergeCell ref="D1033:E1033"/>
    <mergeCell ref="D1034:E1034"/>
    <mergeCell ref="D1035:E1035"/>
    <mergeCell ref="D1036:E1036"/>
    <mergeCell ref="D1061:E1061"/>
    <mergeCell ref="D1062:E1062"/>
    <mergeCell ref="D1063:E1063"/>
    <mergeCell ref="D1064:E1064"/>
    <mergeCell ref="D1065:E1065"/>
    <mergeCell ref="D1066:E1066"/>
    <mergeCell ref="D1055:E1055"/>
    <mergeCell ref="D1056:E1056"/>
    <mergeCell ref="D1057:E1057"/>
    <mergeCell ref="D1058:E1058"/>
    <mergeCell ref="D1059:E1059"/>
    <mergeCell ref="D1060:E1060"/>
    <mergeCell ref="D1049:E1049"/>
    <mergeCell ref="D1050:E1050"/>
    <mergeCell ref="D1051:E1051"/>
    <mergeCell ref="D1052:E1052"/>
    <mergeCell ref="D1053:E1053"/>
    <mergeCell ref="D1054:E1054"/>
    <mergeCell ref="D1079:E1079"/>
    <mergeCell ref="D1080:E1080"/>
    <mergeCell ref="D1081:E1081"/>
    <mergeCell ref="D1082:E1082"/>
    <mergeCell ref="D1083:E1083"/>
    <mergeCell ref="D1084:E1084"/>
    <mergeCell ref="D1073:E1073"/>
    <mergeCell ref="D1074:E1074"/>
    <mergeCell ref="D1075:E1075"/>
    <mergeCell ref="D1076:E1076"/>
    <mergeCell ref="D1077:E1077"/>
    <mergeCell ref="D1078:E1078"/>
    <mergeCell ref="D1067:E1067"/>
    <mergeCell ref="D1068:E1068"/>
    <mergeCell ref="D1069:E1069"/>
    <mergeCell ref="D1070:E1070"/>
    <mergeCell ref="D1071:E1071"/>
    <mergeCell ref="D1072:E1072"/>
    <mergeCell ref="D1097:E1097"/>
    <mergeCell ref="D1098:E1098"/>
    <mergeCell ref="D1099:E1099"/>
    <mergeCell ref="D1100:E1100"/>
    <mergeCell ref="D1101:E1101"/>
    <mergeCell ref="D1102:E1102"/>
    <mergeCell ref="D1091:E1091"/>
    <mergeCell ref="D1092:E1092"/>
    <mergeCell ref="D1093:E1093"/>
    <mergeCell ref="D1094:E1094"/>
    <mergeCell ref="D1095:E1095"/>
    <mergeCell ref="D1096:E1096"/>
    <mergeCell ref="D1085:E1085"/>
    <mergeCell ref="D1086:E1086"/>
    <mergeCell ref="D1087:E1087"/>
    <mergeCell ref="D1088:E1088"/>
    <mergeCell ref="D1089:E1089"/>
    <mergeCell ref="D1090:E1090"/>
    <mergeCell ref="D1115:E1115"/>
    <mergeCell ref="D1116:E1116"/>
    <mergeCell ref="D1117:E1117"/>
    <mergeCell ref="D1118:E1118"/>
    <mergeCell ref="D1119:E1119"/>
    <mergeCell ref="D1120:E1120"/>
    <mergeCell ref="D1109:E1109"/>
    <mergeCell ref="D1110:E1110"/>
    <mergeCell ref="D1111:E1111"/>
    <mergeCell ref="D1112:E1112"/>
    <mergeCell ref="D1113:E1113"/>
    <mergeCell ref="D1114:E1114"/>
    <mergeCell ref="D1103:E1103"/>
    <mergeCell ref="D1104:E1104"/>
    <mergeCell ref="D1105:E1105"/>
    <mergeCell ref="D1106:E1106"/>
    <mergeCell ref="D1107:E1107"/>
    <mergeCell ref="D1108:E1108"/>
    <mergeCell ref="D1133:E1133"/>
    <mergeCell ref="D1134:E1134"/>
    <mergeCell ref="D1135:E1135"/>
    <mergeCell ref="D1136:E1136"/>
    <mergeCell ref="D1137:E1137"/>
    <mergeCell ref="D1138:E1138"/>
    <mergeCell ref="D1127:E1127"/>
    <mergeCell ref="D1128:E1128"/>
    <mergeCell ref="D1129:E1129"/>
    <mergeCell ref="D1130:E1130"/>
    <mergeCell ref="D1131:E1131"/>
    <mergeCell ref="D1132:E1132"/>
    <mergeCell ref="D1121:E1121"/>
    <mergeCell ref="D1122:E1122"/>
    <mergeCell ref="D1123:E1123"/>
    <mergeCell ref="D1124:E1124"/>
    <mergeCell ref="D1125:E1125"/>
    <mergeCell ref="D1126:E1126"/>
    <mergeCell ref="D1151:E1151"/>
    <mergeCell ref="D1152:E1152"/>
    <mergeCell ref="D1153:E1153"/>
    <mergeCell ref="D1154:E1154"/>
    <mergeCell ref="D1155:E1155"/>
    <mergeCell ref="D1156:E1156"/>
    <mergeCell ref="D1145:E1145"/>
    <mergeCell ref="D1146:E1146"/>
    <mergeCell ref="D1147:E1147"/>
    <mergeCell ref="D1148:E1148"/>
    <mergeCell ref="D1149:E1149"/>
    <mergeCell ref="D1150:E1150"/>
    <mergeCell ref="D1139:E1139"/>
    <mergeCell ref="D1140:E1140"/>
    <mergeCell ref="D1141:E1141"/>
    <mergeCell ref="D1142:E1142"/>
    <mergeCell ref="D1143:E1143"/>
    <mergeCell ref="D1144:E1144"/>
    <mergeCell ref="D1169:E1169"/>
    <mergeCell ref="D1170:E1170"/>
    <mergeCell ref="D1171:E1171"/>
    <mergeCell ref="D1172:E1172"/>
    <mergeCell ref="D1173:E1173"/>
    <mergeCell ref="D1174:E1174"/>
    <mergeCell ref="D1163:E1163"/>
    <mergeCell ref="D1164:E1164"/>
    <mergeCell ref="D1165:E1165"/>
    <mergeCell ref="D1166:E1166"/>
    <mergeCell ref="D1167:E1167"/>
    <mergeCell ref="D1168:E1168"/>
    <mergeCell ref="D1157:E1157"/>
    <mergeCell ref="D1158:E1158"/>
    <mergeCell ref="D1159:E1159"/>
    <mergeCell ref="D1160:E1160"/>
    <mergeCell ref="D1161:E1161"/>
    <mergeCell ref="D1162:E1162"/>
    <mergeCell ref="D1187:E1187"/>
    <mergeCell ref="D1188:E1188"/>
    <mergeCell ref="D1189:E1189"/>
    <mergeCell ref="D1190:E1190"/>
    <mergeCell ref="D1191:E1191"/>
    <mergeCell ref="D1192:E1192"/>
    <mergeCell ref="D1181:E1181"/>
    <mergeCell ref="D1182:E1182"/>
    <mergeCell ref="D1183:E1183"/>
    <mergeCell ref="D1184:E1184"/>
    <mergeCell ref="D1185:E1185"/>
    <mergeCell ref="D1186:E1186"/>
    <mergeCell ref="D1175:E1175"/>
    <mergeCell ref="D1176:E1176"/>
    <mergeCell ref="D1177:E1177"/>
    <mergeCell ref="D1178:E1178"/>
    <mergeCell ref="D1179:E1179"/>
    <mergeCell ref="D1180:E1180"/>
    <mergeCell ref="D1205:E1205"/>
    <mergeCell ref="D1206:E1206"/>
    <mergeCell ref="D1207:E1207"/>
    <mergeCell ref="D1208:E1208"/>
    <mergeCell ref="D1209:E1209"/>
    <mergeCell ref="D1210:E1210"/>
    <mergeCell ref="D1199:E1199"/>
    <mergeCell ref="D1200:E1200"/>
    <mergeCell ref="D1201:E1201"/>
    <mergeCell ref="D1202:E1202"/>
    <mergeCell ref="D1203:E1203"/>
    <mergeCell ref="D1204:E1204"/>
    <mergeCell ref="D1193:E1193"/>
    <mergeCell ref="D1194:E1194"/>
    <mergeCell ref="D1195:E1195"/>
    <mergeCell ref="D1196:E1196"/>
    <mergeCell ref="D1197:E1197"/>
    <mergeCell ref="D1198:E1198"/>
    <mergeCell ref="D1223:E1223"/>
    <mergeCell ref="D1224:E1224"/>
    <mergeCell ref="D1225:E1225"/>
    <mergeCell ref="D1226:E1226"/>
    <mergeCell ref="D1227:E1227"/>
    <mergeCell ref="D1228:E1228"/>
    <mergeCell ref="D1217:E1217"/>
    <mergeCell ref="D1218:E1218"/>
    <mergeCell ref="D1219:E1219"/>
    <mergeCell ref="D1220:E1220"/>
    <mergeCell ref="D1221:E1221"/>
    <mergeCell ref="D1222:E1222"/>
    <mergeCell ref="D1211:E1211"/>
    <mergeCell ref="D1212:E1212"/>
    <mergeCell ref="D1213:E1213"/>
    <mergeCell ref="D1214:E1214"/>
    <mergeCell ref="D1215:E1215"/>
    <mergeCell ref="D1216:E1216"/>
    <mergeCell ref="D1241:E1241"/>
    <mergeCell ref="D1242:E1242"/>
    <mergeCell ref="D1243:E1243"/>
    <mergeCell ref="D1244:E1244"/>
    <mergeCell ref="D1245:E1245"/>
    <mergeCell ref="D1246:E1246"/>
    <mergeCell ref="D1235:E1235"/>
    <mergeCell ref="D1236:E1236"/>
    <mergeCell ref="D1237:E1237"/>
    <mergeCell ref="D1238:E1238"/>
    <mergeCell ref="D1239:E1239"/>
    <mergeCell ref="D1240:E1240"/>
    <mergeCell ref="D1229:E1229"/>
    <mergeCell ref="D1230:E1230"/>
    <mergeCell ref="D1231:E1231"/>
    <mergeCell ref="D1232:E1232"/>
    <mergeCell ref="D1233:E1233"/>
    <mergeCell ref="D1234:E1234"/>
    <mergeCell ref="D1259:E1259"/>
    <mergeCell ref="D1260:E1260"/>
    <mergeCell ref="D1261:E1261"/>
    <mergeCell ref="D1262:E1262"/>
    <mergeCell ref="D1263:E1263"/>
    <mergeCell ref="D1264:E1264"/>
    <mergeCell ref="D1253:E1253"/>
    <mergeCell ref="D1254:E1254"/>
    <mergeCell ref="D1255:E1255"/>
    <mergeCell ref="D1256:E1256"/>
    <mergeCell ref="D1257:E1257"/>
    <mergeCell ref="D1258:E1258"/>
    <mergeCell ref="D1247:E1247"/>
    <mergeCell ref="D1248:E1248"/>
    <mergeCell ref="D1249:E1249"/>
    <mergeCell ref="D1250:E1250"/>
    <mergeCell ref="D1251:E1251"/>
    <mergeCell ref="D1252:E1252"/>
    <mergeCell ref="D1277:E1277"/>
    <mergeCell ref="D1278:E1278"/>
    <mergeCell ref="D1279:E1279"/>
    <mergeCell ref="D1280:E1280"/>
    <mergeCell ref="D1281:E1281"/>
    <mergeCell ref="D1282:E1282"/>
    <mergeCell ref="D1271:E1271"/>
    <mergeCell ref="D1272:E1272"/>
    <mergeCell ref="D1273:E1273"/>
    <mergeCell ref="D1274:E1274"/>
    <mergeCell ref="D1275:E1275"/>
    <mergeCell ref="D1276:E1276"/>
    <mergeCell ref="D1265:E1265"/>
    <mergeCell ref="D1266:E1266"/>
    <mergeCell ref="D1267:E1267"/>
    <mergeCell ref="D1268:E1268"/>
    <mergeCell ref="D1269:E1269"/>
    <mergeCell ref="D1270:E1270"/>
    <mergeCell ref="D1295:E1295"/>
    <mergeCell ref="D1296:E1296"/>
    <mergeCell ref="D1297:E1297"/>
    <mergeCell ref="D1298:E1298"/>
    <mergeCell ref="D1299:E1299"/>
    <mergeCell ref="D1300:E1300"/>
    <mergeCell ref="D1289:E1289"/>
    <mergeCell ref="D1290:E1290"/>
    <mergeCell ref="D1291:E1291"/>
    <mergeCell ref="D1292:E1292"/>
    <mergeCell ref="D1293:E1293"/>
    <mergeCell ref="D1294:E1294"/>
    <mergeCell ref="D1283:E1283"/>
    <mergeCell ref="D1284:E1284"/>
    <mergeCell ref="D1285:E1285"/>
    <mergeCell ref="D1286:E1286"/>
    <mergeCell ref="D1287:E1287"/>
    <mergeCell ref="D1288:E1288"/>
    <mergeCell ref="D1313:E1313"/>
    <mergeCell ref="D1314:E1314"/>
    <mergeCell ref="D1315:E1315"/>
    <mergeCell ref="D1316:E1316"/>
    <mergeCell ref="D1317:E1317"/>
    <mergeCell ref="D1318:E1318"/>
    <mergeCell ref="D1307:E1307"/>
    <mergeCell ref="D1308:E1308"/>
    <mergeCell ref="D1309:E1309"/>
    <mergeCell ref="D1310:E1310"/>
    <mergeCell ref="D1311:E1311"/>
    <mergeCell ref="D1312:E1312"/>
    <mergeCell ref="D1301:E1301"/>
    <mergeCell ref="D1302:E1302"/>
    <mergeCell ref="D1303:E1303"/>
    <mergeCell ref="D1304:E1304"/>
    <mergeCell ref="D1305:E1305"/>
    <mergeCell ref="D1306:E1306"/>
    <mergeCell ref="D1331:E1331"/>
    <mergeCell ref="D1332:E1332"/>
    <mergeCell ref="D1333:E1333"/>
    <mergeCell ref="D1334:E1334"/>
    <mergeCell ref="D1335:E1335"/>
    <mergeCell ref="D1336:E1336"/>
    <mergeCell ref="D1325:E1325"/>
    <mergeCell ref="D1326:E1326"/>
    <mergeCell ref="D1327:E1327"/>
    <mergeCell ref="D1328:E1328"/>
    <mergeCell ref="D1329:E1329"/>
    <mergeCell ref="D1330:E1330"/>
    <mergeCell ref="D1319:E1319"/>
    <mergeCell ref="D1320:E1320"/>
    <mergeCell ref="D1321:E1321"/>
    <mergeCell ref="D1322:E1322"/>
    <mergeCell ref="D1323:E1323"/>
    <mergeCell ref="D1324:E1324"/>
    <mergeCell ref="D1349:E1349"/>
    <mergeCell ref="D1350:E1350"/>
    <mergeCell ref="D1351:E1351"/>
    <mergeCell ref="D1352:E1352"/>
    <mergeCell ref="D1353:E1353"/>
    <mergeCell ref="D1354:E1354"/>
    <mergeCell ref="D1343:E1343"/>
    <mergeCell ref="D1344:E1344"/>
    <mergeCell ref="D1345:E1345"/>
    <mergeCell ref="D1346:E1346"/>
    <mergeCell ref="D1347:E1347"/>
    <mergeCell ref="D1348:E1348"/>
    <mergeCell ref="D1337:E1337"/>
    <mergeCell ref="D1338:E1338"/>
    <mergeCell ref="D1339:E1339"/>
    <mergeCell ref="D1340:E1340"/>
    <mergeCell ref="D1341:E1341"/>
    <mergeCell ref="D1342:E1342"/>
    <mergeCell ref="D1367:E1367"/>
    <mergeCell ref="D1368:E1368"/>
    <mergeCell ref="D1369:E1369"/>
    <mergeCell ref="D1370:E1370"/>
    <mergeCell ref="D1371:E1371"/>
    <mergeCell ref="D1372:E1372"/>
    <mergeCell ref="D1361:E1361"/>
    <mergeCell ref="D1362:E1362"/>
    <mergeCell ref="D1363:E1363"/>
    <mergeCell ref="D1364:E1364"/>
    <mergeCell ref="D1365:E1365"/>
    <mergeCell ref="D1366:E1366"/>
    <mergeCell ref="D1355:E1355"/>
    <mergeCell ref="D1356:E1356"/>
    <mergeCell ref="D1357:E1357"/>
    <mergeCell ref="D1358:E1358"/>
    <mergeCell ref="D1359:E1359"/>
    <mergeCell ref="D1360:E1360"/>
    <mergeCell ref="D1385:E1385"/>
    <mergeCell ref="D1386:E1386"/>
    <mergeCell ref="D1387:E1387"/>
    <mergeCell ref="D1388:E1388"/>
    <mergeCell ref="D1389:E1389"/>
    <mergeCell ref="D1390:E1390"/>
    <mergeCell ref="D1379:E1379"/>
    <mergeCell ref="D1380:E1380"/>
    <mergeCell ref="D1381:E1381"/>
    <mergeCell ref="D1382:E1382"/>
    <mergeCell ref="D1383:E1383"/>
    <mergeCell ref="D1384:E1384"/>
    <mergeCell ref="D1373:E1373"/>
    <mergeCell ref="D1374:E1374"/>
    <mergeCell ref="D1375:E1375"/>
    <mergeCell ref="D1376:E1376"/>
    <mergeCell ref="D1377:E1377"/>
    <mergeCell ref="D1378:E1378"/>
    <mergeCell ref="D1403:E1403"/>
    <mergeCell ref="D1404:E1404"/>
    <mergeCell ref="D1405:E1405"/>
    <mergeCell ref="D1406:E1406"/>
    <mergeCell ref="D1407:E1407"/>
    <mergeCell ref="D1408:E1408"/>
    <mergeCell ref="D1397:E1397"/>
    <mergeCell ref="D1398:E1398"/>
    <mergeCell ref="D1399:E1399"/>
    <mergeCell ref="D1400:E1400"/>
    <mergeCell ref="D1401:E1401"/>
    <mergeCell ref="D1402:E1402"/>
    <mergeCell ref="D1391:E1391"/>
    <mergeCell ref="D1392:E1392"/>
    <mergeCell ref="D1393:E1393"/>
    <mergeCell ref="D1394:E1394"/>
    <mergeCell ref="D1395:E1395"/>
    <mergeCell ref="D1396:E1396"/>
    <mergeCell ref="D1421:E1421"/>
    <mergeCell ref="D1422:E1422"/>
    <mergeCell ref="D1423:E1423"/>
    <mergeCell ref="D1424:E1424"/>
    <mergeCell ref="D1425:E1425"/>
    <mergeCell ref="D1426:E1426"/>
    <mergeCell ref="D1415:E1415"/>
    <mergeCell ref="D1416:E1416"/>
    <mergeCell ref="D1417:E1417"/>
    <mergeCell ref="D1418:E1418"/>
    <mergeCell ref="D1419:E1419"/>
    <mergeCell ref="D1420:E1420"/>
    <mergeCell ref="D1409:E1409"/>
    <mergeCell ref="D1410:E1410"/>
    <mergeCell ref="D1411:E1411"/>
    <mergeCell ref="D1412:E1412"/>
    <mergeCell ref="D1413:E1413"/>
    <mergeCell ref="D1414:E1414"/>
    <mergeCell ref="D1439:E1439"/>
    <mergeCell ref="D1440:E1440"/>
    <mergeCell ref="D1441:E1441"/>
    <mergeCell ref="D1442:E1442"/>
    <mergeCell ref="D1443:E1443"/>
    <mergeCell ref="D1433:E1433"/>
    <mergeCell ref="D1434:E1434"/>
    <mergeCell ref="D1435:E1435"/>
    <mergeCell ref="D1436:E1436"/>
    <mergeCell ref="D1437:E1437"/>
    <mergeCell ref="D1438:E1438"/>
    <mergeCell ref="D1427:E1427"/>
    <mergeCell ref="D1428:E1428"/>
    <mergeCell ref="D1429:E1429"/>
    <mergeCell ref="D1430:E1430"/>
    <mergeCell ref="D1431:E1431"/>
    <mergeCell ref="D1432:E143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TB</vt:lpstr>
      <vt:lpstr>Advances</vt:lpstr>
      <vt:lpstr>Only Creditors</vt:lpstr>
      <vt:lpstr>BillWise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Desai</dc:creator>
  <cp:lastModifiedBy>Rakesh Desai</cp:lastModifiedBy>
  <dcterms:created xsi:type="dcterms:W3CDTF">2026-03-13T14:00:06Z</dcterms:created>
  <dcterms:modified xsi:type="dcterms:W3CDTF">2026-03-17T13:32:00Z</dcterms:modified>
</cp:coreProperties>
</file>