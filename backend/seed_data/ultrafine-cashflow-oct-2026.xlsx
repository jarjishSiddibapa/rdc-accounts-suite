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4755" windowHeight="2400"/>
  </bookViews>
  <sheets>
    <sheet name="Summary" sheetId="2" r:id="rId1"/>
    <sheet name="payment" sheetId="7" state="hidden" r:id="rId2"/>
    <sheet name="Sheet1" sheetId="6" state="hidden" r:id="rId3"/>
    <sheet name="Payments" sheetId="4" r:id="rId4"/>
    <sheet name="Receipts" sheetId="1" r:id="rId5"/>
    <sheet name="Working" sheetId="10" r:id="rId6"/>
  </sheets>
  <definedNames>
    <definedName name="_xlnm._FilterDatabase" localSheetId="1" hidden="1">payment!$A$2:$I$142</definedName>
    <definedName name="_xlnm._FilterDatabase" localSheetId="3" hidden="1">Payments!$B$3:$I$176</definedName>
    <definedName name="_xlnm._FilterDatabase" localSheetId="4" hidden="1">Receipts!$B$3:$H$96</definedName>
  </definedNames>
  <calcPr calcId="145621"/>
</workbook>
</file>

<file path=xl/calcChain.xml><?xml version="1.0" encoding="utf-8"?>
<calcChain xmlns="http://schemas.openxmlformats.org/spreadsheetml/2006/main">
  <c r="H7" i="10" l="1"/>
  <c r="H6" i="10"/>
  <c r="H5" i="10"/>
  <c r="H4" i="10"/>
  <c r="H3" i="10"/>
  <c r="H8" i="10" s="1"/>
  <c r="F14" i="10" l="1"/>
  <c r="F13" i="10"/>
  <c r="F12" i="10"/>
  <c r="F15" i="10" l="1"/>
  <c r="G7" i="10"/>
  <c r="G6" i="10"/>
  <c r="G5" i="10"/>
  <c r="G4" i="10"/>
  <c r="G3" i="10"/>
  <c r="F7" i="10"/>
  <c r="F6" i="10"/>
  <c r="F5" i="10"/>
  <c r="F4" i="10"/>
  <c r="F3" i="10"/>
  <c r="G8" i="10" l="1"/>
  <c r="F8" i="10"/>
  <c r="E14" i="10"/>
  <c r="E13" i="10"/>
  <c r="E12" i="10"/>
  <c r="D14" i="10"/>
  <c r="D13" i="10"/>
  <c r="D12" i="10"/>
  <c r="E15" i="10" l="1"/>
  <c r="D15" i="10"/>
  <c r="C28" i="10"/>
  <c r="D27" i="10" s="1"/>
  <c r="D25" i="10" l="1"/>
  <c r="D26" i="10"/>
  <c r="E7" i="10"/>
  <c r="E6" i="10"/>
  <c r="E5" i="10"/>
  <c r="E4" i="10"/>
  <c r="E3" i="10"/>
  <c r="D28" i="10" l="1"/>
  <c r="E8" i="10"/>
  <c r="I25" i="2" l="1"/>
  <c r="I24" i="2"/>
  <c r="I23" i="2"/>
  <c r="I22" i="2"/>
  <c r="I21" i="2"/>
  <c r="I19" i="2"/>
  <c r="I18" i="2"/>
  <c r="E2" i="4"/>
  <c r="I20" i="2" l="1"/>
  <c r="I27" i="2" s="1"/>
  <c r="E2" i="1"/>
  <c r="D7" i="10"/>
  <c r="D6" i="10"/>
  <c r="D5" i="10"/>
  <c r="D4" i="10"/>
  <c r="D3" i="10"/>
  <c r="D34" i="10"/>
  <c r="D8" i="10" l="1"/>
  <c r="E200" i="4" l="1"/>
  <c r="C21" i="10" l="1"/>
  <c r="C15" i="10" l="1"/>
  <c r="C8" i="10" l="1"/>
  <c r="J27" i="2" l="1"/>
  <c r="E27" i="2"/>
  <c r="F18" i="2" l="1"/>
  <c r="G18" i="2" s="1"/>
  <c r="F24" i="2" l="1"/>
  <c r="E73" i="2" l="1"/>
  <c r="E70" i="2"/>
  <c r="E54" i="2"/>
  <c r="E51" i="2"/>
  <c r="E77" i="2"/>
  <c r="E79" i="2" l="1"/>
  <c r="G24" i="2" l="1"/>
  <c r="F25" i="2"/>
  <c r="G25" i="2" s="1"/>
  <c r="F21" i="2" l="1"/>
  <c r="G21" i="2" s="1"/>
  <c r="F22" i="2" l="1"/>
  <c r="G22" i="2" s="1"/>
  <c r="F19" i="2" l="1"/>
  <c r="G19" i="2" s="1"/>
  <c r="G20" i="2" l="1"/>
  <c r="F20" i="2"/>
  <c r="F23" i="2" l="1"/>
  <c r="G23" i="2" s="1"/>
  <c r="G27" i="2" s="1"/>
  <c r="F27" i="2" l="1"/>
  <c r="H21" i="2" l="1"/>
  <c r="I3" i="2"/>
  <c r="F3" i="2"/>
  <c r="H3" i="2" s="1"/>
  <c r="J11" i="2"/>
  <c r="J10" i="2"/>
  <c r="J9" i="2"/>
  <c r="J8" i="2"/>
  <c r="I5" i="2"/>
  <c r="I4" i="2"/>
  <c r="F5" i="2"/>
  <c r="G5" i="2" s="1"/>
  <c r="F4" i="2"/>
  <c r="G4" i="2" s="1"/>
  <c r="H18" i="2" l="1"/>
  <c r="H22" i="2"/>
  <c r="H27" i="2" s="1"/>
  <c r="J13" i="2"/>
  <c r="H19" i="2"/>
  <c r="H4" i="2"/>
  <c r="K4" i="2"/>
  <c r="I13" i="2"/>
  <c r="K5" i="2"/>
  <c r="F13" i="2"/>
  <c r="H5" i="2"/>
  <c r="G3" i="2"/>
  <c r="H13" i="2" l="1"/>
  <c r="K3" i="2"/>
  <c r="K13" i="2" s="1"/>
  <c r="G13" i="2"/>
  <c r="K21" i="2" l="1"/>
  <c r="K23" i="2"/>
  <c r="K25" i="2"/>
  <c r="K19" i="2"/>
  <c r="K24" i="2"/>
  <c r="K22" i="2"/>
  <c r="K18" i="2"/>
  <c r="K20" i="2" l="1"/>
  <c r="K27" i="2" s="1"/>
</calcChain>
</file>

<file path=xl/sharedStrings.xml><?xml version="1.0" encoding="utf-8"?>
<sst xmlns="http://schemas.openxmlformats.org/spreadsheetml/2006/main" count="4011" uniqueCount="1115">
  <si>
    <t>AUTO INTEREST PAYMENT ON TERM LOAN AGAINST 5WSLN06240060003</t>
  </si>
  <si>
    <t>Head Office</t>
  </si>
  <si>
    <t>Interest on Term Loan</t>
  </si>
  <si>
    <t>Aggregate</t>
  </si>
  <si>
    <t>Z</t>
  </si>
  <si>
    <t>Main Operation</t>
  </si>
  <si>
    <t>Flyash</t>
  </si>
  <si>
    <t>Location</t>
  </si>
  <si>
    <t>Sr.No.</t>
  </si>
  <si>
    <t>Total</t>
  </si>
  <si>
    <t>Interest &amp; EMI</t>
  </si>
  <si>
    <t>Employee</t>
  </si>
  <si>
    <t>TDS</t>
  </si>
  <si>
    <t>IOCL</t>
  </si>
  <si>
    <t>Balance</t>
  </si>
  <si>
    <t>Actual Paid</t>
  </si>
  <si>
    <t>Statutory Exps &amp; Others</t>
  </si>
  <si>
    <t>Statutory &amp; Others Expns</t>
  </si>
  <si>
    <t>Reserve ( 20% of Collection)</t>
  </si>
  <si>
    <t>Collection Dec- 2025</t>
  </si>
  <si>
    <t>Payable (80 % Of Collection)</t>
  </si>
  <si>
    <t>Date</t>
  </si>
  <si>
    <t>Particulars</t>
  </si>
  <si>
    <t>Amount</t>
  </si>
  <si>
    <t>UTR No</t>
  </si>
  <si>
    <t>Tally Location</t>
  </si>
  <si>
    <t>CF Location</t>
  </si>
  <si>
    <t>Description</t>
  </si>
  <si>
    <t>-</t>
  </si>
  <si>
    <t>Authorized Person</t>
  </si>
  <si>
    <t>Saptarishi Majumdar</t>
  </si>
  <si>
    <t>Devanand Singh</t>
  </si>
  <si>
    <t>Harish Ludhani</t>
  </si>
  <si>
    <t>Cash Flow as of 11th December , 2025</t>
  </si>
  <si>
    <t>Aggregate Panagarh Crusher</t>
  </si>
  <si>
    <t>Aggregate Pachami Trading</t>
  </si>
  <si>
    <t>Name</t>
  </si>
  <si>
    <t>Op. Balance</t>
  </si>
  <si>
    <t>Cl. Balance</t>
  </si>
  <si>
    <t>Trading</t>
  </si>
  <si>
    <t>Saif Khan</t>
  </si>
  <si>
    <t>Arcelormittal Nippon Steel India Limited - Crs</t>
  </si>
  <si>
    <t>Gujarat</t>
  </si>
  <si>
    <t>AMBUJA CEMENTS LIMITED -Crs</t>
  </si>
  <si>
    <t>P.S. Agency-CRS</t>
  </si>
  <si>
    <t>Rabiul Ansari - Crs</t>
  </si>
  <si>
    <t>Microsilica</t>
  </si>
  <si>
    <t>Galsi</t>
  </si>
  <si>
    <t>Kamakhya Enterprises - Crs</t>
  </si>
  <si>
    <t>Vodafone Idea Ltd-crs</t>
  </si>
  <si>
    <t>Nagpur</t>
  </si>
  <si>
    <t>Rohit Prasad - Employee</t>
  </si>
  <si>
    <t>Shahabaz Khan - Employee</t>
  </si>
  <si>
    <t>Wada</t>
  </si>
  <si>
    <t>Vizag</t>
  </si>
  <si>
    <t>Superstruct Infracon Private Limited</t>
  </si>
  <si>
    <t>Ultratech Cement Limited - Drs</t>
  </si>
  <si>
    <t>GMS INFRATECH -Drs</t>
  </si>
  <si>
    <t>Tansy Properties Private Limited</t>
  </si>
  <si>
    <t>Tata Projects Limited - Drs</t>
  </si>
  <si>
    <t>Mahesh Trading Company - Drs</t>
  </si>
  <si>
    <t>SSY TRADING PRIVATE LIMITED-Drs</t>
  </si>
  <si>
    <t>ETC POOL - Crs</t>
  </si>
  <si>
    <t>Chettinad Cement Corporation Private Limited - Crs</t>
  </si>
  <si>
    <t>Sumit Goods Carrier(Arabinda Kumar Das) - CRS</t>
  </si>
  <si>
    <t>Haryana</t>
  </si>
  <si>
    <t>DOED JUNG KUEN PHEN TRADING HOUSE-CRS</t>
  </si>
  <si>
    <t>BHUMAN ENTERPRISE-Crs</t>
  </si>
  <si>
    <t>BHASKAR ENTERPRISE - Crs</t>
  </si>
  <si>
    <t>Balram Kumar Chakrawarti - Employee</t>
  </si>
  <si>
    <t>SHREE PAWAN ENTERPRISES -CRS</t>
  </si>
  <si>
    <t>M/s Manuwar Shaikh - Crs</t>
  </si>
  <si>
    <t>EIE INSTRUMENTS PRIVATE LIMITED - Crs</t>
  </si>
  <si>
    <t>Kinshar Metals - Crs</t>
  </si>
  <si>
    <t>ADVITA POLYCRAFT LLP - Crs</t>
  </si>
  <si>
    <t>Karim Shah - Employee</t>
  </si>
  <si>
    <t>SVS Projects India Private Limited - Drs</t>
  </si>
  <si>
    <t>194J TDS on Professional Fees</t>
  </si>
  <si>
    <t>G R Infraprojects Limited - Drs</t>
  </si>
  <si>
    <t>SREERAMA INDUSTRIES PRIVATE LIMITED-Crs</t>
  </si>
  <si>
    <t>TREND CORPORATION - Drs</t>
  </si>
  <si>
    <t>Vadlamudi Veerabhadra Rao - Crs</t>
  </si>
  <si>
    <t>Maa Jodh Roadways-Crs</t>
  </si>
  <si>
    <t>Swaraj Pandey - Employee</t>
  </si>
  <si>
    <t>Rehaman Transport - Crs</t>
  </si>
  <si>
    <t>SHREEKRISHNA SUPPLIERS-Crs</t>
  </si>
  <si>
    <t>ARKAY LOGISTICS-Crs</t>
  </si>
  <si>
    <t>R &amp; S Enterprises - Drs</t>
  </si>
  <si>
    <t>GHR Lakshmi Urbanblocks Infra LLP - Drs</t>
  </si>
  <si>
    <t>LANSUM ENPOINT DEVELOPERS LLP - DRS</t>
  </si>
  <si>
    <t>INDIA INTERNATIONAL COMPANY - Crs</t>
  </si>
  <si>
    <t>Puneet Logistics-Crs</t>
  </si>
  <si>
    <t>Shree Mahalaxmi Traders-Crs</t>
  </si>
  <si>
    <t>CB SURATWALA AND SONS-CRS</t>
  </si>
  <si>
    <t>MSEDCL - CRS</t>
  </si>
  <si>
    <t>WBSEDCL (Galsi) - Crs</t>
  </si>
  <si>
    <t>Flyash Trading</t>
  </si>
  <si>
    <t>SHREE AUTOMOTIVE PVT. LTD - Crs</t>
  </si>
  <si>
    <t>Nops Infrastructure Private Limited- Drs</t>
  </si>
  <si>
    <t>H.G. Infra Engineering Ltd. - Drs</t>
  </si>
  <si>
    <t>M.B.S. Construction</t>
  </si>
  <si>
    <t>Thirumala Enterprises - Crs</t>
  </si>
  <si>
    <t>Pyramid Infratech Pvt Ltd - Drs</t>
  </si>
  <si>
    <t>BAHUBALI CHEMICAL INDUSTRIES-CRS</t>
  </si>
  <si>
    <t>P A Steel and Co - Crs</t>
  </si>
  <si>
    <t>PATRA AND SUPPLIER-CRS</t>
  </si>
  <si>
    <t>DEEP ENTERPRISES-CRS</t>
  </si>
  <si>
    <t>Durocrete Engineering Ser Vices PVT LTD-Crs</t>
  </si>
  <si>
    <t>KAPIL THAKARE - Crs</t>
  </si>
  <si>
    <t>Yaa Baba Taj Restaurants - CRS</t>
  </si>
  <si>
    <t>Sunita Enterprises- Crs</t>
  </si>
  <si>
    <t>Jai Bhairunath</t>
  </si>
  <si>
    <t>Ramakant L Dalal - Crs</t>
  </si>
  <si>
    <t>Dev Security Services- Crs</t>
  </si>
  <si>
    <t>Pramod  Marotirao Kumbhare- Crs</t>
  </si>
  <si>
    <t>Om Sai Krupa Chai - Crs</t>
  </si>
  <si>
    <t>Maa Krupa Tyre Service-Crs</t>
  </si>
  <si>
    <t>CAREWELL WAREHOUSERS PVT LTD - Crs</t>
  </si>
  <si>
    <t>Prabhat Crane Service-CRS</t>
  </si>
  <si>
    <t>M B ENTERPRISE- Crs</t>
  </si>
  <si>
    <t>SAI SAMARTH SECURITY SERVICES &amp; LABOUR SUPPLIER - Crs</t>
  </si>
  <si>
    <t>SAHIL ENTERPRISES - Crs</t>
  </si>
  <si>
    <t>Accurate Engineering Works-Crs</t>
  </si>
  <si>
    <t>AI INDUSTRIAL SOLUTIONS-Crs</t>
  </si>
  <si>
    <t>Tara Shree Enterprises</t>
  </si>
  <si>
    <t>Mahalaxmi Industrial &amp; Hardware Store - Crs</t>
  </si>
  <si>
    <t>WAM INDIA PRIVATE LTD-CRS</t>
  </si>
  <si>
    <t>SAM Contruction-Crs</t>
  </si>
  <si>
    <t>Pranali Avinash Jain - Crs</t>
  </si>
  <si>
    <t>D.K. SERVICES - Crs</t>
  </si>
  <si>
    <t>Shree Dev Enterprise-Crs</t>
  </si>
  <si>
    <t>Kailastej Engineering - CRS</t>
  </si>
  <si>
    <t>RRW LOGISTICS PVT LTD-Crs</t>
  </si>
  <si>
    <t>ROYAL ENGINEERING WORKS - Crs</t>
  </si>
  <si>
    <t>State Bank of India</t>
  </si>
  <si>
    <t>Howrah</t>
  </si>
  <si>
    <t>DEV RMC LLP- Drs</t>
  </si>
  <si>
    <t>Atharva Enterprises - Crs</t>
  </si>
  <si>
    <t>Sandeep Singh - Employee</t>
  </si>
  <si>
    <t>Sainath Roadways &amp; Co. - Crs</t>
  </si>
  <si>
    <t>K D Enterprises-Crs</t>
  </si>
  <si>
    <t>BN TRADING AND TRANSPORT COMPANY-CR</t>
  </si>
  <si>
    <t>Bhushan Deshpande - Employee</t>
  </si>
  <si>
    <t>Asl Logistics Private Limited-Crs</t>
  </si>
  <si>
    <t>Sri Kannamma Enterprises-CRS</t>
  </si>
  <si>
    <t>Vinayak Minerals - Crs</t>
  </si>
  <si>
    <t>FAITH INFRA-CRS</t>
  </si>
  <si>
    <t>Test 2 Build Private Limited-Crs</t>
  </si>
  <si>
    <t/>
  </si>
  <si>
    <t>Vch Type</t>
  </si>
  <si>
    <t>Vch No.</t>
  </si>
  <si>
    <t>Debit</t>
  </si>
  <si>
    <t>Credit</t>
  </si>
  <si>
    <t>Dr</t>
  </si>
  <si>
    <t>Opening Balance</t>
  </si>
  <si>
    <t>Payment (Gujarat)</t>
  </si>
  <si>
    <t>PV/GUJ/2526/0909</t>
  </si>
  <si>
    <t>Payment (Vishakhapattanam-Vizag)</t>
  </si>
  <si>
    <t>PV/APV/2526/0218</t>
  </si>
  <si>
    <t>Payment (Nagpur)</t>
  </si>
  <si>
    <t>PV/MHN/2526/0466</t>
  </si>
  <si>
    <t>Payment (Flyash Trading)</t>
  </si>
  <si>
    <t>PV/MHF/2526/0212</t>
  </si>
  <si>
    <t>PV/APV/2526/0219</t>
  </si>
  <si>
    <t>Payment (Howrah)</t>
  </si>
  <si>
    <t>PV/WBH/2526/0160</t>
  </si>
  <si>
    <t>PV/MHN/2526/0467</t>
  </si>
  <si>
    <t>PV/MHN/2526/0468</t>
  </si>
  <si>
    <t>Payment (Wada)</t>
  </si>
  <si>
    <t>PV/MHW/2526/0319</t>
  </si>
  <si>
    <t>PV/MHN/2526/0469</t>
  </si>
  <si>
    <t>Payment (Panagarh-Microsilica)WB</t>
  </si>
  <si>
    <t>PV/WBM/2526/0332</t>
  </si>
  <si>
    <t>Payment (Panagarh-Aggregate)WB</t>
  </si>
  <si>
    <t>PV/WBA/2526/0390</t>
  </si>
  <si>
    <t>PV/MHN/2526/0470</t>
  </si>
  <si>
    <t>PV/WBA/2526/0391</t>
  </si>
  <si>
    <t>PV/MHN/2526/0471</t>
  </si>
  <si>
    <t>PV/MHW/2526/0320</t>
  </si>
  <si>
    <t>PV/GUJ/2526/0910</t>
  </si>
  <si>
    <t>PV/MHF/2526/0215</t>
  </si>
  <si>
    <t>PV/GUJ/2526/0911</t>
  </si>
  <si>
    <t>PV/WBM/2526/0333</t>
  </si>
  <si>
    <t>PV/MHN/2526/0472</t>
  </si>
  <si>
    <t>PV/GUJ/2526/0912</t>
  </si>
  <si>
    <t>PV/MHW/2526/0321</t>
  </si>
  <si>
    <t>PV/GUJ/2526/0913</t>
  </si>
  <si>
    <t>PV/MHW/2526/0322</t>
  </si>
  <si>
    <t>PV/WBM/2526/0334</t>
  </si>
  <si>
    <t>PV/MHW/2526/0323</t>
  </si>
  <si>
    <t>PV/GUJ/2526/0914</t>
  </si>
  <si>
    <t>PV/GUJ/2526/0915</t>
  </si>
  <si>
    <t>Payment (Head Office)</t>
  </si>
  <si>
    <t>PV/HO/2526/0760</t>
  </si>
  <si>
    <t>PV/MHN/2526/0473</t>
  </si>
  <si>
    <t>PV/GUJ/2526/0916</t>
  </si>
  <si>
    <t>PV/GUJ/2526/0917</t>
  </si>
  <si>
    <t>PV/MHN/2526/0474</t>
  </si>
  <si>
    <t>PV/WBH/2526/0161</t>
  </si>
  <si>
    <t>Contra (Head Office)</t>
  </si>
  <si>
    <t>22</t>
  </si>
  <si>
    <t>Cr</t>
  </si>
  <si>
    <t>Receipt (Head Office)</t>
  </si>
  <si>
    <t>RC/HO/2526/0209</t>
  </si>
  <si>
    <t>RC/HO/2526/0210</t>
  </si>
  <si>
    <t>Payment (Nellore)AP</t>
  </si>
  <si>
    <t>PV/APN/2526/170</t>
  </si>
  <si>
    <t>Receipt (Panagarh-Aggregate)WB</t>
  </si>
  <si>
    <t>RC/WBA/2526/0139</t>
  </si>
  <si>
    <t>PV/APV/2526/0210</t>
  </si>
  <si>
    <t>PV/WBA/2526/0379</t>
  </si>
  <si>
    <t>PV/WBA/2526/0387</t>
  </si>
  <si>
    <t>Receipt (Howrah)</t>
  </si>
  <si>
    <t>RC/WBH/2526/0017</t>
  </si>
  <si>
    <t>Receipt (Gujarat)</t>
  </si>
  <si>
    <t>RC/GUJ/2526/0215</t>
  </si>
  <si>
    <t>(as per details)</t>
  </si>
  <si>
    <t>RC/HO/2526/0213</t>
  </si>
  <si>
    <t>RDC Concrete (India ) Pvt Ltd-Telangana-Drs</t>
  </si>
  <si>
    <t>RDC Concrete ( India ) Pvt Ltd- Bangalore - Drs</t>
  </si>
  <si>
    <t>RC/HO/2526/0214</t>
  </si>
  <si>
    <t>Receipt (Panagarh-Microsilica)WB</t>
  </si>
  <si>
    <t>RC/WBM/2526/0156</t>
  </si>
  <si>
    <t>PV/MHF/2526/0216</t>
  </si>
  <si>
    <t>PV/HO/2526/0761</t>
  </si>
  <si>
    <t>PV/HO/2526/0762</t>
  </si>
  <si>
    <t>PV/WBA/2526/0392</t>
  </si>
  <si>
    <t>Payment (Haryana)</t>
  </si>
  <si>
    <t>PV/HR/2526/0161</t>
  </si>
  <si>
    <t>Bharat Engineering - Crs</t>
  </si>
  <si>
    <t>PV/GUJ/2526/0918</t>
  </si>
  <si>
    <t>PV/HR/2526/0162</t>
  </si>
  <si>
    <t>PV/MHW/2526/0324</t>
  </si>
  <si>
    <t>Pandya Electrical Consultant-CRS</t>
  </si>
  <si>
    <t>PV/GUJ/2526/0919</t>
  </si>
  <si>
    <t>Payment (Panagarh-Galsi)WB</t>
  </si>
  <si>
    <t>PV/WBG/2526/0037</t>
  </si>
  <si>
    <t>MSJ Movers - CRS</t>
  </si>
  <si>
    <t>PV/MHN/2526/0465</t>
  </si>
  <si>
    <t>PV/GUJ/2526/0905</t>
  </si>
  <si>
    <t>PV/GUJ/2526/0906</t>
  </si>
  <si>
    <t>Payment (Tamilnadu)</t>
  </si>
  <si>
    <t>PV/TN/2425/0038</t>
  </si>
  <si>
    <t>PV/WBA/2526/0388</t>
  </si>
  <si>
    <t>PV/MHF/2526/0213</t>
  </si>
  <si>
    <t>PV/MHF/2526/0214</t>
  </si>
  <si>
    <t>Arya CS - Crs</t>
  </si>
  <si>
    <t>Payment (Kerala)</t>
  </si>
  <si>
    <t>PV/KER/2526/0017</t>
  </si>
  <si>
    <t>PV/MHW/2526/0325</t>
  </si>
  <si>
    <t>PV/MHW/2526/0326</t>
  </si>
  <si>
    <t>PV/APV/2526/0221</t>
  </si>
  <si>
    <t>PV/WBM/2526/0335</t>
  </si>
  <si>
    <t>PV/WBA/2526/0393</t>
  </si>
  <si>
    <t>M/s Jaiswal Enterprise- Crs</t>
  </si>
  <si>
    <t>PV/WBA/2526/0394</t>
  </si>
  <si>
    <t>Galsi All Rounder Mobile &amp; Electronics- Crs</t>
  </si>
  <si>
    <t>PV/WBA/2526/0395</t>
  </si>
  <si>
    <t>RC/WBA/2526/0142</t>
  </si>
  <si>
    <t>RC/GUJ/2526/0218</t>
  </si>
  <si>
    <t>RC/GUJ/2526/0217</t>
  </si>
  <si>
    <t>Receipt (Flyash Trading)</t>
  </si>
  <si>
    <t>RC/MHF/2526/0109</t>
  </si>
  <si>
    <t>PV/HR/2526/0164</t>
  </si>
  <si>
    <t>Receipt (Wada)</t>
  </si>
  <si>
    <t>RC/MHW/2526/0128</t>
  </si>
  <si>
    <t>PV/GUJ/2526/0923</t>
  </si>
  <si>
    <t>Receipt (Vishakhapattanam-Vizag)</t>
  </si>
  <si>
    <t>RC/APV/2526/0192</t>
  </si>
  <si>
    <t>Receipt (Nagpur)</t>
  </si>
  <si>
    <t>RC/MHN/2526/0128</t>
  </si>
  <si>
    <t>PV/APN/2526/174</t>
  </si>
  <si>
    <t>PV/HR/2526/0167</t>
  </si>
  <si>
    <t>Shree Guru Enterprise - Crs</t>
  </si>
  <si>
    <t>PV/APN/2526/172</t>
  </si>
  <si>
    <t>Rajeswar Polai - Employee</t>
  </si>
  <si>
    <t>PV/GUJ/2526/0920</t>
  </si>
  <si>
    <t>PV/MHN/2526/0475</t>
  </si>
  <si>
    <t>Nirmal and Co - Crs</t>
  </si>
  <si>
    <t>PV/GUJ/2526/0921</t>
  </si>
  <si>
    <t>Aadhya Shakti Enterprise-Crs</t>
  </si>
  <si>
    <t>PV/GUJ/2526/0922</t>
  </si>
  <si>
    <t>PV/MHF/2526/0217</t>
  </si>
  <si>
    <t>Sairaj Enterprises - Crs</t>
  </si>
  <si>
    <t>PV/MHW/2526/0327</t>
  </si>
  <si>
    <t>Deejay Fibc Bag-Crs</t>
  </si>
  <si>
    <t>PV/APN/2526/173</t>
  </si>
  <si>
    <t>Construction Point - Crs</t>
  </si>
  <si>
    <t>PV/HO/2526/0767</t>
  </si>
  <si>
    <t>PV/WBA/2526/0396</t>
  </si>
  <si>
    <t>PV/WBA/2526/0397</t>
  </si>
  <si>
    <t>Agarwala Concrete Private Limited- Drs</t>
  </si>
  <si>
    <t>RC/WBA/2526/0143</t>
  </si>
  <si>
    <t>RC/WBA/2526/0144</t>
  </si>
  <si>
    <t>RC/MHW/2526/0129</t>
  </si>
  <si>
    <t>Round Off</t>
  </si>
  <si>
    <t>SS SOAM ENGINEERS PRIVATE LIMITED-Drs</t>
  </si>
  <si>
    <t>RC/MHW/2526/0130</t>
  </si>
  <si>
    <t>RC/GUJ/2526/0219</t>
  </si>
  <si>
    <t>RC/GUJ/2526/0220</t>
  </si>
  <si>
    <t>DAKSHIN GUJARAT VIJ CO LTD RTGS NEFT COLLECTION-CR</t>
  </si>
  <si>
    <t>PV/GUJ/2526/0927</t>
  </si>
  <si>
    <t>Receipt (Panagarh-Galsi)WB</t>
  </si>
  <si>
    <t>RC/WBG/2526/3</t>
  </si>
  <si>
    <t>PV/GUJ/2526/0924</t>
  </si>
  <si>
    <t>PV/GUJ/2526/0925</t>
  </si>
  <si>
    <t>PV/MHF/2526/0218</t>
  </si>
  <si>
    <t>Receipt (Telangana)</t>
  </si>
  <si>
    <t>RC/TS/2526/0065</t>
  </si>
  <si>
    <t>PV/HO/2526/0768</t>
  </si>
  <si>
    <t>PV/GUJ/2526/0926</t>
  </si>
  <si>
    <t>Mohd. Saif - Employee</t>
  </si>
  <si>
    <t>PV/HO/2526/0769</t>
  </si>
  <si>
    <t>PV/MHW/2526/0328</t>
  </si>
  <si>
    <t>PV/HR/2526/0166</t>
  </si>
  <si>
    <t>RANJAN MAHANANDA - Employee</t>
  </si>
  <si>
    <t>PV/WBM/2526/0336</t>
  </si>
  <si>
    <t>Abhay Singh-Employee</t>
  </si>
  <si>
    <t>PV/HO/2526/0770</t>
  </si>
  <si>
    <t>PV/WBG/2526/0046</t>
  </si>
  <si>
    <t>RC/WBA/2526/0145</t>
  </si>
  <si>
    <t>NUVOCO VISTAS CORP. LTD. - Drs</t>
  </si>
  <si>
    <t>RC/GUJ/2526/0221</t>
  </si>
  <si>
    <t>RC/GUJ/2526/0222</t>
  </si>
  <si>
    <t>Renowned Buildtech Private Limited</t>
  </si>
  <si>
    <t>RC/WBM/2526/0157</t>
  </si>
  <si>
    <t>UMESH PANDEY ROAD LINES-Drs</t>
  </si>
  <si>
    <t>RC/WBA/2526/0146</t>
  </si>
  <si>
    <t>M/s Ahuja Concrete</t>
  </si>
  <si>
    <t>Receipt  (Haryana)</t>
  </si>
  <si>
    <t>RC/HR/2526/0029</t>
  </si>
  <si>
    <t>RC/MHF/2526/0110</t>
  </si>
  <si>
    <t>RC/MHF/2526/0111</t>
  </si>
  <si>
    <t>RC/WBM/2526/0158</t>
  </si>
  <si>
    <t>RC/APV/2526/0193</t>
  </si>
  <si>
    <t>RC/WBM/2526/0159</t>
  </si>
  <si>
    <t>PV/HR/2526/0165</t>
  </si>
  <si>
    <t>PV/HR/2526/0168</t>
  </si>
  <si>
    <t>PV/APV/2526/0220</t>
  </si>
  <si>
    <t>PV/APN/2526/166</t>
  </si>
  <si>
    <t>Saket Road Carriers Pvt Ltd - Crs</t>
  </si>
  <si>
    <t>PV/APV/2526/0222</t>
  </si>
  <si>
    <t>CJ DARCL Logistics Limited-Crs</t>
  </si>
  <si>
    <t>PV/APV/2526/0223</t>
  </si>
  <si>
    <t>PV/HR/2526/0169</t>
  </si>
  <si>
    <t>Steel Plus - Crs</t>
  </si>
  <si>
    <t>PV/GUJ/2526/0928</t>
  </si>
  <si>
    <t>Mataji Trading Co - Crs</t>
  </si>
  <si>
    <t>PV/GUJ/2526/0929</t>
  </si>
  <si>
    <t>URC Logistics Private Limited - Crs</t>
  </si>
  <si>
    <t>PV/WBH/2526/0162</t>
  </si>
  <si>
    <t>PV/MHW/2526/0329</t>
  </si>
  <si>
    <t>PV/APV/2526/0224</t>
  </si>
  <si>
    <t>Shree Parivahan Limited - Crs</t>
  </si>
  <si>
    <t>PV/WBM/2526/0337</t>
  </si>
  <si>
    <t>Yogya Logistics Pvt Ltd-CRS</t>
  </si>
  <si>
    <t>PV/MHW/2526/0330</t>
  </si>
  <si>
    <t>Paras Sales Corporation -Crs</t>
  </si>
  <si>
    <t>PV/MHN/2526/0477</t>
  </si>
  <si>
    <t>PUNAGHAR MATA TOOL CENTER - Crs</t>
  </si>
  <si>
    <t>PV/MHN/2526/0478</t>
  </si>
  <si>
    <t>BISWAJIT RUI DAS - Crs</t>
  </si>
  <si>
    <t>PV/WBM/2526/0338</t>
  </si>
  <si>
    <t>PV/HR/2526/0170</t>
  </si>
  <si>
    <t>PV/MHN/2526/0476</t>
  </si>
  <si>
    <t>PSC Industries - Drs</t>
  </si>
  <si>
    <t>RC/APV/2526/0194</t>
  </si>
  <si>
    <t>RC/APV/2526/0195</t>
  </si>
  <si>
    <t>RC/HR/2526/0030</t>
  </si>
  <si>
    <t>ELECTRO STEEL EMG CO - Crs</t>
  </si>
  <si>
    <t>PV/GUJ/2526/0930</t>
  </si>
  <si>
    <t>PV/GUJ/2526/0931</t>
  </si>
  <si>
    <t>PV/GUJ/2526/0932</t>
  </si>
  <si>
    <t>Avijit Chaubey - Employee</t>
  </si>
  <si>
    <t>PV/GUJ/2526/0933</t>
  </si>
  <si>
    <t>PV/WBM/2526/0339</t>
  </si>
  <si>
    <t>PV/MHF/2526/0219</t>
  </si>
  <si>
    <t>PV/MHF/2526/0220</t>
  </si>
  <si>
    <t>PV/HO/2526/0771</t>
  </si>
  <si>
    <t>PV/GUJ/2526/0934</t>
  </si>
  <si>
    <t>PV/WBG/2526/0048</t>
  </si>
  <si>
    <t>PV/WBG/2526/0049</t>
  </si>
  <si>
    <t>PV/WBG/2526/0050</t>
  </si>
  <si>
    <t>PV/WBG/2526/0051</t>
  </si>
  <si>
    <t>PV/APV/2526/0225</t>
  </si>
  <si>
    <t>PV/APV/2526/0226</t>
  </si>
  <si>
    <t>PV/APV/2526/0227</t>
  </si>
  <si>
    <t>Best Electro Mech-Crs</t>
  </si>
  <si>
    <t>PV/MHW/2526/0331</t>
  </si>
  <si>
    <t>Omkar Spare Parts &amp; Garage - Crs</t>
  </si>
  <si>
    <t>PV/MHW/2526/0332</t>
  </si>
  <si>
    <t>PV/MHN/2526/0480</t>
  </si>
  <si>
    <t>Ram Innovation &amp; Solutions-Crs</t>
  </si>
  <si>
    <t>PV/MHN/2526/0481</t>
  </si>
  <si>
    <t>Mangal Packaging Industries - Crs</t>
  </si>
  <si>
    <t>PV/MHN/2526/0482</t>
  </si>
  <si>
    <t>PV/GUJ/2526/0935</t>
  </si>
  <si>
    <t>WARSI ROADWAYS-CRS</t>
  </si>
  <si>
    <t>PV/GUJ/2526/0936</t>
  </si>
  <si>
    <t>PV/GUJ/2526/0937</t>
  </si>
  <si>
    <t>PV/GUJ/2526/0938</t>
  </si>
  <si>
    <t>PV/MHW/2526/0333</t>
  </si>
  <si>
    <t>PV/APN/2526/175</t>
  </si>
  <si>
    <t>PV/HR/2526/0171</t>
  </si>
  <si>
    <t>Revethi Dealers Pvt. Ltd.</t>
  </si>
  <si>
    <t>PV/WBA/2526/0399</t>
  </si>
  <si>
    <t>RC/GUJ/2526/0223</t>
  </si>
  <si>
    <t>RC/GUJ/2526/0224</t>
  </si>
  <si>
    <t>Closing Balance</t>
  </si>
  <si>
    <t>NelloreAP</t>
  </si>
  <si>
    <t>Tamilnadu</t>
  </si>
  <si>
    <t>Kerala</t>
  </si>
  <si>
    <t>Payment (Vizag)</t>
  </si>
  <si>
    <t>5WSLN06240060003</t>
  </si>
  <si>
    <t>Capex</t>
  </si>
  <si>
    <t>Grand Total</t>
  </si>
  <si>
    <t>PARTICULARS</t>
  </si>
  <si>
    <t>Salaries</t>
  </si>
  <si>
    <t>Sree Rama</t>
  </si>
  <si>
    <t>Amt in Lacs</t>
  </si>
  <si>
    <t>Teamlease Salaries</t>
  </si>
  <si>
    <t>Onroll Salaries</t>
  </si>
  <si>
    <t>TDS Payable</t>
  </si>
  <si>
    <t>Consultancy</t>
  </si>
  <si>
    <t>Electricity</t>
  </si>
  <si>
    <t>Rent</t>
  </si>
  <si>
    <t>Transporters</t>
  </si>
  <si>
    <t>Con. Labour&amp; Security</t>
  </si>
  <si>
    <t>Spares &amp; Repairs</t>
  </si>
  <si>
    <t>Auto Debits</t>
  </si>
  <si>
    <t>PDC Given</t>
  </si>
  <si>
    <t>Statutory Dues</t>
  </si>
  <si>
    <t>Rent &amp; Electricity</t>
  </si>
  <si>
    <t>Raw Material</t>
  </si>
  <si>
    <t>Wada, Guj, Galsi, Vizag</t>
  </si>
  <si>
    <t>Haryana &amp; Bhutan</t>
  </si>
  <si>
    <t>Others IMP</t>
  </si>
  <si>
    <t>Collection July- 2026</t>
  </si>
  <si>
    <t>Main</t>
  </si>
  <si>
    <t>Ratio</t>
  </si>
  <si>
    <t>Flyash Business</t>
  </si>
  <si>
    <t>Trading Business</t>
  </si>
  <si>
    <t>Total Panagarh</t>
  </si>
  <si>
    <t>Sairaj Ent</t>
  </si>
  <si>
    <t>Mangalmurti</t>
  </si>
  <si>
    <t>Chettinad</t>
  </si>
  <si>
    <t xml:space="preserve">Electricity Bill </t>
  </si>
  <si>
    <t>Saptarishi Majumdar / Sandeep Singh</t>
  </si>
  <si>
    <t>PDC</t>
  </si>
  <si>
    <t>TOATL</t>
  </si>
  <si>
    <t>ETC Pool</t>
  </si>
  <si>
    <t>FT-IOCLXPP1002085506-IOCL</t>
  </si>
  <si>
    <t>#</t>
  </si>
  <si>
    <t>Shri Raghavendra Enterprises - Crs</t>
  </si>
  <si>
    <t>Harish Ludhani - Employee</t>
  </si>
  <si>
    <t>Nellore</t>
  </si>
  <si>
    <t>HDFCH01204820167</t>
  </si>
  <si>
    <t>HDFCH01204817254</t>
  </si>
  <si>
    <t>HDFCH01206862998</t>
  </si>
  <si>
    <t>HDFCH01206863004</t>
  </si>
  <si>
    <t>Joshi Dharmarajan Andezath - Employee</t>
  </si>
  <si>
    <t>NEFT  - ICIC0000011 - Harish Ludhani - 002001545428 - Harish Ludhani</t>
  </si>
  <si>
    <t>NEFT  - UBIN0809551 - Andezath Joshi - 095510021050681 - Andezath Joshi</t>
  </si>
  <si>
    <t>FT -  Balram Chakrawarti -  00032470046425 - Balram Chakrawarti</t>
  </si>
  <si>
    <t>NEFT  - FDRL0002301 - Rushika Enterprise - 23010200000646 - Rushika Enterprise</t>
  </si>
  <si>
    <t>NEFT  - CNRB0011827 - Dmk Logistic - 120034126777 - Dmk Logistic</t>
  </si>
  <si>
    <t>Indian Oil Corporation Limited - Crs</t>
  </si>
  <si>
    <t>Dmk Logistic - Crs</t>
  </si>
  <si>
    <t>Rushika Enterprise - Crs</t>
  </si>
  <si>
    <t>Bangalore</t>
  </si>
  <si>
    <t>NEFT  - UTIB0001583 - SRM Logistics - 920020067135669 - SRM Logistics</t>
  </si>
  <si>
    <t>Srm Logistics - Crs</t>
  </si>
  <si>
    <t>Icegate IGST</t>
  </si>
  <si>
    <t>Rdc Concrete (India) Pvt Ltd</t>
  </si>
  <si>
    <t>CHQ DEP - TRANSFER OW 1 - MUMBAI CLEARIN: RDC CONCRETE (INDIA) :HDFC BANK LTD</t>
  </si>
  <si>
    <t>ETC POOL</t>
  </si>
  <si>
    <t>CO-ORDINATION GREEN PRODUCTS PRIVATE LIMITED -CR</t>
  </si>
  <si>
    <t>JANTA CEMENT INDUSTRIES-Crs</t>
  </si>
  <si>
    <t>Premier Roadlines Ltd - Crs</t>
  </si>
  <si>
    <t>Telangana</t>
  </si>
  <si>
    <t>SRK Buildwell Private Limited-Drs</t>
  </si>
  <si>
    <t>NEFT  - ICIC0000106 - ETC POOL - ETCCUG14982026 - ETC POOL</t>
  </si>
  <si>
    <t>FT -  Macpower Electricals -  99990000196925 - Macpower Electricals</t>
  </si>
  <si>
    <t>21/09/2026 18:39:08</t>
  </si>
  <si>
    <t xml:space="preserve"> </t>
  </si>
  <si>
    <t>HDFCH01275398113</t>
  </si>
  <si>
    <t>Bank Charges</t>
  </si>
  <si>
    <t>MACPOWER ELECTRICALS-Crs (Cap)</t>
  </si>
  <si>
    <t>Raipur</t>
  </si>
  <si>
    <t>22/09/2026 11:56:16</t>
  </si>
  <si>
    <t>CHQ DEP - CTS CLG1 - GOA, PANJIM TBG OPS</t>
  </si>
  <si>
    <t>NEFT  - ICIC0006985 - RATHI ASSOCIATES - 698505112093 - RATHI ASSOCIATES</t>
  </si>
  <si>
    <t>SOUTHERNPOWERDISTRIBUTIONCOMPANYOFANDHRA-Cr</t>
  </si>
  <si>
    <t>RATHI ASSOCIATES - Crs</t>
  </si>
  <si>
    <t>AKBAR TRAVELS OF INDIA PVT. LTD-Crs</t>
  </si>
  <si>
    <t>01/10/2026 01:37:24</t>
  </si>
  <si>
    <t>01/10/2026 05:38:57</t>
  </si>
  <si>
    <t>01/10/2026 13:04:11</t>
  </si>
  <si>
    <t>NEFT  - SBIN0001447 - Samdubling Metal - 31772947757 - Samdubling Metal</t>
  </si>
  <si>
    <t>01/10/2026 13:04:12</t>
  </si>
  <si>
    <t>NEFT  - UTIB0001486 - Kamakhya Enterprises - 924020056026505 - Kamakhya Enterprises</t>
  </si>
  <si>
    <t>01/10/2026 13:04:13</t>
  </si>
  <si>
    <t>01/10/2026 13:04:37</t>
  </si>
  <si>
    <t>NEFT  - SBIN0000026 - Shanidev Enterprise - 37348863334 - Shanidev Enterprise</t>
  </si>
  <si>
    <t>01/10/2026 13:05:34</t>
  </si>
  <si>
    <t>01/10/2026 16:20:04</t>
  </si>
  <si>
    <t>01/10/2026 16:20:05</t>
  </si>
  <si>
    <t>FT -  Mohd Saif Khan -  50200070315986 - Mohd Saif Khan</t>
  </si>
  <si>
    <t>01/10/2026 16:20:06</t>
  </si>
  <si>
    <t>FT -  Sai Industries -  50200104023900 - Sai Industries</t>
  </si>
  <si>
    <t>01/10/2026 16:20:07</t>
  </si>
  <si>
    <t>NEFT  - IDFB0040103 - FLEETX TECHNOLOGIES - 2407201713142 - FLEETX TECHNOLOGIES</t>
  </si>
  <si>
    <t>NEFT  - PUNB0052120 - Coordination Green - 0521202100000892 - Coordination Green</t>
  </si>
  <si>
    <t>01/10/2026 16:20:08</t>
  </si>
  <si>
    <t>01/10/2026 16:23:13</t>
  </si>
  <si>
    <t>NEFT  - UTIB0003599 - Neofines Solution - 923020061649242 - Neofines Solution</t>
  </si>
  <si>
    <t>01/10/2026 18:18:30</t>
  </si>
  <si>
    <t>CUS0088662 PenalChrg SS OverdueQ1 26-27</t>
  </si>
  <si>
    <t>01/10/2026 21:03:01</t>
  </si>
  <si>
    <t>01/10/2026 21:04:32</t>
  </si>
  <si>
    <t>FT -  R G Brothers Enginee -  50200046609360 - R G Brothers Enginee</t>
  </si>
  <si>
    <t>01/10/2026 21:04:33</t>
  </si>
  <si>
    <t>02/10/2026 13:15:32</t>
  </si>
  <si>
    <t>EPI-CBICICEGATE_DHCEYD91XVMGXL</t>
  </si>
  <si>
    <t>03/10/2026 01:38:17</t>
  </si>
  <si>
    <t>NEFT  - IDIB000T508 - SSP Enterprises - 8068729550 - SSP Enterprises</t>
  </si>
  <si>
    <t>HDFCH01294576579</t>
  </si>
  <si>
    <t>HDFCH01296253163</t>
  </si>
  <si>
    <t>HDFCH01296249219</t>
  </si>
  <si>
    <t>HDFCH01296249226</t>
  </si>
  <si>
    <t>HDFCH01296249230</t>
  </si>
  <si>
    <t>HDFCH01296254003</t>
  </si>
  <si>
    <t>1959593434</t>
  </si>
  <si>
    <t>1959593435</t>
  </si>
  <si>
    <t>HDFCH01297092466</t>
  </si>
  <si>
    <t>HDFCH01297092472</t>
  </si>
  <si>
    <t>1973521374</t>
  </si>
  <si>
    <t>1973521375</t>
  </si>
  <si>
    <t>HDFCH01297092486</t>
  </si>
  <si>
    <t>1973521380</t>
  </si>
  <si>
    <t>HDFCH01297095193</t>
  </si>
  <si>
    <t>HDFCH01297095205</t>
  </si>
  <si>
    <t>HDFCH01297095214</t>
  </si>
  <si>
    <t>HDFCH01297111968</t>
  </si>
  <si>
    <t>1971935597</t>
  </si>
  <si>
    <t>1974911586</t>
  </si>
  <si>
    <t>1974911590</t>
  </si>
  <si>
    <t>011976105517</t>
  </si>
  <si>
    <t>HDFCH01299942543</t>
  </si>
  <si>
    <t>01/10/2026 13:23:30</t>
  </si>
  <si>
    <t>NEFT Cr-ICIC0SF0002-SRK BUILDWELL PRIVATE LIMITED PROJE-ULTRAFINE MINERAL  ADMIXTURES-IN12627457688980</t>
  </si>
  <si>
    <t>01/10/2026 16:18:47</t>
  </si>
  <si>
    <t>01/10/2026 17:44:10</t>
  </si>
  <si>
    <t>50200053382175-TPT-Bill No 3026270248-R AND S ENTERPRISES</t>
  </si>
  <si>
    <t>01/10/2026 20:02:07</t>
  </si>
  <si>
    <t>NEFT Cr-SBIN0016446-NCC LIMITED-ULTRAFINE MINERAL AND ADMIXTURES-SBIN126274766908</t>
  </si>
  <si>
    <t>01/10/2026 22:06:17</t>
  </si>
  <si>
    <t>NEFT Cr-MAHB0001175-GMS INFRATECH-Ultrafine Minerals  Admixtures Pvt-MAHBH00166290339</t>
  </si>
  <si>
    <t>NCC LIMITED -DRS</t>
  </si>
  <si>
    <t>Samdrubling Metals Pvt Ltd - Crs</t>
  </si>
  <si>
    <t>Shanidev Enterprises - Crs</t>
  </si>
  <si>
    <t>SAI INDUSTRIES-Crs</t>
  </si>
  <si>
    <t>FLEETX TECHNOLOGIES PRIVATE LIMITED-Crs</t>
  </si>
  <si>
    <t>Neofines Solution-CRS</t>
  </si>
  <si>
    <t>R. G. Brothers Engineering Works - Crs</t>
  </si>
  <si>
    <t>SSP Enterprises - Crs</t>
  </si>
  <si>
    <t>03/10/2026 09:47:32</t>
  </si>
  <si>
    <t>NEFT  - SBIN0000489 - Fourteckh Enviro - 42030343519 - Fourteckh Enviro</t>
  </si>
  <si>
    <t>Fourteckh Enviro India Pvt Ltd - Crs</t>
  </si>
  <si>
    <t>HDFCH01300207888</t>
  </si>
  <si>
    <t>03/10/2026 09:47:34</t>
  </si>
  <si>
    <t>FT -  Vashi Solution Ltd -  50200050070484 - Vashi Solution Ltd</t>
  </si>
  <si>
    <t>Vashi Integrated Solution Limited - Crs</t>
  </si>
  <si>
    <t>1974911585</t>
  </si>
  <si>
    <t>03/10/2026 14:31:34</t>
  </si>
  <si>
    <t>NEFT  - UBIN0933376 - Sunrise Pump - 333725080000011 - Sunrise Pump</t>
  </si>
  <si>
    <t>NEFT  - PUNB0001810 - Cenlub System - 00184010000630 - Cenlub System</t>
  </si>
  <si>
    <t>03/10/2026 14:31:35</t>
  </si>
  <si>
    <t>NEFT  - ICIC0000039 - Midas Autosoft - 003905033436 - Midas Autosoft</t>
  </si>
  <si>
    <t>03/10/2026 16:47:13</t>
  </si>
  <si>
    <t>NEFT  - UBIN0531910 - Paras Sales Corporat - 319101010097449 - Paras Sales Corporat</t>
  </si>
  <si>
    <t>NEFT  - ICIC0006242 - I V S Industries - 624205014028 - I V S Industries</t>
  </si>
  <si>
    <t>03/10/2026 16:47:14</t>
  </si>
  <si>
    <t>NEFT  - SBIN0004805 - Rashmi Cement Ltd - 39705042432 - Rashmi Cement Ltd</t>
  </si>
  <si>
    <t>03/10/2026 16:47:15</t>
  </si>
  <si>
    <t>NEFT  - SBIN0031415 - LAXMI ENGINEERING - 61147746718 - LAXMI ENGINEERING</t>
  </si>
  <si>
    <t>03/10/2026 16:48:13</t>
  </si>
  <si>
    <t>03/10/2026 16:50:12</t>
  </si>
  <si>
    <t>NEFT  - CBIN0280824 - SREERAMA INDUSTRY - 3788668436 - SREERAMA INDUSTRY</t>
  </si>
  <si>
    <t>03/10/2026 16:50:13</t>
  </si>
  <si>
    <t>HDFCH01300916096</t>
  </si>
  <si>
    <t>HDFCH01300916101</t>
  </si>
  <si>
    <t>HDFCH01300916109</t>
  </si>
  <si>
    <t>HDFCH01301369391</t>
  </si>
  <si>
    <t>HDFCH01301369400</t>
  </si>
  <si>
    <t>HDFCH01301376890</t>
  </si>
  <si>
    <t>HDFCH01301376957</t>
  </si>
  <si>
    <t>1971935594</t>
  </si>
  <si>
    <t>HDFCH01301392433</t>
  </si>
  <si>
    <t>HDFCH01301392449</t>
  </si>
  <si>
    <t>03/10/2026 15:05:46</t>
  </si>
  <si>
    <t>FT - Cr - 57500001803372 - LANSUM &amp; MK REALTY LLP</t>
  </si>
  <si>
    <t>03/10/2026 16:06:14</t>
  </si>
  <si>
    <t>NEFT Cr-BKID0004252-ARITRA CONSTRUCTION-ULTRAFINE-BKIDY26276972378</t>
  </si>
  <si>
    <t>03/10/2026 16:21:08</t>
  </si>
  <si>
    <t>03/10/2026 16:44:42</t>
  </si>
  <si>
    <t xml:space="preserve">FT-  2026-10-03- P2100P2100 - 0073041655 </t>
  </si>
  <si>
    <t xml:space="preserve">FT-  2026-10-03- P2100P2100 - 0073041656 </t>
  </si>
  <si>
    <t xml:space="preserve">FT-  2026-10-03- P2100P2100 - 0073041657 </t>
  </si>
  <si>
    <t>03/10/2026 17:24:40</t>
  </si>
  <si>
    <t>RTGS Cr-INDB0000098-MAHESH TRADING CO-ULTRAFINE MINRAL AND ADMIXURES PVT -INDBR22026100300507422</t>
  </si>
  <si>
    <t>LANSUM &amp; MK REALTY LLP-Drs</t>
  </si>
  <si>
    <t>Sunrise Pd Pumps &amp; Systems - Crs</t>
  </si>
  <si>
    <t>Cenlub Systems - Crs</t>
  </si>
  <si>
    <t>Midas Autosoft Engineers Pvt Ltd - Crs</t>
  </si>
  <si>
    <t>I V S Industries - Crs</t>
  </si>
  <si>
    <t>Rashmi Cement - Crs</t>
  </si>
  <si>
    <t>LAXMI ENGINEERING INDUSTRIES - CRS</t>
  </si>
  <si>
    <t>TOTAL</t>
  </si>
  <si>
    <t>IOCL Consumption September</t>
  </si>
  <si>
    <t>05/10/2026 12:40:04</t>
  </si>
  <si>
    <t>FT -  RDC ICD HDFC CC -  00600200000050 - RDC ICD HDFC CC</t>
  </si>
  <si>
    <t>05/10/2026 14:57:35</t>
  </si>
  <si>
    <t>NEFT  - SBIN0001447 - DOED JUNG KUEN PHEN - 31772947757 - DOED JUNG KUEN PHEN</t>
  </si>
  <si>
    <t>05/10/2026 14:57:36</t>
  </si>
  <si>
    <t>NEFT  - KKBK0000627 - Inamrk Equipment - 06272000000288 - Inamrk Equipment</t>
  </si>
  <si>
    <t>05/10/2026 14:57:37</t>
  </si>
  <si>
    <t>NEFT  - SBIN0001447 - Exalt Druk Envirokl - 11128915571 - Exalt Druk Envirokl</t>
  </si>
  <si>
    <t>NEFT  - SBIN0001447 - Ace Himalya - 11128915571 - Ace Himalya</t>
  </si>
  <si>
    <t>05/10/2026 14:58:03</t>
  </si>
  <si>
    <t>FT -  MAA ENTERPRISE -  50200109850648 - MAA ENTERPRISE</t>
  </si>
  <si>
    <t>NEFT  - ICIC0006246 - CB SURATWALA AND SON - 624605069093 - CB SURATWALA AND SON</t>
  </si>
  <si>
    <t>05/10/2026 14:58:04</t>
  </si>
  <si>
    <t>NEFT  - PUNB0729300 - Infotech Computers - 7293008700000662 - Infotech Computers</t>
  </si>
  <si>
    <t>NEFT  - IBKL0001850 - Shree Pad Corporatio - 18500102000032203 - Shree Pad Corporation</t>
  </si>
  <si>
    <t>05/10/2026 14:58:36</t>
  </si>
  <si>
    <t>NEFT  - KKBK0002854 - Shree Mahalaxmi Tra - 2312908036 - Shree Mahalaxmi Traders</t>
  </si>
  <si>
    <t>05/10/2026 14:59:01</t>
  </si>
  <si>
    <t>NEFT  - UTIB0001486 - Kamakhya Enterprise - 924020056026505 - Kamakhya Enterprise</t>
  </si>
  <si>
    <t>05/10/2026 16:44:33</t>
  </si>
  <si>
    <t>NEFT  - IDFB0042268 - Rohit Prasad - 10197205384 - Rohit Prasad</t>
  </si>
  <si>
    <t>05/10/2026 16:44:34</t>
  </si>
  <si>
    <t>FT-CHETTINAD9214181-Chettinad Cement</t>
  </si>
  <si>
    <t>FT -  Ashutosh Singh -  50100650701477 - Ashutosh Singh</t>
  </si>
  <si>
    <t>05/10/2026 17:29:47</t>
  </si>
  <si>
    <t>05/10/2026 17:29:48</t>
  </si>
  <si>
    <t>05/10/2026 20:04:00</t>
  </si>
  <si>
    <t>06/10/2026 03:45:40</t>
  </si>
  <si>
    <t>AUTO TERM LOAN LIQUIDATED AGAINST 5WSLN06240060003</t>
  </si>
  <si>
    <t>06/10/2026 16:50:37</t>
  </si>
  <si>
    <t>RTGS Dr-SBIN0005996-Arcelormittal Nippo-CBX Internet-HDFCR52026100668342796-Arcelormittal Nippo</t>
  </si>
  <si>
    <t>06/10/2026 18:07:19</t>
  </si>
  <si>
    <t>NEFT  - ICIC0000106 - AMBUJA CEMENTS - AMBUJA9124210586 - AMBUJA CEMENTS</t>
  </si>
  <si>
    <t>06/10/2026 18:07:20</t>
  </si>
  <si>
    <t>06/10/2026 18:21:09</t>
  </si>
  <si>
    <t>NEFT  - IDFB0042563 - INDIA INTERNATIONAL - 79928911991 - INDIA INTERNATIONAL</t>
  </si>
  <si>
    <t>06/10/2026 18:22:11</t>
  </si>
  <si>
    <t>06/10/2026 18:22:45</t>
  </si>
  <si>
    <t>06/10/2026 18:22:46</t>
  </si>
  <si>
    <t>1969057684</t>
  </si>
  <si>
    <t>HDFCH01304452783</t>
  </si>
  <si>
    <t>HDFCH01304452796</t>
  </si>
  <si>
    <t>HDFCH01304452804</t>
  </si>
  <si>
    <t>HDFCH01304452813</t>
  </si>
  <si>
    <t>1981751702</t>
  </si>
  <si>
    <t>HDFCH01304449665</t>
  </si>
  <si>
    <t>HDFCH01304454241</t>
  </si>
  <si>
    <t>HDFCH01304449676</t>
  </si>
  <si>
    <t>HDFCH01304453748</t>
  </si>
  <si>
    <t>HDFCH01304456724</t>
  </si>
  <si>
    <t>HDFCH01304952389</t>
  </si>
  <si>
    <t>1982669475</t>
  </si>
  <si>
    <t>1982669476</t>
  </si>
  <si>
    <t>1982673060</t>
  </si>
  <si>
    <t>1983236871</t>
  </si>
  <si>
    <t>1983236872</t>
  </si>
  <si>
    <t>HDFCH01306273252</t>
  </si>
  <si>
    <t>HDFCR52026100668342796</t>
  </si>
  <si>
    <t>HDFCH01309284899</t>
  </si>
  <si>
    <t>HDFCH01309284909</t>
  </si>
  <si>
    <t>HDFCH01309376246</t>
  </si>
  <si>
    <t>1971935596</t>
  </si>
  <si>
    <t>HDFCH01309385310</t>
  </si>
  <si>
    <t>HDFCH01309385313</t>
  </si>
  <si>
    <t>RDC CONCRETE (INDIA) Pvt Ltd -ICD</t>
  </si>
  <si>
    <t>Exalt Druk Enviroklens Pvt Ltd - Crs</t>
  </si>
  <si>
    <t>MAA ENTERPRISE-Crs</t>
  </si>
  <si>
    <t>Ashutosh Kumar Singh-Employee</t>
  </si>
  <si>
    <t>HDFC Term Loan</t>
  </si>
  <si>
    <t>Inmark Equipments - Crs</t>
  </si>
  <si>
    <t>ACE HIMALAYAN FERRO ALLOYS PRIVATE LIMITED - CRS</t>
  </si>
  <si>
    <t>Info Tech Computers - Crs</t>
  </si>
  <si>
    <t>Shree Pad Corporation-Crs</t>
  </si>
  <si>
    <t>05/10/2026 11:02:10</t>
  </si>
  <si>
    <t>NEFT Cr-SBIN0004266-D E C INFRASTRUCTURE AND PROJECTS I-ULTRAFINE MINERAL  amp  ADMIXTURES-SBIF400020188382</t>
  </si>
  <si>
    <t>05/10/2026 15:03:28</t>
  </si>
  <si>
    <t>NEFT RETURN-INCORRECT ACCOUNT NUMBER-Shree Pad Corporation-IBKLN92026100526372626</t>
  </si>
  <si>
    <t>05/10/2026 16:38:46</t>
  </si>
  <si>
    <t>05/10/2026 16:47:46</t>
  </si>
  <si>
    <t>RTGS Cr-INDB0000098-MAHESH TRADING CO-ULTRAFINE MINRAL AND ADMIXURES PVT -INDBR22026100500548556</t>
  </si>
  <si>
    <t>05/10/2026 17:13:18</t>
  </si>
  <si>
    <t xml:space="preserve">FT-  2026-10-05- P2100P2100 - 0073042346 </t>
  </si>
  <si>
    <t>05/10/2026 17:25:06</t>
  </si>
  <si>
    <t>RTGS Cr-HSBC0400001-RDC CONCRETE INDIA LIMITED-ULTRAFINE MINERALS PVT LTD-HSBCR22026100539289369</t>
  </si>
  <si>
    <t>05/10/2026 17:25:08</t>
  </si>
  <si>
    <t>RTGS Cr-HSBC0400001-RDC CONCRETE INDIA LIMITED-ULTRAFINE MINERALS PVT LTD-HSBCR22026100539289430</t>
  </si>
  <si>
    <t>06/10/2026 15:16:04</t>
  </si>
  <si>
    <t>IMPS-627915088287-DRMENTERPRISE-UBIN-xxxxxxxxxxx0145-inv A342627100</t>
  </si>
  <si>
    <t>06/10/2026 16:45:05</t>
  </si>
  <si>
    <t>FT - C77805061026164055 -  - 01428470000015 - H. G. INFRA ENGINEERING LIMITED</t>
  </si>
  <si>
    <t>06/10/2026 17:38:49</t>
  </si>
  <si>
    <t>NEFT Cr-FDRL0002149-SENCO INDIA PROJECTS PRIVATE LIMIT-ULTRAFINE MINERAL   ADMIXTURE  PVT-FDRLH26279665461</t>
  </si>
  <si>
    <t>06/10/2026 18:10:11</t>
  </si>
  <si>
    <t xml:space="preserve">FT-  2026-10-06- P2100P2100 - 0073042670 </t>
  </si>
  <si>
    <t>06/10/2026 18:12:04</t>
  </si>
  <si>
    <t>FT- 1110055193ULTRAFINE-20248470000022 - G R INFRAPROJECTS LIMITED</t>
  </si>
  <si>
    <t>06/10/2026 19:39:14</t>
  </si>
  <si>
    <t>IMPS-627919156088-DRMENTERPRISE-UBIN-xxxxxxxxxxx0145-INV A342627101</t>
  </si>
  <si>
    <t>D.E.C. Infrastructure and Projects (India) PVT LTD-DRS</t>
  </si>
  <si>
    <t>DRM Enterprise-DRS</t>
  </si>
  <si>
    <t>Senco India Projects Private Limited</t>
  </si>
  <si>
    <t>07/10/2026 10:14:01</t>
  </si>
  <si>
    <t>FT -  Teamlease Salary -  00762300000828 - Teamlease Salary</t>
  </si>
  <si>
    <t>07/10/2026 10:49:36</t>
  </si>
  <si>
    <t>FT -  Anjali Tyre -  50200016177101 - Anjali Tyre</t>
  </si>
  <si>
    <t>07/10/2026 10:50:31</t>
  </si>
  <si>
    <t>NEFT  - IDFB0042501 - JANTA CEMENT INDUSTR - 10199863056 - JANTA CEMENT INDUSTRIES-Crs</t>
  </si>
  <si>
    <t>07/10/2026 18:22:37</t>
  </si>
  <si>
    <t>CBDT/Bank Reference No:X2628054234211/CIN No:26100700939277HDFC/Online</t>
  </si>
  <si>
    <t>CBDT/Bank Reference No:X2628054234310/CIN No:26100700947576HDFC/Online</t>
  </si>
  <si>
    <t>07/10/2026 18:22:44</t>
  </si>
  <si>
    <t>CBDT/Bank Reference No:X2628054234159/CIN No:26100700954230HDFC/Online</t>
  </si>
  <si>
    <t>07/10/2026 18:22:52</t>
  </si>
  <si>
    <t>CBDT/Bank Reference No:X2628054234578/CIN No:26100700988263HDFC/Online</t>
  </si>
  <si>
    <t>07/10/2026 18:23:06</t>
  </si>
  <si>
    <t>CBDT/Bank Reference No:X2628054234707/CIN No:26100700970489HDFC/Online</t>
  </si>
  <si>
    <t>07/10/2026 18:36:10</t>
  </si>
  <si>
    <t>NEFT  - IDFB0042501 - Janta Cement - 10199863556 - Janta Cement</t>
  </si>
  <si>
    <t>07/10/2026 18:36:50</t>
  </si>
  <si>
    <t>NEFT  - IBKL0001850 - Shree Pad Corporatio - 1850102000032203 - Shree Pad Corporation</t>
  </si>
  <si>
    <t>07/10/2026 18:37:17</t>
  </si>
  <si>
    <t>NEFT  - CNRB0000546 - Shri Raghavendra Ent - 120037205636 - Shri Raghavendra Enterprises - Crs</t>
  </si>
  <si>
    <t>08/10/2026 08:19:55</t>
  </si>
  <si>
    <t>CC 000555153XXXXXX1236 Autopay SI-TAD</t>
  </si>
  <si>
    <t>1990137632</t>
  </si>
  <si>
    <t>1988242988</t>
  </si>
  <si>
    <t>HDFCH01310826225</t>
  </si>
  <si>
    <t>261007170148450</t>
  </si>
  <si>
    <t>261007170157940</t>
  </si>
  <si>
    <t>261007170165211</t>
  </si>
  <si>
    <t>261007180028348</t>
  </si>
  <si>
    <t>261007180008676</t>
  </si>
  <si>
    <t>HDFCH01314349750</t>
  </si>
  <si>
    <t>HDFCH01314356695</t>
  </si>
  <si>
    <t>HDFCH01314363262</t>
  </si>
  <si>
    <t>771829611</t>
  </si>
  <si>
    <t>07/10/2026 11:03:03</t>
  </si>
  <si>
    <t>NEFT RETURN-CLOSED ACCOUNT NUMBER-JANTA CEMENT INDUSTRIES-Crs-IDFBN52026100771761564</t>
  </si>
  <si>
    <t>07/10/2026 13:34:03</t>
  </si>
  <si>
    <t>RTGS Cr-UBIN0561584-NEW INDIA CERAMIC ENGINEERS-ULTRAFINE MINERAL AND ADMIXTURES P-UBINR22026100701268591</t>
  </si>
  <si>
    <t>07/10/2026 17:11:41</t>
  </si>
  <si>
    <t>FT - Cr - 50200092091353 - SSY TRADING PRIVATE LIMITED</t>
  </si>
  <si>
    <t>07/10/2026 17:43:46</t>
  </si>
  <si>
    <t xml:space="preserve">FT-  2026-10-07- P2100P2100 - 0073042860 </t>
  </si>
  <si>
    <t>07/10/2026 19:32:58</t>
  </si>
  <si>
    <t>NEFT Cr-UTIB0003966-VISHWAS BUILD TECH-ULTRAFINE MINERAL AND ADMIXTURES PVT LTD.-AXODH28085764494</t>
  </si>
  <si>
    <t>07/10/2026 19:40:05</t>
  </si>
  <si>
    <t>NEFT Cr-UTIB0003966-VISHWAS BUILD TECH-ULTRAFINE MINERAL AND ADMIXTURES PVT LTD.-AXODH28085776128</t>
  </si>
  <si>
    <t>07/10/2026 19:42:01</t>
  </si>
  <si>
    <t>NEFT Cr-UTIB0003966-VISHWAS BUILD TECH-ULTRAFINE MINERAL AND ADMIXTURES PVT LTD.-AXODH28085766754</t>
  </si>
  <si>
    <t>Vishwas BuildTech - Drs</t>
  </si>
  <si>
    <t>New India Ceramic Engineers -  Drs</t>
  </si>
  <si>
    <t>Salary Payable</t>
  </si>
  <si>
    <t>M/s Anjali Tyres - Crs</t>
  </si>
  <si>
    <t>HDFC IOCL CREDIT CARD</t>
  </si>
  <si>
    <t>08/10/2026 11:29:04</t>
  </si>
  <si>
    <t>EPI-CBICICEGATE_EHCEPVV1YJPDV5</t>
  </si>
  <si>
    <t>08/10/2026 11:30:02</t>
  </si>
  <si>
    <t>08/10/2026 11:32:33</t>
  </si>
  <si>
    <t>NEFT  - ICIC0000106 - NSDL - NSDLCF1QS3 - NSDL</t>
  </si>
  <si>
    <t>08/10/2026 11:32:34</t>
  </si>
  <si>
    <t>FT -  Ravi Jadhav -  50100836795761 - Ravi Jadhav</t>
  </si>
  <si>
    <t>08/10/2026 16:50:31</t>
  </si>
  <si>
    <t>NEFT  - ICIC0001423 - Ashvarya Kumar Verma - 142301512888 - Ashvarya Kumar Verma</t>
  </si>
  <si>
    <t>08/10/2026 16:50:37</t>
  </si>
  <si>
    <t>FT -  Karim Shah -  50100801019039 - Karim Shah</t>
  </si>
  <si>
    <t>08/10/2026 16:51:34</t>
  </si>
  <si>
    <t>08/10/2026 17:59:05</t>
  </si>
  <si>
    <t>NEFT  - UTIB0000350 - Abhishri Logistics - 923020059856834 - Abhishri Logistics</t>
  </si>
  <si>
    <t>08/10/2026 17:59:10</t>
  </si>
  <si>
    <t>NEFT  - KKBK0000701 - Karthik Crane  Infr - 4611974293 - Karthik Crane  Infra Services- Crs</t>
  </si>
  <si>
    <t>NEFT  - BKID0001036 - R M Enterprises- Crs - 103620110000107 - R M Enterprises- Crs</t>
  </si>
  <si>
    <t>08/10/2026 17:59:11</t>
  </si>
  <si>
    <t>FT -  Mohamamd Salim -  50200101149422 - Mohamamd Salim</t>
  </si>
  <si>
    <t>08/10/2026 17:59:18</t>
  </si>
  <si>
    <t>NEFT  - KKBK0002224 - Sairaj Enterprises - 6450860836 - Sairaj Enterprises</t>
  </si>
  <si>
    <t>08/10/2026 18:00:36</t>
  </si>
  <si>
    <t>08/10/2026 18:02:08</t>
  </si>
  <si>
    <t>08/10/2026 18:08:04</t>
  </si>
  <si>
    <t>08/10/2026 18:08:13</t>
  </si>
  <si>
    <t>08/10/2026 18:08:14</t>
  </si>
  <si>
    <t>NEFT  - SBIN0008965 - MSEDCL CRS - MSEDHT01420819015810 - MSEDCL CRS</t>
  </si>
  <si>
    <t>NEFT  - ICIC0000104 - WBSEDCL (Galsi) - WBB9000103990818 - WBSEDCL (Galsi)</t>
  </si>
  <si>
    <t>011996805291</t>
  </si>
  <si>
    <t>1996709782</t>
  </si>
  <si>
    <t>HDFCH01315924691</t>
  </si>
  <si>
    <t>1996659280</t>
  </si>
  <si>
    <t>HDFCH01317169183</t>
  </si>
  <si>
    <t>1997557917</t>
  </si>
  <si>
    <t>HDFCH01317173347</t>
  </si>
  <si>
    <t>HDFCH01317173357</t>
  </si>
  <si>
    <t>HDFCH01317617713</t>
  </si>
  <si>
    <t>HDFCH01317614685</t>
  </si>
  <si>
    <t>HDFCH01317614688</t>
  </si>
  <si>
    <t>1998468173</t>
  </si>
  <si>
    <t>HDFCH01317621734</t>
  </si>
  <si>
    <t>HDFCH01317631546</t>
  </si>
  <si>
    <t>HDFCH01317636063</t>
  </si>
  <si>
    <t>HDFCH01317638803</t>
  </si>
  <si>
    <t>1993963669</t>
  </si>
  <si>
    <t>HDFCH01317676571</t>
  </si>
  <si>
    <t>HDFCH01317676572</t>
  </si>
  <si>
    <t>HDFCH01317676574</t>
  </si>
  <si>
    <t>08/10/2026 11:35:01</t>
  </si>
  <si>
    <t>NEFT Cr-ICIC0SF0002-PSC INDUSTRIES-ULTRAFINE MINERAL AND ADMIXTURE PVT LTD-IN42628156980897</t>
  </si>
  <si>
    <t>08/10/2026 15:16:18</t>
  </si>
  <si>
    <t>NEFT Cr-IBKL0NEFT01-CEMINDIA PROJECTS LIMITED-UltrafineMineralAdmixturesPvt-IBKL261008629856</t>
  </si>
  <si>
    <t>08/10/2026 16:53:45</t>
  </si>
  <si>
    <t xml:space="preserve">FT-  2026-10-08- P2100P2100 - 0073043774 </t>
  </si>
  <si>
    <t>08/10/2026 17:11:48</t>
  </si>
  <si>
    <t>99900014072008-TPT-bill 540 n 598-FUCONS TECHINDIA LLP</t>
  </si>
  <si>
    <t>08/10/2026 17:33:14</t>
  </si>
  <si>
    <t>CR-CHQ-000700-AMT-13960017-6-RTGS/FT Cr - 99977706072024 - RAGHAVA HIGHRISE PROJECTS</t>
  </si>
  <si>
    <t>08/10/2026 18:55:00</t>
  </si>
  <si>
    <t>RTGS Cr-RATN0000999-BUILDCAST SOLUTIONS PRIVATE LIMIT-ULTRAFINE MINERAL AND ADMIXTURES-RATNR52026100800595746</t>
  </si>
  <si>
    <t>RTGS Cr-RATN0000999-BUILDCAST SOLUTIONS PRIVATE LIMIT-ULTRAFINE MINERAL AND ADMIXTURES-RATNR52026100800595841</t>
  </si>
  <si>
    <t>08/10/2026 18:55:01</t>
  </si>
  <si>
    <t>RTGS Cr-RATN0000999-BUILDCAST SOLUTIONS PRIVATE LIMIT-ULTRAFINE MINERAL AND ADMIXTURES-RATNR52026100800595844</t>
  </si>
  <si>
    <t>RTGS Cr-RATN0000999-BUILDCAST SOLUTIONS PRIVATE LIMIT-ULTRAFINE MINERAL AND ADMIXTURES-RATNR52026100800595751</t>
  </si>
  <si>
    <t>08/10/2026 18:55:02</t>
  </si>
  <si>
    <t>RTGS Cr-RATN0000999-BUILDCAST SOLUTIONS PRIVATE LIMIT-ULTRAFINE MINERAL AND ADMIXTURES-RATNR52026100800595805</t>
  </si>
  <si>
    <t>RTGS Cr-RATN0000999-BUILDCAST SOLUTIONS PRIVATE LIMIT-ULTRAFINE MINERAL AND ADMIXTURES-RATNR52026100800595798</t>
  </si>
  <si>
    <t>08/10/2026 18:55:07</t>
  </si>
  <si>
    <t>RTGS Cr-RATN0000999-BUILDCAST SOLUTIONS PRIVATE LIMIT-ULTRAFINE MINERAL AND ADMIXTURES-RATNR52026100800595842</t>
  </si>
  <si>
    <t>RTGS Cr-RATN0000999-BUILDCAST SOLUTIONS PRIVATE LIMIT-ULTRAFINE MINERAL AND ADMIXTURES-RATNR52026100800595799</t>
  </si>
  <si>
    <t>08/10/2026 18:55:08</t>
  </si>
  <si>
    <t>RTGS Cr-RATN0000999-BUILDCAST SOLUTIONS PRIVATE LIMIT-ULTRAFINE MINERAL AND ADMIXTURES-RATNR52026100800595749</t>
  </si>
  <si>
    <t>RTGS Cr-RATN0000999-BUILDCAST SOLUTIONS PRIVATE LIMIT-ULTRAFINE MINERAL AND ADMIXTURES-RATNR52026100800595801</t>
  </si>
  <si>
    <t>08/10/2026 18:55:09</t>
  </si>
  <si>
    <t>RTGS Cr-RATN0000999-BUILDCAST SOLUTIONS PRIVATE LIMIT-ULTRAFINE MINERAL AND ADMIXTURES-RATNR52026100800595744</t>
  </si>
  <si>
    <t>RTGS Cr-RATN0000999-BUILDCAST SOLUTIONS PRIVATE LIMIT-ULTRAFINE MINERAL AND ADMIXTURES-RATNR52026100800595838</t>
  </si>
  <si>
    <t>08/10/2026 19:01:28</t>
  </si>
  <si>
    <t>NEFT Cr-RATN0000999-BUILDCAST SOLUTIONS PRIVATE LIMITED-ULTRAFINE MINERAL AND ADMIXTURES-000551002575</t>
  </si>
  <si>
    <t>08/10/2026 19:06:17</t>
  </si>
  <si>
    <t>NEFT Cr-UTIB0001004-NUVOCO VISTAS CORPORATION LIMITED-Ultrafine Mineral   Admixtures Pvt-AXISCN1492708459</t>
  </si>
  <si>
    <t>08/10/2026 19:11:09</t>
  </si>
  <si>
    <t>NEFT Cr-RATN0000999-BUILDCAST SOLUTIONS PRIVATE LIMITED-ULTRAFINE MINERAL AND ADMIXTURES-000551002573</t>
  </si>
  <si>
    <t>09/10/2026 08:16:31</t>
  </si>
  <si>
    <t>50200052778008-TPT-ULTRAFINE MINRAL-UNIQMIX CONCRETE</t>
  </si>
  <si>
    <t>TEAMLEASE SERVICES LTD. - Crs</t>
  </si>
  <si>
    <t>National Securities Depository Limited-Crs</t>
  </si>
  <si>
    <t>Ravi Jadhav-Employee</t>
  </si>
  <si>
    <t>Ashvarya Kumar Verma-Employee</t>
  </si>
  <si>
    <t>Abhishri Logistics and Travels- Crs</t>
  </si>
  <si>
    <t>Karthik Crane &amp; Infra Services- Crs</t>
  </si>
  <si>
    <t>R M Enterprises- Crs</t>
  </si>
  <si>
    <t>Salim</t>
  </si>
  <si>
    <t>Goa</t>
  </si>
  <si>
    <t>Cemindia Projects Limited - Drs</t>
  </si>
  <si>
    <t>Fucons Techindia LLP - Drs</t>
  </si>
  <si>
    <t>Raghava Highrise Projects - Drs</t>
  </si>
  <si>
    <t>Buildcast Solutions Private Limited - Drs</t>
  </si>
  <si>
    <t>Uniqmix Concrete- Drs</t>
  </si>
  <si>
    <t>09/10/2026 10:56:02</t>
  </si>
  <si>
    <t>RTGS Dr-SBIN0005996-Arcelormittal Nippo-CBX Internet-HDFCR52026100969594683-Arcelormittal Nippo</t>
  </si>
  <si>
    <t>09/10/2026 16:58:33</t>
  </si>
  <si>
    <t>FT -  Steel enterprise -  25128730000041 - Steel enterprise</t>
  </si>
  <si>
    <t>FT -  Bipin JadhaV -  50100099479943 - Bipin JadhaV</t>
  </si>
  <si>
    <t>NEFT  - BKID0008715 - Karishma Ramnaresh - 871518110000065 - Karishma Ramnaresh</t>
  </si>
  <si>
    <t>09/10/2026 16:58:34</t>
  </si>
  <si>
    <t>FT -  Eon Infotech Ltd -  50200013480785 - Eon Infotech Ltd</t>
  </si>
  <si>
    <t>NEFT  - SBIN0070029 - Arya CS - 67188499993 - Arya CS</t>
  </si>
  <si>
    <t>NEFT  - SBIN0012710 - DEEP ENTERPRISES - 38689464627 - DEEP ENTERPRISES</t>
  </si>
  <si>
    <t>NEFT  - BKID0008756 - Ramakant L Dalal - 875610110006405 - Ramakant L Dalal</t>
  </si>
  <si>
    <t>NEFT  - UBIN0559806 - KAPIL THAKARE - 598002010018074 - KAPIL THAKARE</t>
  </si>
  <si>
    <t>NEFT  - PUNB0RRBBGB - Jhuman Bagdi - 11520110016223 - Jhuman Bagdi</t>
  </si>
  <si>
    <t>NEFT  - CNRB0000342 - Sumangla Naik - 0342101012374 - Sumangla Naik</t>
  </si>
  <si>
    <t>NEFT  - MAHB0001402 - Yaa Baba Taj - 68016749275 - Yaa Baba Taj</t>
  </si>
  <si>
    <t>NEFT  - KKBK0000874 - Bhartiben Satishbhai - 08740140005125 - Bhartiben Satishbhai</t>
  </si>
  <si>
    <t>NEFT  - ICIC0000003 - Krishna Enterprise - 000305010086 - Krishna Enterprise</t>
  </si>
  <si>
    <t>NEFT  - UTIB0001642 - MADAN MOHAN SINGH - 913010046223654 - MADAN MOHAN SINGH</t>
  </si>
  <si>
    <t>NEFT  - SBIN0008542 - BISWAJIT RUI DAS - 33687731626 - BISWAJIT RUI DAS</t>
  </si>
  <si>
    <t>NEFT  - MAHB0000712 - Om Sai Krupa Chai - 60106081246 - Om Sai Krupa Chai</t>
  </si>
  <si>
    <t>NEFT  - UBIN0821161 - M B ENTERPRISE - 211610100058794 - M B ENTERPRISE</t>
  </si>
  <si>
    <t>NEFT  - ICIC0001460 - D.K. SERVICES - 146005500004 - D.K. SERVICES</t>
  </si>
  <si>
    <t>NEFT  - IDIB000K262 - AKRUTI ENTERPRISE - 7065999471 - AKRUTI ENTERPRISE</t>
  </si>
  <si>
    <t>NEFT  - ICIC0000391 - Nanak Auto Part - 039105003325 - Nanak Auto Part</t>
  </si>
  <si>
    <t>NEFT  - ICIC0000391 - Steel Plus - Crs - 039105500412 - Steel Plus - Crs</t>
  </si>
  <si>
    <t>NEFT  - BARB0ICHHAP - Firdosh Eurich - 18670100004648 - Firdosh Eurich</t>
  </si>
  <si>
    <t>NEFT  - ICIC0000692 - NAVEEN P REDDY - 777701335555 - NAVEEN P REDDY</t>
  </si>
  <si>
    <t>NEFT  - SBIN0018017 - Tara Shree Enterpri - 40995494500 - Tara Shree Enterpri</t>
  </si>
  <si>
    <t>NEFT  - KJSB0000201 - SAHIL ENTERPRISES - 201011100000919 - SAHIL ENTERPRISES</t>
  </si>
  <si>
    <t>NEFT  - IBKL0000196 - Jai Bhairunath - 0196102000034937 - Jai Bhairunath</t>
  </si>
  <si>
    <t>NEFT  - SBIN0001125 - KAMAL S PATIL - 11283084453 - KAMAL S PATIL</t>
  </si>
  <si>
    <t>NEFT  - FDRL0002298 - AVENGERS SECURITY - 22980200000641 - AVENGERS SECURITY</t>
  </si>
  <si>
    <t xml:space="preserve">NEFT  - ICIC0002603 - Verma Earthmovers - 260305500025 - Verma Earthmovers </t>
  </si>
  <si>
    <t>NEFT  - BKID0004306 - Hare Krishna Auto - 430620110000103 - Hare Krishna Auto</t>
  </si>
  <si>
    <t>NEFT  - KKBK0002224 - Omkar spare parts - 9050263441 - Omkar spare parts</t>
  </si>
  <si>
    <t>NEFT  - SBIN0012304 - Srihari Service Sta - 44573861765 - Srihari Service Sta</t>
  </si>
  <si>
    <t>NEFT  - UCBA0002168 - Mahalaxmi Industrial - 21680210001424 - Mahalaxmi Industrial</t>
  </si>
  <si>
    <t>NEFT  - ICIC0006246 - CB SURATWALA - 624605069093 - CB SURATWALA</t>
  </si>
  <si>
    <t>NEFT  - ICIC0001926 - Dev Security Serv - 192605001415 - Dev Security Serv</t>
  </si>
  <si>
    <t>NEFT  - FDRL0001576 - Alliance Enterprise - 15765500001079 - Alliance Enterprise</t>
  </si>
  <si>
    <t>NEFT  - IBKL0443SCC - Bharatkumar Shank - 805005001007163 - Bharatkumar Shank</t>
  </si>
  <si>
    <t>NEFT  - SBIN0006273 - Veena Dilip Bokde - 37856485590 - Veena Dilip Bokde</t>
  </si>
  <si>
    <t xml:space="preserve">NEFT  - MAHB0000153 - VANDANA SHARMA - 20003723290 - VANDANA SHARMA </t>
  </si>
  <si>
    <t>09/10/2026 17:00:46</t>
  </si>
  <si>
    <t>NEFT  - SBIN0005704 - Dukhiram Ruidas - 33266190470 - Dukhiram Ruidas</t>
  </si>
  <si>
    <t>09/10/2026 17:02:15</t>
  </si>
  <si>
    <t>NEFT  - SDCB0000086 - BN TRADING AND TRA - 0000808086041935 - BN TRADING AND TRANS</t>
  </si>
  <si>
    <t>09/10/2026 17:04:37</t>
  </si>
  <si>
    <t>NEFT  - IDIB000A063 - SHREYASHI H VAKHARIA - 507423679 - SHREYASHI H VAKHARIA</t>
  </si>
  <si>
    <t>09/10/2026 17:04:38</t>
  </si>
  <si>
    <t>NEFT  - CBIN0285026 - SRL Group  Company - 3802627473 - SRL Group  Company</t>
  </si>
  <si>
    <t>NEFT  - UBIN0559806 - TMS ENTERPRISES - 598001010050627 - TMS ENTERPRISES</t>
  </si>
  <si>
    <t>09/10/2026 17:04:39</t>
  </si>
  <si>
    <t>NEFT  - ICIC0004250 - Yogya Logistics - 425005000116 - Yogya Logistics</t>
  </si>
  <si>
    <t>NEFT  - SBIN0004048 - CJ DARCL Logistics - 10253805989 - CJ DARCL Logistics</t>
  </si>
  <si>
    <t>09/10/2026 17:04:41</t>
  </si>
  <si>
    <t>FT -  Saket Road Carriers -  50200033675593 - Saket Road Carriers</t>
  </si>
  <si>
    <t>FT -  Vaishnavi Aggregates -  50200054841652 - Vaishnavi Aggregates</t>
  </si>
  <si>
    <t>09/10/2026 17:05:06</t>
  </si>
  <si>
    <t>NEFT  - KKBK0002847 - Dokania Purushottam - 0047122260 - Dokania Purushottam</t>
  </si>
  <si>
    <t>09/10/2026 17:06:09</t>
  </si>
  <si>
    <t>NEFT  - IOBA0000301 - D H SECHERON PVT LTD - 030102000007607 - D H SECHERON PVT LTD</t>
  </si>
  <si>
    <t>09/10/2026 17:06:10</t>
  </si>
  <si>
    <t>09/10/2026 18:58:44</t>
  </si>
  <si>
    <t>FT -  Kaneria -  50200079167531 - Kaneria</t>
  </si>
  <si>
    <t>09/10/2026 18:58:46</t>
  </si>
  <si>
    <t>RTGS Dr-ICIC0000106-Ambuja-CBX Internet-HDFCR52026100970061454-Ambuja</t>
  </si>
  <si>
    <t>09/10/2026 18:58:50</t>
  </si>
  <si>
    <t>NEFT  - SBIN0016373 - KD Ent - 37237269696 - KD Ent</t>
  </si>
  <si>
    <t>09/10/2026 18:59:38</t>
  </si>
  <si>
    <t>NEFT  - ICIC0006242 - Nikhil Ash - 624205500839 - Nikhil Ash</t>
  </si>
  <si>
    <t>09/10/2026 19:00:40</t>
  </si>
  <si>
    <t>FT -  Vraj Cement -  50200006773867 - Vraj Cement</t>
  </si>
  <si>
    <t>11/10/2026 19:14:31</t>
  </si>
  <si>
    <t>FT -  Vashi Integrated -  50200050070484 - Vashi Integrated</t>
  </si>
  <si>
    <t>11/10/2026 19:14:32</t>
  </si>
  <si>
    <t>RTGS Dr-SBIN0000489-Fourteckh Enviro-CBX Internet-HDFCR52026101170387814-Fourteckh Enviro</t>
  </si>
  <si>
    <t>RTGS Dr-AMCB0660024-Miloni International-CBX Internet-HDFCR52026101170393454-Miloni International</t>
  </si>
  <si>
    <t>NEFT  - BACB0000009 - VRR Instruments - 009110100003282 - VRR Instruments</t>
  </si>
  <si>
    <t>12/10/2026 01:53:39</t>
  </si>
  <si>
    <t>HDFCR52026100969594683</t>
  </si>
  <si>
    <t>2001350291</t>
  </si>
  <si>
    <t>2001350295</t>
  </si>
  <si>
    <t>HDFCH01320186176</t>
  </si>
  <si>
    <t>2001352822</t>
  </si>
  <si>
    <t>HDFCH01320186254</t>
  </si>
  <si>
    <t>HDFCH01320186180</t>
  </si>
  <si>
    <t>HDFCH01320186182</t>
  </si>
  <si>
    <t>HDFCH01320186184</t>
  </si>
  <si>
    <t>HDFCH01320186187</t>
  </si>
  <si>
    <t>HDFCH01320186189</t>
  </si>
  <si>
    <t>HDFCH01320186191</t>
  </si>
  <si>
    <t>HDFCH01320186194</t>
  </si>
  <si>
    <t>HDFCH01320186196</t>
  </si>
  <si>
    <t>HDFCH01320186198</t>
  </si>
  <si>
    <t>HDFCH01320186200</t>
  </si>
  <si>
    <t>HDFCH01320186203</t>
  </si>
  <si>
    <t>HDFCH01320186205</t>
  </si>
  <si>
    <t>HDFCH01320186207</t>
  </si>
  <si>
    <t>HDFCH01320186209</t>
  </si>
  <si>
    <t>HDFCH01320186211</t>
  </si>
  <si>
    <t>HDFCH01320186214</t>
  </si>
  <si>
    <t>HDFCH01320186218</t>
  </si>
  <si>
    <t>HDFCH01320186220</t>
  </si>
  <si>
    <t>HDFCH01320186223</t>
  </si>
  <si>
    <t>HDFCH01320186225</t>
  </si>
  <si>
    <t>HDFCH01320186227</t>
  </si>
  <si>
    <t>HDFCH01320186229</t>
  </si>
  <si>
    <t>HDFCH01320186230</t>
  </si>
  <si>
    <t>HDFCH01320186232</t>
  </si>
  <si>
    <t>HDFCH01320186235</t>
  </si>
  <si>
    <t>HDFCH01320186237</t>
  </si>
  <si>
    <t>HDFCH01320186239</t>
  </si>
  <si>
    <t>HDFCH01320186241</t>
  </si>
  <si>
    <t>HDFCH01320186243</t>
  </si>
  <si>
    <t>HDFCH01320186245</t>
  </si>
  <si>
    <t>HDFCH01320186248</t>
  </si>
  <si>
    <t>HDFCH01320186250</t>
  </si>
  <si>
    <t>HDFCH01320186252</t>
  </si>
  <si>
    <t>HDFCH01320186178</t>
  </si>
  <si>
    <t>HDFCH01320192586</t>
  </si>
  <si>
    <t>HDFCH01320201281</t>
  </si>
  <si>
    <t>HDFCH01320212949</t>
  </si>
  <si>
    <t>HDFCH01320212953</t>
  </si>
  <si>
    <t>HDFCH01320212956</t>
  </si>
  <si>
    <t>HDFCH01320212964</t>
  </si>
  <si>
    <t>HDFCH01320212972</t>
  </si>
  <si>
    <t>2001349329</t>
  </si>
  <si>
    <t>2001349336</t>
  </si>
  <si>
    <t>HDFCH01320216313</t>
  </si>
  <si>
    <t>HDFCH01320223442</t>
  </si>
  <si>
    <t>HDFCH01320220026</t>
  </si>
  <si>
    <t>HDFCH01320225031</t>
  </si>
  <si>
    <t>2002933608</t>
  </si>
  <si>
    <t>HDFCR52026100970061454</t>
  </si>
  <si>
    <t>HDFCH01321303091</t>
  </si>
  <si>
    <t>HDFCH01321306772</t>
  </si>
  <si>
    <t>2002933604</t>
  </si>
  <si>
    <t>2004196619</t>
  </si>
  <si>
    <t>HDFCR52026101170387814</t>
  </si>
  <si>
    <t>HDFCR52026101170393454</t>
  </si>
  <si>
    <t>HDFCH01323076379</t>
  </si>
  <si>
    <t>HDFCH01323625724</t>
  </si>
  <si>
    <t>Bipin Jadhav Guest House - Crs</t>
  </si>
  <si>
    <t>Eon Infotech Ltd - Crs</t>
  </si>
  <si>
    <t>Jhuman Bagdi- Crs</t>
  </si>
  <si>
    <t>MADAN MOHAN SINGH-CRS</t>
  </si>
  <si>
    <t>Nanak Auto Parts-Crs</t>
  </si>
  <si>
    <t>KAMAL S PATIL - Crs</t>
  </si>
  <si>
    <t>AVENGERS SECURITY SERVICES-CR</t>
  </si>
  <si>
    <t>Alliance Enterprises - Crs</t>
  </si>
  <si>
    <t>Veena Dilip Bokde - Crs</t>
  </si>
  <si>
    <t>Dukhiram Ruidas - Crs</t>
  </si>
  <si>
    <t>TMS ENTERPRISES - Crs</t>
  </si>
  <si>
    <t>STEEL ENTERPRISE-CRS</t>
  </si>
  <si>
    <t>Karishma Ramnaresh Sharma-Crs</t>
  </si>
  <si>
    <t>Sumangala Naik - Crs</t>
  </si>
  <si>
    <t>BHARTIBEN SATISHBHAI PATEL-CR</t>
  </si>
  <si>
    <t>KRISHNA ENTERPRISES- Crs</t>
  </si>
  <si>
    <t>AKRUTI ENTERPRISE-CRS</t>
  </si>
  <si>
    <t>FIRDOSH ERUCH ICHHAPORIA-Crs</t>
  </si>
  <si>
    <t>NAVEEN P REDDY - Crs</t>
  </si>
  <si>
    <t>Verma Earthmovers - Crs</t>
  </si>
  <si>
    <t>Hare Krishna Auto Service (COCO Punp)- Crs</t>
  </si>
  <si>
    <t>Srihari Service Station- Crs</t>
  </si>
  <si>
    <t>Bharatkumar Shankarlal Patel-Crs</t>
  </si>
  <si>
    <t>VANDANA SHARMA - Crs</t>
  </si>
  <si>
    <t>SHREYASHI H VAKHARIA - Crs</t>
  </si>
  <si>
    <t>SRL Group and Company - Crs</t>
  </si>
  <si>
    <t>Vaishnavi Aggregates - Crs</t>
  </si>
  <si>
    <t>Dokania Purushottam - Crs</t>
  </si>
  <si>
    <t>D &amp; H SECHERON INFRASTRUCTURE PVT LTD - CRS</t>
  </si>
  <si>
    <t>Kaneria Building Solutions Pvt Ltd - Crs</t>
  </si>
  <si>
    <t>Nikhil Ash Handlers Pvt Ltd - Crs</t>
  </si>
  <si>
    <t>VRAJ Cement Carrier LLP Maharashtra - Crs</t>
  </si>
  <si>
    <t>Miloni International - Crs</t>
  </si>
  <si>
    <t>V.R.R Instruments - CRS</t>
  </si>
  <si>
    <t>flyash</t>
  </si>
  <si>
    <t>09/10/2026 17:21:58</t>
  </si>
  <si>
    <t>09/10/2026 17:48:05</t>
  </si>
  <si>
    <t>09/10/2026 18:18:09</t>
  </si>
  <si>
    <t>09/10/2026 19:29:44</t>
  </si>
  <si>
    <t>09/10/2026 20:03:26</t>
  </si>
  <si>
    <t>RTGS Cr-INDB0000098-MAHESH TRADING CO-ULTRAFINE MINRAL AND ADMIXURES PVT -INDBR22026100900712027</t>
  </si>
  <si>
    <t xml:space="preserve">FT-  2026-10-09- P2100P2100 - 0073044079 </t>
  </si>
  <si>
    <t>50200053382175-TPT-Bill No 3026270259-R AND S ENTERPRISES</t>
  </si>
  <si>
    <t>FT   2003084346 - 20270001798 - 00600200000050 - RDC CONCRETE INDIA  LIMITED</t>
  </si>
  <si>
    <t>NEFT Cr-UBIN0575208-LANSUM LEISURES AND ENTERTAINMENT L-UltrafineMineralAdmixturesPvtLtd-010728766245</t>
  </si>
  <si>
    <t>Lansum Leisures &amp; Entertainment Llp-Drs</t>
  </si>
  <si>
    <t>12/10/2026 10:26:32</t>
  </si>
  <si>
    <t>FT -  P K Traders -  50200084340758 - P K Traders</t>
  </si>
  <si>
    <t>12/10/2026 10:38:31</t>
  </si>
  <si>
    <t>RTGS Dr-SBIN0005996-Arcelormittal Nippo-CBX Internet-HDFCR52026101270508120-Arcelormittal Nippo</t>
  </si>
  <si>
    <t>12/10/2026 18:09:08</t>
  </si>
  <si>
    <t>NEFT  - ICIC0005777 - BHUMAN ENTERPRISE - 026405501008 - BHUMAN ENTERPRISE</t>
  </si>
  <si>
    <t>12/10/2026 18:09:11</t>
  </si>
  <si>
    <t>FT -  JFC Logistics -  50200062035182 - JFC Logistics</t>
  </si>
  <si>
    <t>12/10/2026 18:24:34</t>
  </si>
  <si>
    <t>NEFT  - SBIN0001053 - SBI Fund Transfer - 42146788683 - SBI Fund Transfer</t>
  </si>
  <si>
    <t>12/10/2026 18:24:35</t>
  </si>
  <si>
    <t>12/10/2026 18:25:34</t>
  </si>
  <si>
    <t>12/10/2026 18:25:35</t>
  </si>
  <si>
    <t>NEFT  - ICIC0000104 - WBSEDCL - WBB9000058974845 - WBSEDCL</t>
  </si>
  <si>
    <t>12/10/2026 18:25:42</t>
  </si>
  <si>
    <t>1998919004</t>
  </si>
  <si>
    <t>HDFCR52026101270508120</t>
  </si>
  <si>
    <t>HDFCH01325835088</t>
  </si>
  <si>
    <t>2001349316</t>
  </si>
  <si>
    <t>HDFCH01325932374</t>
  </si>
  <si>
    <t>HDFCH01325931449</t>
  </si>
  <si>
    <t>HDFCH01325927832</t>
  </si>
  <si>
    <t>HDFCH01325931265</t>
  </si>
  <si>
    <t>HDFCH01325935011</t>
  </si>
  <si>
    <t>2006953081</t>
  </si>
  <si>
    <t>12/10/2026 10:35:17</t>
  </si>
  <si>
    <t>NEFT Cr-MAHB0001175-GMS INFRATECH-Ultrafine Minerals  Admixtures Pvt-MAHBH00267456043</t>
  </si>
  <si>
    <t>12/10/2026 14:30:26</t>
  </si>
  <si>
    <t>12/10/2026 15:05:07</t>
  </si>
  <si>
    <t>NEFT Cr-ICIC0000105-ANIL DAS CONSTRUCTIONS PRIVATE LIMITED-Ultrafine Minerals and Admixtures-IN42628500019784</t>
  </si>
  <si>
    <t>12/10/2026 15:12:08</t>
  </si>
  <si>
    <t>RTGS Cr-YESB0000001-M VENKATA RAO INFRA PROJECTS PRIVAT-ULTRAFINE MINERALS AND ADMIXTURES P-YESBR52026101258542371</t>
  </si>
  <si>
    <t>12/10/2026 17:49:47</t>
  </si>
  <si>
    <t>RTGS Cr-UTIB0000538-KLC CONSTRUCTIONS-ULTRAFINE MINERAL ADMIXTURES PVT LTD-UTIBR52026101200371696</t>
  </si>
  <si>
    <t>12/10/2026 17:53:16</t>
  </si>
  <si>
    <t xml:space="preserve">FT-  2026-10-12- P2100P2100 - 0073045770 </t>
  </si>
  <si>
    <t>12/10/2026 18:05:36</t>
  </si>
  <si>
    <t>FT- 1110057028ULTRAFINE-20248470000022 - G R INFRAPROJECTS LIMITED</t>
  </si>
  <si>
    <t>12/10/2026 18:40:05</t>
  </si>
  <si>
    <t>NEFT Cr-SBIN0004266-CAPACITE INFRAPROJECTS LTD-90740 ULTRAFINE MINERAL   ADMIXTURE-SBIN226285541304</t>
  </si>
  <si>
    <t>12/10/2026 18:54:13</t>
  </si>
  <si>
    <t>FT- 20270001871-00600200000050 - RDC CONCRETE INDIA  LIMITED</t>
  </si>
  <si>
    <t>12/10/2026 20:49:43</t>
  </si>
  <si>
    <t>RTGS Cr-ICIC0099999-RAMTEJA CONSTRUCTIONS PRIVATE LIMIT-Ultrafine Mineral   Admixtures Priv-ICICR22026101219329637</t>
  </si>
  <si>
    <t>Anil Das Constructions Private Limited-Drs</t>
  </si>
  <si>
    <t>M. Venkata Rao Infra Projects Pvt Ltd - Drs</t>
  </si>
  <si>
    <t>KLC Constructions-Drs</t>
  </si>
  <si>
    <t>Capacite Infraprojects Limited - Drs</t>
  </si>
  <si>
    <t>Ramteja Constructions Private Limited-Drs</t>
  </si>
  <si>
    <t>P.K. Traders- Crs</t>
  </si>
  <si>
    <t>WBSEDCL-CRS</t>
  </si>
  <si>
    <t>JFC Logistics - Crs</t>
  </si>
  <si>
    <r>
      <t xml:space="preserve">Cash Flow as of 12th October, 2026                                                                      </t>
    </r>
    <r>
      <rPr>
        <b/>
        <sz val="10"/>
        <color theme="1"/>
        <rFont val="Cambria"/>
        <family val="1"/>
        <scheme val="major"/>
      </rPr>
      <t>Amt in Lacs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</si>
</sst>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_);\(0\)"/>
    <numFmt numFmtId="167" formatCode="dd\-mmm\-yy"/>
    <numFmt numFmtId="168" formatCode="&quot;&quot;0"/>
    <numFmt numFmtId="169" formatCode="&quot;&quot;0.00"/>
    <numFmt numFmtId="170" formatCode="&quot;&quot;0.00&quot; Cr&quot;"/>
    <numFmt numFmtId="171" formatCode="&quot;&quot;0.00&quot; Dr&quot;"/>
    <numFmt numFmtId="172" formatCode="dd/mm/yyyy\ hh:mm:ss"/>
    <numFmt numFmtId="173" formatCode="[$-F800]dddd\,\ mmmm\ dd\,\ yyyy"/>
    <numFmt numFmtId="174" formatCode="[$-F800]dddd\,\ mmmm\ d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u/>
      <sz val="12"/>
      <color theme="1"/>
      <name val="Cambria"/>
      <family val="1"/>
      <scheme val="maj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/>
    <xf numFmtId="165" fontId="4" fillId="0" borderId="1" xfId="1" applyNumberFormat="1" applyFont="1" applyBorder="1"/>
    <xf numFmtId="165" fontId="4" fillId="0" borderId="1" xfId="0" applyNumberFormat="1" applyFont="1" applyBorder="1"/>
    <xf numFmtId="165" fontId="4" fillId="0" borderId="0" xfId="0" applyNumberFormat="1" applyFont="1"/>
    <xf numFmtId="0" fontId="5" fillId="0" borderId="1" xfId="0" applyFont="1" applyBorder="1"/>
    <xf numFmtId="165" fontId="3" fillId="0" borderId="1" xfId="1" applyNumberFormat="1" applyFont="1" applyBorder="1"/>
    <xf numFmtId="0" fontId="0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6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/>
    </xf>
    <xf numFmtId="0" fontId="4" fillId="0" borderId="3" xfId="0" applyFont="1" applyBorder="1" applyAlignment="1">
      <alignment vertical="center"/>
    </xf>
    <xf numFmtId="0" fontId="3" fillId="0" borderId="3" xfId="0" applyFont="1" applyBorder="1"/>
    <xf numFmtId="0" fontId="4" fillId="0" borderId="1" xfId="0" applyFont="1" applyBorder="1" applyAlignment="1">
      <alignment vertical="center"/>
    </xf>
    <xf numFmtId="49" fontId="7" fillId="0" borderId="5" xfId="0" applyNumberFormat="1" applyFont="1" applyFill="1" applyBorder="1" applyAlignment="1" applyProtection="1">
      <alignment horizontal="right" vertical="top"/>
    </xf>
    <xf numFmtId="49" fontId="8" fillId="0" borderId="5" xfId="0" applyNumberFormat="1" applyFont="1" applyFill="1" applyBorder="1" applyAlignment="1" applyProtection="1">
      <alignment vertical="top"/>
    </xf>
    <xf numFmtId="49" fontId="7" fillId="0" borderId="5" xfId="0" applyNumberFormat="1" applyFont="1" applyFill="1" applyBorder="1" applyAlignment="1" applyProtection="1">
      <alignment vertical="top"/>
    </xf>
    <xf numFmtId="49" fontId="8" fillId="0" borderId="5" xfId="0" applyNumberFormat="1" applyFont="1" applyFill="1" applyBorder="1" applyAlignment="1" applyProtection="1">
      <alignment horizontal="right" vertical="top"/>
    </xf>
    <xf numFmtId="167" fontId="9" fillId="0" borderId="0" xfId="0" applyNumberFormat="1" applyFont="1" applyFill="1" applyBorder="1" applyAlignment="1" applyProtection="1">
      <alignment horizontal="right" vertical="top"/>
    </xf>
    <xf numFmtId="49" fontId="9" fillId="0" borderId="0" xfId="0" applyNumberFormat="1" applyFont="1" applyFill="1" applyBorder="1" applyAlignment="1" applyProtection="1">
      <alignment vertical="top"/>
    </xf>
    <xf numFmtId="49" fontId="10" fillId="0" borderId="0" xfId="0" applyNumberFormat="1" applyFont="1" applyFill="1" applyBorder="1" applyAlignment="1" applyProtection="1">
      <alignment vertical="top"/>
    </xf>
    <xf numFmtId="168" fontId="10" fillId="0" borderId="0" xfId="0" applyNumberFormat="1" applyFont="1" applyFill="1" applyBorder="1" applyAlignment="1" applyProtection="1">
      <alignment horizontal="right" vertical="top"/>
    </xf>
    <xf numFmtId="169" fontId="10" fillId="0" borderId="0" xfId="0" applyNumberFormat="1" applyFont="1" applyFill="1" applyBorder="1" applyAlignment="1" applyProtection="1">
      <alignment horizontal="right" vertical="top"/>
    </xf>
    <xf numFmtId="167" fontId="7" fillId="0" borderId="0" xfId="0" applyNumberFormat="1" applyFont="1" applyFill="1" applyBorder="1" applyAlignment="1" applyProtection="1">
      <alignment horizontal="right" vertical="top"/>
    </xf>
    <xf numFmtId="49" fontId="8" fillId="0" borderId="0" xfId="0" applyNumberFormat="1" applyFont="1" applyFill="1" applyBorder="1" applyAlignment="1" applyProtection="1">
      <alignment vertical="top"/>
    </xf>
    <xf numFmtId="49" fontId="7" fillId="0" borderId="0" xfId="0" applyNumberFormat="1" applyFont="1" applyFill="1" applyBorder="1" applyAlignment="1" applyProtection="1">
      <alignment horizontal="right" vertical="top"/>
    </xf>
    <xf numFmtId="168" fontId="8" fillId="0" borderId="0" xfId="0" applyNumberFormat="1" applyFont="1" applyFill="1" applyBorder="1" applyAlignment="1" applyProtection="1">
      <alignment horizontal="right" vertical="top"/>
    </xf>
    <xf numFmtId="170" fontId="8" fillId="0" borderId="0" xfId="0" applyNumberFormat="1" applyFont="1" applyFill="1" applyBorder="1" applyAlignment="1" applyProtection="1">
      <alignment horizontal="right" vertical="top"/>
    </xf>
    <xf numFmtId="171" fontId="8" fillId="0" borderId="0" xfId="0" applyNumberFormat="1" applyFont="1" applyFill="1" applyBorder="1" applyAlignment="1" applyProtection="1">
      <alignment horizontal="right" vertical="top"/>
    </xf>
    <xf numFmtId="169" fontId="9" fillId="0" borderId="6" xfId="0" applyNumberFormat="1" applyFont="1" applyFill="1" applyBorder="1" applyAlignment="1" applyProtection="1">
      <alignment horizontal="right" vertical="top"/>
    </xf>
    <xf numFmtId="49" fontId="9" fillId="0" borderId="0" xfId="0" applyNumberFormat="1" applyFont="1" applyFill="1" applyBorder="1" applyAlignment="1" applyProtection="1">
      <alignment horizontal="right" vertical="top"/>
    </xf>
    <xf numFmtId="49" fontId="10" fillId="0" borderId="0" xfId="0" applyNumberFormat="1" applyFont="1" applyFill="1" applyBorder="1" applyAlignment="1" applyProtection="1">
      <alignment horizontal="left" vertical="top" indent="5"/>
    </xf>
    <xf numFmtId="168" fontId="9" fillId="0" borderId="0" xfId="0" applyNumberFormat="1" applyFont="1" applyFill="1" applyBorder="1" applyAlignment="1" applyProtection="1">
      <alignment horizontal="right" vertical="top"/>
    </xf>
    <xf numFmtId="169" fontId="10" fillId="0" borderId="5" xfId="0" applyNumberFormat="1" applyFont="1" applyFill="1" applyBorder="1" applyAlignment="1" applyProtection="1">
      <alignment horizontal="right" vertical="top"/>
    </xf>
    <xf numFmtId="172" fontId="0" fillId="0" borderId="0" xfId="0" applyNumberFormat="1" applyFont="1" applyBorder="1" applyAlignment="1">
      <alignment horizontal="center"/>
    </xf>
    <xf numFmtId="43" fontId="4" fillId="0" borderId="0" xfId="0" applyNumberFormat="1" applyFont="1"/>
    <xf numFmtId="164" fontId="11" fillId="4" borderId="1" xfId="1" applyFont="1" applyFill="1" applyBorder="1" applyAlignment="1">
      <alignment horizontal="center"/>
    </xf>
    <xf numFmtId="164" fontId="0" fillId="0" borderId="1" xfId="1" applyFont="1" applyBorder="1" applyAlignment="1">
      <alignment horizontal="center"/>
    </xf>
    <xf numFmtId="164" fontId="2" fillId="0" borderId="7" xfId="1" applyFont="1" applyBorder="1" applyAlignment="1">
      <alignment horizontal="center"/>
    </xf>
    <xf numFmtId="9" fontId="2" fillId="0" borderId="7" xfId="2" applyFont="1" applyBorder="1" applyAlignment="1">
      <alignment horizontal="center"/>
    </xf>
    <xf numFmtId="0" fontId="0" fillId="0" borderId="0" xfId="0" applyNumberFormat="1" applyFont="1" applyBorder="1" applyAlignment="1">
      <alignment horizontal="left"/>
    </xf>
    <xf numFmtId="1" fontId="4" fillId="0" borderId="1" xfId="0" applyNumberFormat="1" applyFont="1" applyBorder="1"/>
    <xf numFmtId="1" fontId="5" fillId="0" borderId="1" xfId="0" applyNumberFormat="1" applyFont="1" applyBorder="1"/>
    <xf numFmtId="0" fontId="3" fillId="3" borderId="1" xfId="0" applyFont="1" applyFill="1" applyBorder="1"/>
    <xf numFmtId="22" fontId="2" fillId="2" borderId="1" xfId="0" applyNumberFormat="1" applyFont="1" applyFill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0" xfId="0" applyFont="1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5" fontId="2" fillId="0" borderId="0" xfId="1" applyNumberFormat="1" applyFont="1" applyBorder="1" applyAlignment="1">
      <alignment horizontal="left"/>
    </xf>
    <xf numFmtId="22" fontId="2" fillId="2" borderId="1" xfId="0" applyNumberFormat="1" applyFont="1" applyFill="1" applyBorder="1" applyAlignment="1">
      <alignment horizontal="left" wrapText="1"/>
    </xf>
    <xf numFmtId="165" fontId="2" fillId="2" borderId="1" xfId="1" applyNumberFormat="1" applyFont="1" applyFill="1" applyBorder="1" applyAlignment="1">
      <alignment horizontal="left" wrapText="1"/>
    </xf>
    <xf numFmtId="22" fontId="0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165" fontId="0" fillId="0" borderId="1" xfId="1" applyNumberFormat="1" applyFont="1" applyBorder="1" applyAlignment="1">
      <alignment horizontal="left" wrapText="1"/>
    </xf>
    <xf numFmtId="1" fontId="0" fillId="0" borderId="1" xfId="0" quotePrefix="1" applyNumberFormat="1" applyFont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172" fontId="2" fillId="2" borderId="1" xfId="0" applyNumberFormat="1" applyFont="1" applyFill="1" applyBorder="1" applyAlignment="1">
      <alignment horizontal="center" wrapText="1"/>
    </xf>
    <xf numFmtId="22" fontId="2" fillId="2" borderId="0" xfId="0" applyNumberFormat="1" applyFont="1" applyFill="1" applyBorder="1" applyAlignment="1">
      <alignment horizontal="center" wrapText="1"/>
    </xf>
    <xf numFmtId="2" fontId="0" fillId="0" borderId="1" xfId="0" applyNumberFormat="1" applyFont="1" applyBorder="1" applyAlignment="1">
      <alignment horizontal="center" vertical="top" wrapText="1"/>
    </xf>
    <xf numFmtId="172" fontId="0" fillId="0" borderId="0" xfId="0" applyNumberFormat="1" applyFont="1" applyBorder="1" applyAlignment="1">
      <alignment horizontal="center" wrapText="1"/>
    </xf>
    <xf numFmtId="0" fontId="0" fillId="0" borderId="0" xfId="0" applyFont="1" applyBorder="1" applyAlignment="1">
      <alignment wrapText="1"/>
    </xf>
    <xf numFmtId="0" fontId="0" fillId="0" borderId="0" xfId="0" applyNumberFormat="1" applyFont="1" applyBorder="1" applyAlignment="1">
      <alignment horizontal="left" vertical="top" wrapText="1"/>
    </xf>
    <xf numFmtId="172" fontId="0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vertical="top" wrapText="1"/>
    </xf>
    <xf numFmtId="0" fontId="0" fillId="0" borderId="0" xfId="0" applyFont="1" applyFill="1" applyBorder="1"/>
    <xf numFmtId="0" fontId="0" fillId="0" borderId="1" xfId="0" applyBorder="1"/>
    <xf numFmtId="9" fontId="0" fillId="0" borderId="1" xfId="2" applyFont="1" applyBorder="1"/>
    <xf numFmtId="22" fontId="0" fillId="0" borderId="1" xfId="0" applyNumberFormat="1" applyFont="1" applyBorder="1" applyAlignment="1">
      <alignment horizontal="center" wrapText="1"/>
    </xf>
    <xf numFmtId="173" fontId="4" fillId="0" borderId="0" xfId="0" applyNumberFormat="1" applyFont="1"/>
    <xf numFmtId="0" fontId="2" fillId="2" borderId="1" xfId="0" applyNumberFormat="1" applyFont="1" applyFill="1" applyBorder="1" applyAlignment="1">
      <alignment horizontal="left" wrapText="1"/>
    </xf>
    <xf numFmtId="0" fontId="0" fillId="0" borderId="0" xfId="0" applyNumberFormat="1" applyFont="1" applyAlignment="1">
      <alignment horizontal="left"/>
    </xf>
    <xf numFmtId="165" fontId="0" fillId="0" borderId="0" xfId="1" applyNumberFormat="1" applyFont="1" applyBorder="1"/>
    <xf numFmtId="165" fontId="2" fillId="0" borderId="0" xfId="1" applyNumberFormat="1" applyFont="1" applyBorder="1"/>
    <xf numFmtId="165" fontId="2" fillId="2" borderId="1" xfId="1" applyNumberFormat="1" applyFont="1" applyFill="1" applyBorder="1" applyAlignment="1">
      <alignment horizontal="center" wrapText="1"/>
    </xf>
    <xf numFmtId="165" fontId="0" fillId="0" borderId="1" xfId="1" applyNumberFormat="1" applyFont="1" applyFill="1" applyBorder="1" applyAlignment="1">
      <alignment wrapText="1"/>
    </xf>
    <xf numFmtId="165" fontId="0" fillId="0" borderId="1" xfId="1" applyNumberFormat="1" applyFont="1" applyBorder="1" applyAlignment="1">
      <alignment horizontal="center" vertical="top" wrapText="1"/>
    </xf>
    <xf numFmtId="165" fontId="0" fillId="0" borderId="0" xfId="1" applyNumberFormat="1" applyFont="1" applyBorder="1" applyAlignment="1">
      <alignment wrapText="1"/>
    </xf>
    <xf numFmtId="0" fontId="3" fillId="5" borderId="3" xfId="0" applyFont="1" applyFill="1" applyBorder="1" applyAlignment="1">
      <alignment horizontal="left" vertical="center"/>
    </xf>
    <xf numFmtId="166" fontId="3" fillId="5" borderId="1" xfId="0" applyNumberFormat="1" applyFont="1" applyFill="1" applyBorder="1" applyAlignment="1">
      <alignment horizontal="right" vertical="center"/>
    </xf>
    <xf numFmtId="165" fontId="3" fillId="5" borderId="1" xfId="1" applyNumberFormat="1" applyFont="1" applyFill="1" applyBorder="1"/>
    <xf numFmtId="43" fontId="0" fillId="0" borderId="0" xfId="0" applyNumberFormat="1" applyFont="1" applyAlignment="1">
      <alignment horizontal="left"/>
    </xf>
    <xf numFmtId="0" fontId="12" fillId="0" borderId="1" xfId="0" applyFont="1" applyBorder="1"/>
    <xf numFmtId="174" fontId="11" fillId="4" borderId="1" xfId="1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left" vertical="top" wrapText="1"/>
    </xf>
    <xf numFmtId="0" fontId="0" fillId="0" borderId="1" xfId="0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165" fontId="11" fillId="4" borderId="1" xfId="1" applyNumberFormat="1" applyFont="1" applyFill="1" applyBorder="1" applyAlignment="1">
      <alignment horizontal="center"/>
    </xf>
    <xf numFmtId="165" fontId="0" fillId="0" borderId="1" xfId="1" applyNumberFormat="1" applyFont="1" applyBorder="1"/>
    <xf numFmtId="165" fontId="2" fillId="0" borderId="7" xfId="1" applyNumberFormat="1" applyFont="1" applyBorder="1" applyAlignment="1">
      <alignment horizontal="center"/>
    </xf>
    <xf numFmtId="165" fontId="0" fillId="0" borderId="0" xfId="1" applyNumberFormat="1" applyFont="1"/>
    <xf numFmtId="164" fontId="0" fillId="0" borderId="1" xfId="1" applyFont="1" applyBorder="1" applyAlignment="1">
      <alignment horizontal="left"/>
    </xf>
    <xf numFmtId="2" fontId="0" fillId="0" borderId="1" xfId="0" applyNumberFormat="1" applyFont="1" applyBorder="1" applyAlignment="1">
      <alignment horizontal="left" vertical="top" wrapText="1"/>
    </xf>
    <xf numFmtId="9" fontId="0" fillId="0" borderId="1" xfId="2" applyNumberFormat="1" applyFont="1" applyBorder="1" applyAlignment="1">
      <alignment horizontal="center"/>
    </xf>
    <xf numFmtId="22" fontId="0" fillId="0" borderId="1" xfId="0" applyNumberFormat="1" applyFont="1" applyFill="1" applyBorder="1" applyAlignment="1">
      <alignment horizontal="left" wrapText="1"/>
    </xf>
    <xf numFmtId="165" fontId="0" fillId="0" borderId="0" xfId="0" applyNumberFormat="1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164" fontId="2" fillId="0" borderId="0" xfId="1" applyFont="1" applyBorder="1" applyAlignment="1">
      <alignment horizontal="center"/>
    </xf>
    <xf numFmtId="9" fontId="2" fillId="0" borderId="0" xfId="2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1" applyFont="1" applyFill="1" applyBorder="1" applyAlignment="1">
      <alignment horizontal="left"/>
    </xf>
    <xf numFmtId="164" fontId="2" fillId="0" borderId="7" xfId="2" applyNumberFormat="1" applyFont="1" applyBorder="1" applyAlignment="1">
      <alignment horizontal="center"/>
    </xf>
    <xf numFmtId="165" fontId="0" fillId="0" borderId="0" xfId="0" applyNumberFormat="1" applyFont="1" applyFill="1" applyBorder="1" applyAlignment="1">
      <alignment horizontal="left"/>
    </xf>
    <xf numFmtId="0" fontId="13" fillId="0" borderId="1" xfId="0" applyFont="1" applyBorder="1" applyAlignment="1">
      <alignment wrapText="1"/>
    </xf>
    <xf numFmtId="164" fontId="0" fillId="0" borderId="0" xfId="1" applyFont="1"/>
    <xf numFmtId="4" fontId="0" fillId="0" borderId="0" xfId="0" applyNumberFormat="1"/>
    <xf numFmtId="43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 wrapText="1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49" fontId="8" fillId="0" borderId="5" xfId="0" applyNumberFormat="1" applyFont="1" applyFill="1" applyBorder="1" applyAlignment="1" applyProtection="1">
      <alignment horizontal="left" vertical="top" indent="5"/>
    </xf>
    <xf numFmtId="169" fontId="10" fillId="0" borderId="5" xfId="0" applyNumberFormat="1" applyFont="1" applyFill="1" applyBorder="1" applyAlignment="1" applyProtection="1">
      <alignment horizontal="right" vertical="top"/>
    </xf>
    <xf numFmtId="49" fontId="9" fillId="0" borderId="0" xfId="0" applyNumberFormat="1" applyFont="1" applyFill="1" applyBorder="1" applyAlignment="1" applyProtection="1">
      <alignment vertical="top"/>
    </xf>
    <xf numFmtId="169" fontId="9" fillId="0" borderId="6" xfId="0" applyNumberFormat="1" applyFont="1" applyFill="1" applyBorder="1" applyAlignment="1" applyProtection="1">
      <alignment horizontal="right" vertical="top"/>
    </xf>
    <xf numFmtId="169" fontId="9" fillId="0" borderId="0" xfId="0" applyNumberFormat="1" applyFont="1" applyFill="1" applyBorder="1" applyAlignment="1" applyProtection="1">
      <alignment horizontal="right" vertical="top"/>
    </xf>
    <xf numFmtId="49" fontId="10" fillId="0" borderId="6" xfId="0" applyNumberFormat="1" applyFont="1" applyFill="1" applyBorder="1" applyAlignment="1" applyProtection="1">
      <alignment horizontal="left" vertical="top" indent="2"/>
    </xf>
    <xf numFmtId="164" fontId="11" fillId="4" borderId="8" xfId="1" applyFont="1" applyFill="1" applyBorder="1" applyAlignment="1">
      <alignment horizontal="center"/>
    </xf>
    <xf numFmtId="164" fontId="11" fillId="4" borderId="9" xfId="1" applyFont="1" applyFill="1" applyBorder="1" applyAlignment="1">
      <alignment horizontal="center"/>
    </xf>
    <xf numFmtId="164" fontId="11" fillId="4" borderId="1" xfId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B6137"/>
      <color rgb="FFF83E5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97"/>
  <sheetViews>
    <sheetView showGridLines="0" tabSelected="1" topLeftCell="A15" zoomScaleNormal="100" workbookViewId="0">
      <selection activeCell="B16" sqref="A1:XFD1048576"/>
    </sheetView>
  </sheetViews>
  <sheetFormatPr defaultRowHeight="15.75" x14ac:dyDescent="0.25"/>
  <cols>
    <col min="1" max="1" width="3.140625" style="1" customWidth="1"/>
    <col min="2" max="2" width="7.28515625" style="1" customWidth="1"/>
    <col min="3" max="3" width="32" style="1" bestFit="1" customWidth="1"/>
    <col min="4" max="4" width="31.85546875" style="1" customWidth="1"/>
    <col min="5" max="5" width="13.140625" style="1" customWidth="1"/>
    <col min="6" max="6" width="11.85546875" style="1" bestFit="1" customWidth="1"/>
    <col min="7" max="7" width="12.7109375" style="1" customWidth="1"/>
    <col min="8" max="8" width="16.5703125" style="1" hidden="1" customWidth="1"/>
    <col min="9" max="9" width="12.85546875" style="1" customWidth="1"/>
    <col min="10" max="10" width="2.7109375" style="1" hidden="1" customWidth="1"/>
    <col min="11" max="11" width="11.5703125" style="1" customWidth="1"/>
    <col min="12" max="12" width="40.5703125" style="1" bestFit="1" customWidth="1"/>
    <col min="13" max="13" width="14" style="1" customWidth="1"/>
    <col min="14" max="14" width="11" style="1" customWidth="1"/>
    <col min="15" max="16384" width="9.140625" style="1"/>
  </cols>
  <sheetData>
    <row r="1" spans="2:13" hidden="1" x14ac:dyDescent="0.25">
      <c r="B1" s="111" t="s">
        <v>33</v>
      </c>
      <c r="C1" s="111"/>
      <c r="D1" s="111"/>
      <c r="E1" s="111"/>
      <c r="F1" s="111"/>
      <c r="G1" s="111"/>
      <c r="H1" s="111"/>
      <c r="I1" s="111"/>
      <c r="J1" s="111"/>
      <c r="K1" s="111"/>
    </row>
    <row r="2" spans="2:13" ht="38.25" hidden="1" customHeight="1" x14ac:dyDescent="0.25">
      <c r="B2" s="2" t="s">
        <v>8</v>
      </c>
      <c r="C2" s="2" t="s">
        <v>7</v>
      </c>
      <c r="D2" s="2" t="s">
        <v>29</v>
      </c>
      <c r="E2" s="2"/>
      <c r="F2" s="2" t="s">
        <v>19</v>
      </c>
      <c r="G2" s="2" t="s">
        <v>20</v>
      </c>
      <c r="H2" s="2" t="s">
        <v>18</v>
      </c>
      <c r="I2" s="2" t="s">
        <v>15</v>
      </c>
      <c r="J2" s="2" t="s">
        <v>17</v>
      </c>
      <c r="K2" s="2" t="s">
        <v>14</v>
      </c>
    </row>
    <row r="3" spans="2:13" hidden="1" x14ac:dyDescent="0.25">
      <c r="B3" s="3">
        <v>1</v>
      </c>
      <c r="C3" s="4" t="s">
        <v>3</v>
      </c>
      <c r="D3" s="3" t="s">
        <v>30</v>
      </c>
      <c r="E3" s="3"/>
      <c r="F3" s="5">
        <f>SUMIF(Receipts!$G$4:$G$101,Summary!C3,Receipts!$E$4:$E$101)/100000</f>
        <v>0</v>
      </c>
      <c r="G3" s="5">
        <f>F3*80%</f>
        <v>0</v>
      </c>
      <c r="H3" s="5">
        <f>F3*20%</f>
        <v>0</v>
      </c>
      <c r="I3" s="5" t="e">
        <f>SUMIF(Payments!#REF!,Summary!C3,Payments!#REF!)/100000</f>
        <v>#REF!</v>
      </c>
      <c r="J3" s="5"/>
      <c r="K3" s="6" t="e">
        <f>G3-I3</f>
        <v>#REF!</v>
      </c>
      <c r="M3" s="7"/>
    </row>
    <row r="4" spans="2:13" hidden="1" x14ac:dyDescent="0.25">
      <c r="B4" s="3">
        <v>2</v>
      </c>
      <c r="C4" s="4" t="s">
        <v>5</v>
      </c>
      <c r="D4" s="3" t="s">
        <v>31</v>
      </c>
      <c r="E4" s="3"/>
      <c r="F4" s="5">
        <f>SUMIF(Receipts!$G$4:$G$101,Summary!C4,Receipts!$E$4:$E$101)/100000</f>
        <v>400.57365398036575</v>
      </c>
      <c r="G4" s="5">
        <f>F4*80%</f>
        <v>320.45892318429264</v>
      </c>
      <c r="H4" s="5">
        <f>F4*20%</f>
        <v>80.114730796073161</v>
      </c>
      <c r="I4" s="5" t="e">
        <f>SUMIF(Payments!#REF!,Summary!C4,Payments!#REF!)/100000</f>
        <v>#REF!</v>
      </c>
      <c r="J4" s="5"/>
      <c r="K4" s="6" t="e">
        <f>G4-I4</f>
        <v>#REF!</v>
      </c>
      <c r="M4" s="7"/>
    </row>
    <row r="5" spans="2:13" hidden="1" x14ac:dyDescent="0.25">
      <c r="B5" s="3">
        <v>3</v>
      </c>
      <c r="C5" s="4" t="s">
        <v>6</v>
      </c>
      <c r="D5" s="3" t="s">
        <v>32</v>
      </c>
      <c r="E5" s="3"/>
      <c r="F5" s="5">
        <f>SUMIF(Receipts!$G$4:$G$101,Summary!C5,Receipts!$E$4:$E$101)/100000</f>
        <v>0</v>
      </c>
      <c r="G5" s="5">
        <f>F5*80%</f>
        <v>0</v>
      </c>
      <c r="H5" s="5">
        <f>F5*20%</f>
        <v>0</v>
      </c>
      <c r="I5" s="5" t="e">
        <f>SUMIF(Payments!#REF!,Summary!C5,Payments!#REF!)/100000</f>
        <v>#REF!</v>
      </c>
      <c r="J5" s="5"/>
      <c r="K5" s="6" t="e">
        <f>G5-I5</f>
        <v>#REF!</v>
      </c>
      <c r="M5" s="7"/>
    </row>
    <row r="6" spans="2:13" hidden="1" x14ac:dyDescent="0.25">
      <c r="B6" s="3"/>
      <c r="C6" s="3"/>
      <c r="D6" s="3"/>
      <c r="E6" s="3"/>
      <c r="F6" s="5"/>
      <c r="G6" s="5"/>
      <c r="H6" s="5"/>
      <c r="I6" s="5"/>
      <c r="J6" s="5"/>
      <c r="K6" s="6"/>
      <c r="M6" s="7"/>
    </row>
    <row r="7" spans="2:13" hidden="1" x14ac:dyDescent="0.25">
      <c r="B7" s="3"/>
      <c r="C7" s="3" t="s">
        <v>16</v>
      </c>
      <c r="D7" s="3"/>
      <c r="E7" s="3"/>
      <c r="F7" s="5"/>
      <c r="G7" s="5"/>
      <c r="H7" s="5"/>
      <c r="I7" s="5"/>
      <c r="J7" s="5"/>
      <c r="K7" s="3"/>
    </row>
    <row r="8" spans="2:13" hidden="1" x14ac:dyDescent="0.25">
      <c r="B8" s="3"/>
      <c r="C8" s="3" t="s">
        <v>10</v>
      </c>
      <c r="D8" s="3"/>
      <c r="E8" s="3"/>
      <c r="F8" s="5"/>
      <c r="G8" s="5"/>
      <c r="H8" s="5"/>
      <c r="I8" s="3"/>
      <c r="J8" s="5" t="e">
        <f>SUMIF(Payments!#REF!,Summary!C8,Payments!#REF!)/100000</f>
        <v>#REF!</v>
      </c>
      <c r="K8" s="3"/>
      <c r="M8" s="7"/>
    </row>
    <row r="9" spans="2:13" hidden="1" x14ac:dyDescent="0.25">
      <c r="B9" s="3"/>
      <c r="C9" s="3" t="s">
        <v>13</v>
      </c>
      <c r="D9" s="3"/>
      <c r="E9" s="3"/>
      <c r="F9" s="5"/>
      <c r="G9" s="5"/>
      <c r="H9" s="5"/>
      <c r="I9" s="3"/>
      <c r="J9" s="5" t="e">
        <f>SUMIF(Payments!#REF!,Summary!C9,Payments!#REF!)/100000</f>
        <v>#REF!</v>
      </c>
      <c r="K9" s="3"/>
    </row>
    <row r="10" spans="2:13" hidden="1" x14ac:dyDescent="0.25">
      <c r="B10" s="3"/>
      <c r="C10" s="3" t="s">
        <v>11</v>
      </c>
      <c r="D10" s="3"/>
      <c r="E10" s="3"/>
      <c r="F10" s="5"/>
      <c r="G10" s="5"/>
      <c r="H10" s="5"/>
      <c r="I10" s="3"/>
      <c r="J10" s="5" t="e">
        <f>SUMIF(Payments!#REF!,Summary!C10,Payments!#REF!)/100000</f>
        <v>#REF!</v>
      </c>
      <c r="K10" s="3"/>
    </row>
    <row r="11" spans="2:13" hidden="1" x14ac:dyDescent="0.25">
      <c r="B11" s="3"/>
      <c r="C11" s="3" t="s">
        <v>12</v>
      </c>
      <c r="D11" s="3"/>
      <c r="E11" s="3"/>
      <c r="F11" s="5"/>
      <c r="G11" s="5"/>
      <c r="H11" s="5"/>
      <c r="I11" s="3"/>
      <c r="J11" s="5" t="e">
        <f>SUMIF(Payments!#REF!,Summary!C11,Payments!#REF!)/100000</f>
        <v>#REF!</v>
      </c>
      <c r="K11" s="3"/>
    </row>
    <row r="12" spans="2:13" hidden="1" x14ac:dyDescent="0.25">
      <c r="B12" s="3"/>
      <c r="C12" s="3"/>
      <c r="D12" s="3"/>
      <c r="E12" s="3"/>
      <c r="F12" s="5"/>
      <c r="G12" s="5"/>
      <c r="H12" s="5"/>
      <c r="I12" s="3"/>
      <c r="J12" s="3"/>
      <c r="K12" s="3"/>
    </row>
    <row r="13" spans="2:13" hidden="1" x14ac:dyDescent="0.25">
      <c r="B13" s="8"/>
      <c r="C13" s="8" t="s">
        <v>9</v>
      </c>
      <c r="D13" s="8"/>
      <c r="E13" s="8"/>
      <c r="F13" s="9">
        <f t="shared" ref="F13:K13" si="0">SUM(F3:F12)</f>
        <v>400.57365398036575</v>
      </c>
      <c r="G13" s="9">
        <f t="shared" si="0"/>
        <v>320.45892318429264</v>
      </c>
      <c r="H13" s="9">
        <f t="shared" si="0"/>
        <v>80.114730796073161</v>
      </c>
      <c r="I13" s="9" t="e">
        <f t="shared" si="0"/>
        <v>#REF!</v>
      </c>
      <c r="J13" s="9" t="e">
        <f t="shared" si="0"/>
        <v>#REF!</v>
      </c>
      <c r="K13" s="9" t="e">
        <f t="shared" si="0"/>
        <v>#REF!</v>
      </c>
    </row>
    <row r="14" spans="2:13" hidden="1" x14ac:dyDescent="0.25"/>
    <row r="16" spans="2:13" ht="15.75" customHeight="1" x14ac:dyDescent="0.25">
      <c r="B16" s="112" t="s">
        <v>1114</v>
      </c>
      <c r="C16" s="112"/>
      <c r="D16" s="112"/>
      <c r="E16" s="112"/>
      <c r="F16" s="112"/>
      <c r="G16" s="112"/>
      <c r="H16" s="112"/>
      <c r="I16" s="112"/>
      <c r="J16" s="112"/>
      <c r="K16" s="112"/>
      <c r="M16" s="73"/>
    </row>
    <row r="17" spans="2:13" ht="46.5" customHeight="1" x14ac:dyDescent="0.25">
      <c r="B17" s="2" t="s">
        <v>8</v>
      </c>
      <c r="C17" s="2" t="s">
        <v>7</v>
      </c>
      <c r="D17" s="2" t="s">
        <v>29</v>
      </c>
      <c r="E17" s="2" t="s">
        <v>37</v>
      </c>
      <c r="F17" s="2" t="s">
        <v>437</v>
      </c>
      <c r="G17" s="2" t="s">
        <v>20</v>
      </c>
      <c r="H17" s="2" t="s">
        <v>18</v>
      </c>
      <c r="I17" s="2" t="s">
        <v>15</v>
      </c>
      <c r="J17" s="2" t="s">
        <v>17</v>
      </c>
      <c r="K17" s="2" t="s">
        <v>38</v>
      </c>
    </row>
    <row r="18" spans="2:13" x14ac:dyDescent="0.25">
      <c r="B18" s="3">
        <v>1</v>
      </c>
      <c r="C18" s="4" t="s">
        <v>35</v>
      </c>
      <c r="D18" s="113" t="s">
        <v>447</v>
      </c>
      <c r="E18" s="13">
        <v>58.634263130162878</v>
      </c>
      <c r="F18" s="5">
        <f>SUMIF(Receipts!$G$4:$G$101,Summary!C18,Receipts!$E$4:$E$101)/100000</f>
        <v>26.426207607120144</v>
      </c>
      <c r="G18" s="5">
        <f>(F18*95%)</f>
        <v>25.104897226764137</v>
      </c>
      <c r="H18" s="5">
        <f>F18*20%</f>
        <v>5.2852415214240294</v>
      </c>
      <c r="I18" s="5">
        <f>SUMIF(Payments!$H$3:$H$189,Summary!C18,Payments!$E$3:$E$189)/100000</f>
        <v>1.3190679999999999</v>
      </c>
      <c r="J18" s="5"/>
      <c r="K18" s="5">
        <f>E18+G18-I18</f>
        <v>82.420092356927015</v>
      </c>
      <c r="L18" s="7"/>
    </row>
    <row r="19" spans="2:13" x14ac:dyDescent="0.25">
      <c r="B19" s="3">
        <v>2</v>
      </c>
      <c r="C19" s="4" t="s">
        <v>34</v>
      </c>
      <c r="D19" s="114"/>
      <c r="E19" s="13">
        <v>-109.0027154136462</v>
      </c>
      <c r="F19" s="5">
        <f>SUMIF(Receipts!$G$4:$G$101,Summary!C19,Receipts!$E$4:$E$101)/100000</f>
        <v>12.91476624517834</v>
      </c>
      <c r="G19" s="5">
        <f>(F19*95%)</f>
        <v>12.269027932919423</v>
      </c>
      <c r="H19" s="5">
        <f>F19*20%</f>
        <v>2.5829532490356684</v>
      </c>
      <c r="I19" s="5">
        <f>SUMIF(Payments!$H$3:$H$189,Summary!C19,Payments!$E$3:$E$189)/100000</f>
        <v>38.48840371209613</v>
      </c>
      <c r="J19" s="5"/>
      <c r="K19" s="5">
        <f t="shared" ref="K19:K23" si="1">E19+G19-I19</f>
        <v>-135.22209119282292</v>
      </c>
      <c r="L19" s="7"/>
    </row>
    <row r="20" spans="2:13" ht="12" customHeight="1" x14ac:dyDescent="0.25">
      <c r="B20" s="82"/>
      <c r="C20" s="82"/>
      <c r="D20" s="82" t="s">
        <v>442</v>
      </c>
      <c r="E20" s="83">
        <v>-50.368452283483322</v>
      </c>
      <c r="F20" s="83">
        <f>F19+F18</f>
        <v>39.340973852298482</v>
      </c>
      <c r="G20" s="83">
        <f>G19+G18</f>
        <v>37.373925159683559</v>
      </c>
      <c r="H20" s="84"/>
      <c r="I20" s="83">
        <f>I19+I18</f>
        <v>39.807471712096131</v>
      </c>
      <c r="J20" s="84"/>
      <c r="K20" s="83">
        <f>K19+K18</f>
        <v>-52.801998835895901</v>
      </c>
      <c r="L20" s="7"/>
    </row>
    <row r="21" spans="2:13" x14ac:dyDescent="0.25">
      <c r="B21" s="3">
        <v>3</v>
      </c>
      <c r="C21" s="4" t="s">
        <v>5</v>
      </c>
      <c r="D21" s="3" t="s">
        <v>31</v>
      </c>
      <c r="E21" s="14">
        <v>-419.71819703352867</v>
      </c>
      <c r="F21" s="5">
        <f>SUMIF(Receipts!$G$4:$G$101,Summary!C21,Receipts!$E$4:$E$101)/100000</f>
        <v>400.57365398036575</v>
      </c>
      <c r="G21" s="5">
        <f>(F21*80%)</f>
        <v>320.45892318429264</v>
      </c>
      <c r="H21" s="5">
        <f>F21*20%</f>
        <v>80.114730796073161</v>
      </c>
      <c r="I21" s="5">
        <f>SUMIF(Payments!$H$3:$H$189,Summary!C21,Payments!$E$3:$E$189)/100000</f>
        <v>260.45312074822914</v>
      </c>
      <c r="J21" s="5"/>
      <c r="K21" s="5">
        <f t="shared" si="1"/>
        <v>-359.71239459746516</v>
      </c>
      <c r="L21" s="7"/>
    </row>
    <row r="22" spans="2:13" x14ac:dyDescent="0.25">
      <c r="B22" s="3">
        <v>4</v>
      </c>
      <c r="C22" s="16" t="s">
        <v>440</v>
      </c>
      <c r="D22" s="15" t="s">
        <v>32</v>
      </c>
      <c r="E22" s="14">
        <v>-147.76158868106688</v>
      </c>
      <c r="F22" s="5">
        <f>SUMIF(Receipts!$G$4:$G$101,Summary!C22,Receipts!$E$4:$E$101)/100000</f>
        <v>46.170424345439514</v>
      </c>
      <c r="G22" s="5">
        <f t="shared" ref="G22:G23" si="2">(F22*80%)</f>
        <v>36.936339476351613</v>
      </c>
      <c r="H22" s="5">
        <f>F22*20%</f>
        <v>9.2340848690879032</v>
      </c>
      <c r="I22" s="5">
        <f>SUMIF(Payments!$H$3:$H$189,Summary!C22,Payments!$E$3:$E$189)/100000</f>
        <v>56.83122883967475</v>
      </c>
      <c r="J22" s="5"/>
      <c r="K22" s="5">
        <f t="shared" si="1"/>
        <v>-167.65647804439004</v>
      </c>
      <c r="M22" s="7"/>
    </row>
    <row r="23" spans="2:13" x14ac:dyDescent="0.25">
      <c r="B23" s="3">
        <v>5</v>
      </c>
      <c r="C23" s="4" t="s">
        <v>441</v>
      </c>
      <c r="D23" s="17" t="s">
        <v>40</v>
      </c>
      <c r="E23" s="14">
        <v>-102.38115317442428</v>
      </c>
      <c r="F23" s="5">
        <f>SUMIF(Receipts!$G$4:$G$101,Summary!C23,Receipts!$E$4:$E$101)/100000</f>
        <v>44.895206221896245</v>
      </c>
      <c r="G23" s="5">
        <f t="shared" si="2"/>
        <v>35.916164977516999</v>
      </c>
      <c r="H23" s="5"/>
      <c r="I23" s="5">
        <f>SUMIF(Payments!$H$3:$H$189,Summary!C23,Payments!$E$3:$E$189)/100000</f>
        <v>62.564720899999998</v>
      </c>
      <c r="J23" s="5"/>
      <c r="K23" s="5">
        <f t="shared" si="1"/>
        <v>-129.02970909690728</v>
      </c>
      <c r="M23" s="7"/>
    </row>
    <row r="24" spans="2:13" x14ac:dyDescent="0.25">
      <c r="B24" s="3">
        <v>6</v>
      </c>
      <c r="C24" s="4" t="s">
        <v>414</v>
      </c>
      <c r="D24" s="17"/>
      <c r="E24" s="14">
        <v>-124.34188639999999</v>
      </c>
      <c r="F24" s="5">
        <f>SUMIF(Receipts!$G$4:$G$101,Summary!C24,Receipts!$E$4:$E$101)/100000</f>
        <v>0</v>
      </c>
      <c r="G24" s="5">
        <f>(F24*100%)</f>
        <v>0</v>
      </c>
      <c r="H24" s="5"/>
      <c r="I24" s="5">
        <f>SUMIF(Payments!$H$3:$H$189,Summary!C24,Payments!$E$3:$E$189)/100000</f>
        <v>75.118093200000004</v>
      </c>
      <c r="J24" s="5"/>
      <c r="K24" s="5">
        <f>E24+G24-I24</f>
        <v>-199.4599796</v>
      </c>
      <c r="M24" s="7"/>
    </row>
    <row r="25" spans="2:13" x14ac:dyDescent="0.25">
      <c r="B25" s="3">
        <v>7</v>
      </c>
      <c r="C25" s="4" t="s">
        <v>1</v>
      </c>
      <c r="D25" s="17"/>
      <c r="E25" s="14">
        <v>-378.58049689999996</v>
      </c>
      <c r="F25" s="5">
        <f>SUMIF(Receipts!$G$4:$G$101,Summary!C25,Receipts!$E$4:$E$101)/100000</f>
        <v>214.23821770000004</v>
      </c>
      <c r="G25" s="5">
        <f>(F25*100%)</f>
        <v>214.23821770000004</v>
      </c>
      <c r="H25" s="5"/>
      <c r="I25" s="5">
        <f>SUMIF(Payments!$H$3:$H$189,Summary!C25,Payments!$E$3:$E$189)/100000</f>
        <v>260.76303670000004</v>
      </c>
      <c r="J25" s="5"/>
      <c r="K25" s="5">
        <f>E25+G25-I25</f>
        <v>-425.10531589999994</v>
      </c>
      <c r="M25" s="7"/>
    </row>
    <row r="26" spans="2:13" x14ac:dyDescent="0.25">
      <c r="B26" s="3"/>
      <c r="C26" s="3"/>
      <c r="D26" s="3"/>
      <c r="E26" s="3"/>
      <c r="F26" s="5"/>
      <c r="G26" s="5"/>
      <c r="H26" s="5"/>
      <c r="I26" s="3"/>
      <c r="J26" s="3"/>
      <c r="K26" s="3"/>
    </row>
    <row r="27" spans="2:13" x14ac:dyDescent="0.25">
      <c r="B27" s="8"/>
      <c r="C27" s="8" t="s">
        <v>9</v>
      </c>
      <c r="D27" s="8"/>
      <c r="E27" s="9">
        <f>SUM(E20:E26)</f>
        <v>-1223.1517744725031</v>
      </c>
      <c r="F27" s="9">
        <f t="shared" ref="F27:K27" si="3">SUM(F20:F26)</f>
        <v>745.21847610000009</v>
      </c>
      <c r="G27" s="9">
        <f t="shared" si="3"/>
        <v>644.92357049784482</v>
      </c>
      <c r="H27" s="9">
        <f t="shared" si="3"/>
        <v>89.348815665161069</v>
      </c>
      <c r="I27" s="9">
        <f>SUM(I20:I26)</f>
        <v>755.53767210000001</v>
      </c>
      <c r="J27" s="9">
        <f t="shared" si="3"/>
        <v>0</v>
      </c>
      <c r="K27" s="9">
        <f t="shared" si="3"/>
        <v>-1333.7658760746583</v>
      </c>
    </row>
    <row r="28" spans="2:13" x14ac:dyDescent="0.25">
      <c r="F28" s="7"/>
      <c r="G28" s="39"/>
      <c r="I28" s="7"/>
    </row>
    <row r="29" spans="2:13" x14ac:dyDescent="0.25">
      <c r="G29" s="39"/>
      <c r="I29" s="7"/>
    </row>
    <row r="30" spans="2:13" x14ac:dyDescent="0.25">
      <c r="G30" s="39"/>
      <c r="I30" s="7"/>
    </row>
    <row r="31" spans="2:13" x14ac:dyDescent="0.25">
      <c r="G31" s="39"/>
      <c r="I31" s="7"/>
    </row>
    <row r="32" spans="2:13" x14ac:dyDescent="0.25">
      <c r="G32" s="39"/>
      <c r="I32" s="7"/>
    </row>
    <row r="33" spans="4:9" x14ac:dyDescent="0.25">
      <c r="G33" s="39"/>
      <c r="I33" s="7"/>
    </row>
    <row r="34" spans="4:9" x14ac:dyDescent="0.25">
      <c r="G34" s="39"/>
      <c r="I34" s="7"/>
    </row>
    <row r="35" spans="4:9" x14ac:dyDescent="0.25">
      <c r="G35" s="39"/>
      <c r="I35" s="7"/>
    </row>
    <row r="36" spans="4:9" x14ac:dyDescent="0.25">
      <c r="G36" s="39"/>
      <c r="I36" s="7"/>
    </row>
    <row r="37" spans="4:9" x14ac:dyDescent="0.25">
      <c r="G37" s="39"/>
      <c r="I37" s="7"/>
    </row>
    <row r="38" spans="4:9" x14ac:dyDescent="0.25">
      <c r="G38" s="39"/>
      <c r="I38" s="7"/>
    </row>
    <row r="39" spans="4:9" x14ac:dyDescent="0.25">
      <c r="G39" s="39"/>
      <c r="I39" s="7"/>
    </row>
    <row r="40" spans="4:9" x14ac:dyDescent="0.25">
      <c r="G40" s="39"/>
      <c r="I40" s="7"/>
    </row>
    <row r="41" spans="4:9" x14ac:dyDescent="0.25">
      <c r="G41" s="39"/>
      <c r="I41" s="7"/>
    </row>
    <row r="42" spans="4:9" x14ac:dyDescent="0.25">
      <c r="G42" s="39"/>
      <c r="I42" s="7"/>
    </row>
    <row r="43" spans="4:9" x14ac:dyDescent="0.25">
      <c r="G43" s="39"/>
      <c r="I43" s="7"/>
    </row>
    <row r="44" spans="4:9" x14ac:dyDescent="0.25">
      <c r="G44" s="39"/>
      <c r="I44" s="7"/>
    </row>
    <row r="46" spans="4:9" x14ac:dyDescent="0.25">
      <c r="D46" s="47" t="s">
        <v>22</v>
      </c>
      <c r="E46" s="47" t="s">
        <v>419</v>
      </c>
    </row>
    <row r="47" spans="4:9" x14ac:dyDescent="0.25">
      <c r="D47" s="8" t="s">
        <v>417</v>
      </c>
      <c r="E47" s="3"/>
    </row>
    <row r="48" spans="4:9" x14ac:dyDescent="0.25">
      <c r="D48" s="3" t="s">
        <v>421</v>
      </c>
      <c r="E48" s="3">
        <v>45</v>
      </c>
    </row>
    <row r="49" spans="4:5" x14ac:dyDescent="0.25">
      <c r="D49" s="3" t="s">
        <v>423</v>
      </c>
      <c r="E49" s="3">
        <v>30</v>
      </c>
    </row>
    <row r="50" spans="4:5" x14ac:dyDescent="0.25">
      <c r="D50" s="3" t="s">
        <v>420</v>
      </c>
      <c r="E50" s="3">
        <v>30</v>
      </c>
    </row>
    <row r="51" spans="4:5" x14ac:dyDescent="0.25">
      <c r="D51" s="3" t="s">
        <v>427</v>
      </c>
      <c r="E51" s="45">
        <f>20+3+1.5</f>
        <v>24.5</v>
      </c>
    </row>
    <row r="52" spans="4:5" x14ac:dyDescent="0.25">
      <c r="D52" s="3"/>
      <c r="E52" s="3"/>
    </row>
    <row r="53" spans="4:5" x14ac:dyDescent="0.25">
      <c r="D53" s="8" t="s">
        <v>429</v>
      </c>
      <c r="E53" s="3"/>
    </row>
    <row r="54" spans="4:5" x14ac:dyDescent="0.25">
      <c r="D54" s="3" t="s">
        <v>10</v>
      </c>
      <c r="E54" s="3">
        <f>30</f>
        <v>30</v>
      </c>
    </row>
    <row r="55" spans="4:5" x14ac:dyDescent="0.25">
      <c r="D55" s="3" t="s">
        <v>430</v>
      </c>
      <c r="E55" s="3">
        <v>4</v>
      </c>
    </row>
    <row r="56" spans="4:5" x14ac:dyDescent="0.25">
      <c r="D56" s="3" t="s">
        <v>13</v>
      </c>
      <c r="E56" s="3">
        <v>25</v>
      </c>
    </row>
    <row r="57" spans="4:5" x14ac:dyDescent="0.25">
      <c r="D57" s="3"/>
      <c r="E57" s="3"/>
    </row>
    <row r="58" spans="4:5" x14ac:dyDescent="0.25">
      <c r="D58" s="8" t="s">
        <v>431</v>
      </c>
      <c r="E58" s="3"/>
    </row>
    <row r="59" spans="4:5" x14ac:dyDescent="0.25">
      <c r="D59" s="3" t="s">
        <v>422</v>
      </c>
      <c r="E59" s="3">
        <v>33</v>
      </c>
    </row>
    <row r="60" spans="4:5" x14ac:dyDescent="0.25">
      <c r="D60" s="3"/>
      <c r="E60" s="3"/>
    </row>
    <row r="61" spans="4:5" x14ac:dyDescent="0.25">
      <c r="D61" s="8" t="s">
        <v>436</v>
      </c>
      <c r="E61" s="3"/>
    </row>
    <row r="62" spans="4:5" x14ac:dyDescent="0.25">
      <c r="D62" s="3" t="s">
        <v>418</v>
      </c>
      <c r="E62" s="3">
        <v>25</v>
      </c>
    </row>
    <row r="63" spans="4:5" x14ac:dyDescent="0.25">
      <c r="D63" s="3" t="s">
        <v>428</v>
      </c>
      <c r="E63" s="3">
        <v>10</v>
      </c>
    </row>
    <row r="64" spans="4:5" x14ac:dyDescent="0.25">
      <c r="D64" s="3" t="s">
        <v>6</v>
      </c>
      <c r="E64" s="3">
        <v>25</v>
      </c>
    </row>
    <row r="65" spans="4:5" x14ac:dyDescent="0.25">
      <c r="D65" s="3" t="s">
        <v>3</v>
      </c>
      <c r="E65" s="3">
        <v>35</v>
      </c>
    </row>
    <row r="66" spans="4:5" x14ac:dyDescent="0.25">
      <c r="D66" s="3"/>
      <c r="E66" s="3"/>
    </row>
    <row r="67" spans="4:5" x14ac:dyDescent="0.25">
      <c r="D67" s="8" t="s">
        <v>426</v>
      </c>
      <c r="E67" s="3">
        <v>35</v>
      </c>
    </row>
    <row r="68" spans="4:5" x14ac:dyDescent="0.25">
      <c r="D68" s="3"/>
      <c r="E68" s="3"/>
    </row>
    <row r="69" spans="4:5" x14ac:dyDescent="0.25">
      <c r="D69" s="8" t="s">
        <v>433</v>
      </c>
      <c r="E69" s="3"/>
    </row>
    <row r="70" spans="4:5" x14ac:dyDescent="0.25">
      <c r="D70" s="3" t="s">
        <v>434</v>
      </c>
      <c r="E70" s="3">
        <f>16+3+5+1</f>
        <v>25</v>
      </c>
    </row>
    <row r="71" spans="4:5" x14ac:dyDescent="0.25">
      <c r="D71" s="3"/>
      <c r="E71" s="3"/>
    </row>
    <row r="72" spans="4:5" x14ac:dyDescent="0.25">
      <c r="D72" s="8" t="s">
        <v>39</v>
      </c>
      <c r="E72" s="3"/>
    </row>
    <row r="73" spans="4:5" x14ac:dyDescent="0.25">
      <c r="D73" s="3" t="s">
        <v>435</v>
      </c>
      <c r="E73" s="3">
        <f>10+5+10+6</f>
        <v>31</v>
      </c>
    </row>
    <row r="74" spans="4:5" x14ac:dyDescent="0.25">
      <c r="D74" s="3"/>
      <c r="E74" s="3"/>
    </row>
    <row r="75" spans="4:5" x14ac:dyDescent="0.25">
      <c r="D75" s="8" t="s">
        <v>432</v>
      </c>
      <c r="E75" s="3"/>
    </row>
    <row r="76" spans="4:5" x14ac:dyDescent="0.25">
      <c r="D76" s="3" t="s">
        <v>424</v>
      </c>
      <c r="E76" s="3">
        <v>23</v>
      </c>
    </row>
    <row r="77" spans="4:5" x14ac:dyDescent="0.25">
      <c r="D77" s="3" t="s">
        <v>425</v>
      </c>
      <c r="E77" s="45">
        <f>18+1</f>
        <v>19</v>
      </c>
    </row>
    <row r="78" spans="4:5" x14ac:dyDescent="0.25">
      <c r="D78" s="3"/>
      <c r="E78" s="3"/>
    </row>
    <row r="79" spans="4:5" x14ac:dyDescent="0.25">
      <c r="D79" s="4" t="s">
        <v>9</v>
      </c>
      <c r="E79" s="46">
        <f>SUM(E47:E78)</f>
        <v>449.5</v>
      </c>
    </row>
    <row r="80" spans="4:5" x14ac:dyDescent="0.25">
      <c r="D80" s="3"/>
      <c r="E80" s="3"/>
    </row>
    <row r="83" spans="4:5" x14ac:dyDescent="0.25">
      <c r="D83" s="8" t="s">
        <v>432</v>
      </c>
      <c r="E83" s="3"/>
    </row>
    <row r="84" spans="4:5" x14ac:dyDescent="0.25">
      <c r="D84" s="86" t="s">
        <v>53</v>
      </c>
      <c r="E84" s="3"/>
    </row>
    <row r="85" spans="4:5" x14ac:dyDescent="0.25">
      <c r="D85" s="3" t="s">
        <v>443</v>
      </c>
      <c r="E85" s="3">
        <v>3.3</v>
      </c>
    </row>
    <row r="86" spans="4:5" x14ac:dyDescent="0.25">
      <c r="D86" s="3" t="s">
        <v>444</v>
      </c>
      <c r="E86" s="3">
        <v>1.45</v>
      </c>
    </row>
    <row r="87" spans="4:5" x14ac:dyDescent="0.25">
      <c r="D87" s="3"/>
      <c r="E87" s="3"/>
    </row>
    <row r="88" spans="4:5" x14ac:dyDescent="0.25">
      <c r="D88" s="3" t="s">
        <v>54</v>
      </c>
      <c r="E88" s="3"/>
    </row>
    <row r="89" spans="4:5" x14ac:dyDescent="0.25">
      <c r="D89" s="3" t="s">
        <v>445</v>
      </c>
      <c r="E89" s="3">
        <v>2.4</v>
      </c>
    </row>
    <row r="90" spans="4:5" x14ac:dyDescent="0.25">
      <c r="D90" s="3"/>
      <c r="E90" s="3"/>
    </row>
    <row r="91" spans="4:5" x14ac:dyDescent="0.25">
      <c r="D91" s="3" t="s">
        <v>47</v>
      </c>
      <c r="E91" s="3"/>
    </row>
    <row r="92" spans="4:5" x14ac:dyDescent="0.25">
      <c r="D92" s="3" t="s">
        <v>446</v>
      </c>
      <c r="E92" s="3">
        <v>1.8</v>
      </c>
    </row>
    <row r="93" spans="4:5" x14ac:dyDescent="0.25">
      <c r="D93" s="3"/>
      <c r="E93" s="3"/>
    </row>
    <row r="94" spans="4:5" x14ac:dyDescent="0.25">
      <c r="D94" s="3"/>
      <c r="E94" s="3"/>
    </row>
    <row r="95" spans="4:5" x14ac:dyDescent="0.25">
      <c r="D95" s="3"/>
      <c r="E95" s="3"/>
    </row>
    <row r="96" spans="4:5" x14ac:dyDescent="0.25">
      <c r="D96" s="3"/>
      <c r="E96" s="3"/>
    </row>
    <row r="97" spans="4:5" x14ac:dyDescent="0.25">
      <c r="D97" s="3"/>
      <c r="E97" s="3"/>
    </row>
  </sheetData>
  <mergeCells count="3">
    <mergeCell ref="B1:K1"/>
    <mergeCell ref="B16:K16"/>
    <mergeCell ref="D18:D19"/>
  </mergeCells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2"/>
  <sheetViews>
    <sheetView topLeftCell="A47" workbookViewId="0">
      <selection activeCell="C68" sqref="C68"/>
    </sheetView>
  </sheetViews>
  <sheetFormatPr defaultRowHeight="15" x14ac:dyDescent="0.25"/>
  <cols>
    <col min="1" max="1" width="9.28515625" bestFit="1" customWidth="1"/>
    <col min="2" max="2" width="2.85546875" bestFit="1" customWidth="1"/>
    <col min="3" max="3" width="59.7109375" bestFit="1" customWidth="1"/>
    <col min="6" max="6" width="30.7109375" bestFit="1" customWidth="1"/>
    <col min="7" max="7" width="17.28515625" bestFit="1" customWidth="1"/>
    <col min="8" max="8" width="10.7109375" bestFit="1" customWidth="1"/>
    <col min="9" max="9" width="12.5703125" bestFit="1" customWidth="1"/>
  </cols>
  <sheetData>
    <row r="2" spans="1:11" x14ac:dyDescent="0.25">
      <c r="A2" s="18" t="s">
        <v>21</v>
      </c>
      <c r="B2" s="115" t="s">
        <v>22</v>
      </c>
      <c r="C2" s="115"/>
      <c r="D2" s="19" t="s">
        <v>148</v>
      </c>
      <c r="E2" s="20" t="s">
        <v>148</v>
      </c>
      <c r="F2" s="20" t="s">
        <v>149</v>
      </c>
      <c r="G2" s="18" t="s">
        <v>150</v>
      </c>
      <c r="H2" s="21" t="s">
        <v>151</v>
      </c>
      <c r="I2" s="21" t="s">
        <v>152</v>
      </c>
    </row>
    <row r="3" spans="1:11" x14ac:dyDescent="0.25">
      <c r="A3" s="27">
        <v>46093</v>
      </c>
      <c r="B3" s="23" t="s">
        <v>153</v>
      </c>
      <c r="C3" s="24" t="s">
        <v>103</v>
      </c>
      <c r="D3" s="24" t="s">
        <v>148</v>
      </c>
      <c r="E3" s="23" t="s">
        <v>148</v>
      </c>
      <c r="F3" s="28" t="s">
        <v>155</v>
      </c>
      <c r="G3" s="29" t="s">
        <v>156</v>
      </c>
      <c r="H3" s="25"/>
      <c r="I3" s="26">
        <v>1482706</v>
      </c>
      <c r="J3" t="s">
        <v>103</v>
      </c>
      <c r="K3" t="s">
        <v>42</v>
      </c>
    </row>
    <row r="4" spans="1:11" x14ac:dyDescent="0.25">
      <c r="A4" s="27">
        <v>46093</v>
      </c>
      <c r="B4" s="23" t="s">
        <v>153</v>
      </c>
      <c r="C4" s="24" t="s">
        <v>79</v>
      </c>
      <c r="D4" s="24" t="s">
        <v>148</v>
      </c>
      <c r="E4" s="23" t="s">
        <v>148</v>
      </c>
      <c r="F4" s="28" t="s">
        <v>412</v>
      </c>
      <c r="G4" s="29" t="s">
        <v>158</v>
      </c>
      <c r="H4" s="25"/>
      <c r="I4" s="26">
        <v>484841</v>
      </c>
      <c r="J4" t="s">
        <v>79</v>
      </c>
      <c r="K4" t="s">
        <v>54</v>
      </c>
    </row>
    <row r="5" spans="1:11" x14ac:dyDescent="0.25">
      <c r="A5" s="27">
        <v>46093</v>
      </c>
      <c r="B5" s="23" t="s">
        <v>153</v>
      </c>
      <c r="C5" s="24" t="s">
        <v>104</v>
      </c>
      <c r="D5" s="24" t="s">
        <v>148</v>
      </c>
      <c r="E5" s="23" t="s">
        <v>148</v>
      </c>
      <c r="F5" s="28" t="s">
        <v>159</v>
      </c>
      <c r="G5" s="29" t="s">
        <v>160</v>
      </c>
      <c r="H5" s="25"/>
      <c r="I5" s="26">
        <v>584090</v>
      </c>
      <c r="J5" t="s">
        <v>104</v>
      </c>
      <c r="K5" t="s">
        <v>50</v>
      </c>
    </row>
    <row r="6" spans="1:11" x14ac:dyDescent="0.25">
      <c r="A6" s="27">
        <v>46093</v>
      </c>
      <c r="B6" s="23" t="s">
        <v>153</v>
      </c>
      <c r="C6" s="24" t="s">
        <v>43</v>
      </c>
      <c r="D6" s="24" t="s">
        <v>148</v>
      </c>
      <c r="E6" s="23" t="s">
        <v>148</v>
      </c>
      <c r="F6" s="28" t="s">
        <v>161</v>
      </c>
      <c r="G6" s="29" t="s">
        <v>162</v>
      </c>
      <c r="H6" s="25"/>
      <c r="I6" s="26">
        <v>1255400.3799999999</v>
      </c>
      <c r="J6" t="s">
        <v>43</v>
      </c>
      <c r="K6" t="s">
        <v>96</v>
      </c>
    </row>
    <row r="7" spans="1:11" x14ac:dyDescent="0.25">
      <c r="A7" s="27">
        <v>46093</v>
      </c>
      <c r="B7" s="23" t="s">
        <v>153</v>
      </c>
      <c r="C7" s="24" t="s">
        <v>63</v>
      </c>
      <c r="D7" s="24" t="s">
        <v>148</v>
      </c>
      <c r="E7" s="23" t="s">
        <v>148</v>
      </c>
      <c r="F7" s="28" t="s">
        <v>412</v>
      </c>
      <c r="G7" s="29" t="s">
        <v>163</v>
      </c>
      <c r="H7" s="25"/>
      <c r="I7" s="26">
        <v>788149</v>
      </c>
      <c r="J7" t="s">
        <v>63</v>
      </c>
      <c r="K7" t="s">
        <v>54</v>
      </c>
    </row>
    <row r="8" spans="1:11" x14ac:dyDescent="0.25">
      <c r="A8" s="27">
        <v>46093</v>
      </c>
      <c r="B8" s="23" t="s">
        <v>153</v>
      </c>
      <c r="C8" s="24" t="s">
        <v>105</v>
      </c>
      <c r="D8" s="24" t="s">
        <v>148</v>
      </c>
      <c r="E8" s="23" t="s">
        <v>148</v>
      </c>
      <c r="F8" s="28" t="s">
        <v>164</v>
      </c>
      <c r="G8" s="29" t="s">
        <v>165</v>
      </c>
      <c r="H8" s="25"/>
      <c r="I8" s="26">
        <v>2876.8</v>
      </c>
      <c r="J8" t="s">
        <v>105</v>
      </c>
      <c r="K8" t="s">
        <v>135</v>
      </c>
    </row>
    <row r="9" spans="1:11" x14ac:dyDescent="0.25">
      <c r="A9" s="27">
        <v>46093</v>
      </c>
      <c r="B9" s="23" t="s">
        <v>153</v>
      </c>
      <c r="C9" s="24" t="s">
        <v>106</v>
      </c>
      <c r="D9" s="24" t="s">
        <v>148</v>
      </c>
      <c r="E9" s="23" t="s">
        <v>148</v>
      </c>
      <c r="F9" s="28" t="s">
        <v>159</v>
      </c>
      <c r="G9" s="29" t="s">
        <v>166</v>
      </c>
      <c r="H9" s="25"/>
      <c r="I9" s="26">
        <v>3000</v>
      </c>
      <c r="J9" t="s">
        <v>106</v>
      </c>
      <c r="K9" t="s">
        <v>50</v>
      </c>
    </row>
    <row r="10" spans="1:11" x14ac:dyDescent="0.25">
      <c r="A10" s="27">
        <v>46093</v>
      </c>
      <c r="B10" s="23" t="s">
        <v>153</v>
      </c>
      <c r="C10" s="24" t="s">
        <v>107</v>
      </c>
      <c r="D10" s="24" t="s">
        <v>148</v>
      </c>
      <c r="E10" s="23" t="s">
        <v>148</v>
      </c>
      <c r="F10" s="28" t="s">
        <v>159</v>
      </c>
      <c r="G10" s="29" t="s">
        <v>167</v>
      </c>
      <c r="H10" s="25"/>
      <c r="I10" s="26">
        <v>3480</v>
      </c>
      <c r="J10" t="s">
        <v>107</v>
      </c>
      <c r="K10" t="s">
        <v>50</v>
      </c>
    </row>
    <row r="11" spans="1:11" x14ac:dyDescent="0.25">
      <c r="A11" s="27">
        <v>46093</v>
      </c>
      <c r="B11" s="23" t="s">
        <v>153</v>
      </c>
      <c r="C11" s="24" t="s">
        <v>108</v>
      </c>
      <c r="D11" s="24" t="s">
        <v>148</v>
      </c>
      <c r="E11" s="23" t="s">
        <v>148</v>
      </c>
      <c r="F11" s="28" t="s">
        <v>168</v>
      </c>
      <c r="G11" s="29" t="s">
        <v>169</v>
      </c>
      <c r="H11" s="25"/>
      <c r="I11" s="26">
        <v>3840</v>
      </c>
      <c r="J11" t="s">
        <v>108</v>
      </c>
      <c r="K11" t="s">
        <v>53</v>
      </c>
    </row>
    <row r="12" spans="1:11" x14ac:dyDescent="0.25">
      <c r="A12" s="27">
        <v>46093</v>
      </c>
      <c r="B12" s="23" t="s">
        <v>153</v>
      </c>
      <c r="C12" s="24" t="s">
        <v>109</v>
      </c>
      <c r="D12" s="24" t="s">
        <v>148</v>
      </c>
      <c r="E12" s="23" t="s">
        <v>148</v>
      </c>
      <c r="F12" s="28" t="s">
        <v>159</v>
      </c>
      <c r="G12" s="29" t="s">
        <v>170</v>
      </c>
      <c r="H12" s="25"/>
      <c r="I12" s="26">
        <v>4112</v>
      </c>
      <c r="J12" t="s">
        <v>109</v>
      </c>
      <c r="K12" t="s">
        <v>50</v>
      </c>
    </row>
    <row r="13" spans="1:11" x14ac:dyDescent="0.25">
      <c r="A13" s="27">
        <v>46093</v>
      </c>
      <c r="B13" s="23" t="s">
        <v>153</v>
      </c>
      <c r="C13" s="24" t="s">
        <v>110</v>
      </c>
      <c r="D13" s="24" t="s">
        <v>148</v>
      </c>
      <c r="E13" s="23" t="s">
        <v>148</v>
      </c>
      <c r="F13" s="28" t="s">
        <v>171</v>
      </c>
      <c r="G13" s="29" t="s">
        <v>172</v>
      </c>
      <c r="H13" s="25"/>
      <c r="I13" s="26">
        <v>5310</v>
      </c>
      <c r="J13" t="s">
        <v>110</v>
      </c>
      <c r="K13" t="s">
        <v>46</v>
      </c>
    </row>
    <row r="14" spans="1:11" x14ac:dyDescent="0.25">
      <c r="A14" s="27">
        <v>46093</v>
      </c>
      <c r="B14" s="23" t="s">
        <v>153</v>
      </c>
      <c r="C14" s="24" t="s">
        <v>111</v>
      </c>
      <c r="D14" s="24" t="s">
        <v>148</v>
      </c>
      <c r="E14" s="23" t="s">
        <v>148</v>
      </c>
      <c r="F14" s="28" t="s">
        <v>173</v>
      </c>
      <c r="G14" s="29" t="s">
        <v>174</v>
      </c>
      <c r="H14" s="25"/>
      <c r="I14" s="26">
        <v>5664</v>
      </c>
      <c r="J14" t="s">
        <v>111</v>
      </c>
      <c r="K14" t="s">
        <v>3</v>
      </c>
    </row>
    <row r="15" spans="1:11" x14ac:dyDescent="0.25">
      <c r="A15" s="27">
        <v>46093</v>
      </c>
      <c r="B15" s="23" t="s">
        <v>153</v>
      </c>
      <c r="C15" s="24" t="s">
        <v>112</v>
      </c>
      <c r="D15" s="24" t="s">
        <v>148</v>
      </c>
      <c r="E15" s="23" t="s">
        <v>148</v>
      </c>
      <c r="F15" s="28" t="s">
        <v>159</v>
      </c>
      <c r="G15" s="29" t="s">
        <v>175</v>
      </c>
      <c r="H15" s="25"/>
      <c r="I15" s="26">
        <v>5800</v>
      </c>
      <c r="J15" t="s">
        <v>112</v>
      </c>
      <c r="K15" t="s">
        <v>50</v>
      </c>
    </row>
    <row r="16" spans="1:11" x14ac:dyDescent="0.25">
      <c r="A16" s="27">
        <v>46093</v>
      </c>
      <c r="B16" s="23" t="s">
        <v>153</v>
      </c>
      <c r="C16" s="24" t="s">
        <v>113</v>
      </c>
      <c r="D16" s="24" t="s">
        <v>148</v>
      </c>
      <c r="E16" s="23" t="s">
        <v>148</v>
      </c>
      <c r="F16" s="28" t="s">
        <v>173</v>
      </c>
      <c r="G16" s="29" t="s">
        <v>176</v>
      </c>
      <c r="H16" s="25"/>
      <c r="I16" s="26">
        <v>8756</v>
      </c>
      <c r="J16" t="s">
        <v>113</v>
      </c>
      <c r="K16" t="s">
        <v>3</v>
      </c>
    </row>
    <row r="17" spans="1:11" x14ac:dyDescent="0.25">
      <c r="A17" s="27">
        <v>46093</v>
      </c>
      <c r="B17" s="23" t="s">
        <v>153</v>
      </c>
      <c r="C17" s="24" t="s">
        <v>114</v>
      </c>
      <c r="D17" s="24" t="s">
        <v>148</v>
      </c>
      <c r="E17" s="23" t="s">
        <v>148</v>
      </c>
      <c r="F17" s="28" t="s">
        <v>159</v>
      </c>
      <c r="G17" s="29" t="s">
        <v>177</v>
      </c>
      <c r="H17" s="25"/>
      <c r="I17" s="26">
        <v>8918</v>
      </c>
      <c r="J17" t="s">
        <v>114</v>
      </c>
      <c r="K17" t="s">
        <v>50</v>
      </c>
    </row>
    <row r="18" spans="1:11" x14ac:dyDescent="0.25">
      <c r="A18" s="27">
        <v>46093</v>
      </c>
      <c r="B18" s="23" t="s">
        <v>153</v>
      </c>
      <c r="C18" s="24" t="s">
        <v>115</v>
      </c>
      <c r="D18" s="24" t="s">
        <v>148</v>
      </c>
      <c r="E18" s="23" t="s">
        <v>148</v>
      </c>
      <c r="F18" s="28" t="s">
        <v>168</v>
      </c>
      <c r="G18" s="29" t="s">
        <v>178</v>
      </c>
      <c r="H18" s="25"/>
      <c r="I18" s="26">
        <v>9044</v>
      </c>
      <c r="J18" t="s">
        <v>115</v>
      </c>
      <c r="K18" t="s">
        <v>53</v>
      </c>
    </row>
    <row r="19" spans="1:11" x14ac:dyDescent="0.25">
      <c r="A19" s="27">
        <v>46093</v>
      </c>
      <c r="B19" s="23" t="s">
        <v>153</v>
      </c>
      <c r="C19" s="24" t="s">
        <v>116</v>
      </c>
      <c r="D19" s="24" t="s">
        <v>148</v>
      </c>
      <c r="E19" s="23" t="s">
        <v>148</v>
      </c>
      <c r="F19" s="28" t="s">
        <v>155</v>
      </c>
      <c r="G19" s="29" t="s">
        <v>179</v>
      </c>
      <c r="H19" s="25"/>
      <c r="I19" s="26">
        <v>9221</v>
      </c>
      <c r="J19" t="s">
        <v>116</v>
      </c>
      <c r="K19" t="s">
        <v>42</v>
      </c>
    </row>
    <row r="20" spans="1:11" x14ac:dyDescent="0.25">
      <c r="A20" s="27">
        <v>46093</v>
      </c>
      <c r="B20" s="23" t="s">
        <v>153</v>
      </c>
      <c r="C20" s="24" t="s">
        <v>117</v>
      </c>
      <c r="D20" s="24" t="s">
        <v>148</v>
      </c>
      <c r="E20" s="23" t="s">
        <v>148</v>
      </c>
      <c r="F20" s="28" t="s">
        <v>161</v>
      </c>
      <c r="G20" s="29" t="s">
        <v>180</v>
      </c>
      <c r="H20" s="25"/>
      <c r="I20" s="26">
        <v>10584</v>
      </c>
      <c r="J20" t="s">
        <v>117</v>
      </c>
      <c r="K20" t="s">
        <v>96</v>
      </c>
    </row>
    <row r="21" spans="1:11" x14ac:dyDescent="0.25">
      <c r="A21" s="27">
        <v>46093</v>
      </c>
      <c r="B21" s="23" t="s">
        <v>153</v>
      </c>
      <c r="C21" s="24" t="s">
        <v>118</v>
      </c>
      <c r="D21" s="24" t="s">
        <v>148</v>
      </c>
      <c r="E21" s="23" t="s">
        <v>148</v>
      </c>
      <c r="F21" s="28" t="s">
        <v>155</v>
      </c>
      <c r="G21" s="29" t="s">
        <v>181</v>
      </c>
      <c r="H21" s="25"/>
      <c r="I21" s="26">
        <v>11136</v>
      </c>
      <c r="J21" t="s">
        <v>118</v>
      </c>
      <c r="K21" t="s">
        <v>42</v>
      </c>
    </row>
    <row r="22" spans="1:11" x14ac:dyDescent="0.25">
      <c r="A22" s="27">
        <v>46093</v>
      </c>
      <c r="B22" s="23" t="s">
        <v>153</v>
      </c>
      <c r="C22" s="24" t="s">
        <v>119</v>
      </c>
      <c r="D22" s="24" t="s">
        <v>148</v>
      </c>
      <c r="E22" s="23" t="s">
        <v>148</v>
      </c>
      <c r="F22" s="28" t="s">
        <v>171</v>
      </c>
      <c r="G22" s="29" t="s">
        <v>182</v>
      </c>
      <c r="H22" s="25"/>
      <c r="I22" s="26">
        <v>22581</v>
      </c>
      <c r="J22" t="s">
        <v>119</v>
      </c>
      <c r="K22" t="s">
        <v>46</v>
      </c>
    </row>
    <row r="23" spans="1:11" x14ac:dyDescent="0.25">
      <c r="A23" s="27">
        <v>46093</v>
      </c>
      <c r="B23" s="23" t="s">
        <v>153</v>
      </c>
      <c r="C23" s="24" t="s">
        <v>120</v>
      </c>
      <c r="D23" s="24" t="s">
        <v>148</v>
      </c>
      <c r="E23" s="23" t="s">
        <v>148</v>
      </c>
      <c r="F23" s="28" t="s">
        <v>159</v>
      </c>
      <c r="G23" s="29" t="s">
        <v>183</v>
      </c>
      <c r="H23" s="25"/>
      <c r="I23" s="26">
        <v>33320</v>
      </c>
      <c r="J23" t="s">
        <v>120</v>
      </c>
      <c r="K23" t="s">
        <v>50</v>
      </c>
    </row>
    <row r="24" spans="1:11" x14ac:dyDescent="0.25">
      <c r="A24" s="27">
        <v>46093</v>
      </c>
      <c r="B24" s="23" t="s">
        <v>153</v>
      </c>
      <c r="C24" s="24" t="s">
        <v>93</v>
      </c>
      <c r="D24" s="24" t="s">
        <v>148</v>
      </c>
      <c r="E24" s="23" t="s">
        <v>148</v>
      </c>
      <c r="F24" s="28" t="s">
        <v>155</v>
      </c>
      <c r="G24" s="29" t="s">
        <v>184</v>
      </c>
      <c r="H24" s="25"/>
      <c r="I24" s="26">
        <v>33062</v>
      </c>
      <c r="J24" t="s">
        <v>93</v>
      </c>
      <c r="K24" t="s">
        <v>42</v>
      </c>
    </row>
    <row r="25" spans="1:11" x14ac:dyDescent="0.25">
      <c r="A25" s="27">
        <v>46093</v>
      </c>
      <c r="B25" s="23" t="s">
        <v>153</v>
      </c>
      <c r="C25" s="24" t="s">
        <v>121</v>
      </c>
      <c r="D25" s="24" t="s">
        <v>148</v>
      </c>
      <c r="E25" s="23" t="s">
        <v>148</v>
      </c>
      <c r="F25" s="28" t="s">
        <v>168</v>
      </c>
      <c r="G25" s="29" t="s">
        <v>185</v>
      </c>
      <c r="H25" s="25"/>
      <c r="I25" s="26">
        <v>41760</v>
      </c>
      <c r="J25" t="s">
        <v>121</v>
      </c>
      <c r="K25" t="s">
        <v>53</v>
      </c>
    </row>
    <row r="26" spans="1:11" x14ac:dyDescent="0.25">
      <c r="A26" s="27">
        <v>46093</v>
      </c>
      <c r="B26" s="23" t="s">
        <v>153</v>
      </c>
      <c r="C26" s="24" t="s">
        <v>122</v>
      </c>
      <c r="D26" s="24" t="s">
        <v>148</v>
      </c>
      <c r="E26" s="23" t="s">
        <v>148</v>
      </c>
      <c r="F26" s="28" t="s">
        <v>155</v>
      </c>
      <c r="G26" s="29" t="s">
        <v>186</v>
      </c>
      <c r="H26" s="25"/>
      <c r="I26" s="26">
        <v>44840</v>
      </c>
      <c r="J26" t="s">
        <v>122</v>
      </c>
      <c r="K26" t="s">
        <v>42</v>
      </c>
    </row>
    <row r="27" spans="1:11" x14ac:dyDescent="0.25">
      <c r="A27" s="27">
        <v>46093</v>
      </c>
      <c r="B27" s="23" t="s">
        <v>153</v>
      </c>
      <c r="C27" s="24" t="s">
        <v>123</v>
      </c>
      <c r="D27" s="24" t="s">
        <v>148</v>
      </c>
      <c r="E27" s="23" t="s">
        <v>148</v>
      </c>
      <c r="F27" s="28" t="s">
        <v>168</v>
      </c>
      <c r="G27" s="29" t="s">
        <v>187</v>
      </c>
      <c r="H27" s="25"/>
      <c r="I27" s="26">
        <v>48545</v>
      </c>
      <c r="J27" t="s">
        <v>123</v>
      </c>
      <c r="K27" t="s">
        <v>53</v>
      </c>
    </row>
    <row r="28" spans="1:11" x14ac:dyDescent="0.25">
      <c r="A28" s="27">
        <v>46093</v>
      </c>
      <c r="B28" s="23" t="s">
        <v>153</v>
      </c>
      <c r="C28" s="24" t="s">
        <v>124</v>
      </c>
      <c r="D28" s="24" t="s">
        <v>148</v>
      </c>
      <c r="E28" s="23" t="s">
        <v>148</v>
      </c>
      <c r="F28" s="28" t="s">
        <v>171</v>
      </c>
      <c r="G28" s="29" t="s">
        <v>188</v>
      </c>
      <c r="H28" s="25"/>
      <c r="I28" s="26">
        <v>49166</v>
      </c>
      <c r="J28" t="s">
        <v>124</v>
      </c>
      <c r="K28" t="s">
        <v>46</v>
      </c>
    </row>
    <row r="29" spans="1:11" x14ac:dyDescent="0.25">
      <c r="A29" s="27">
        <v>46093</v>
      </c>
      <c r="B29" s="23" t="s">
        <v>153</v>
      </c>
      <c r="C29" s="24" t="s">
        <v>125</v>
      </c>
      <c r="D29" s="24" t="s">
        <v>148</v>
      </c>
      <c r="E29" s="23" t="s">
        <v>148</v>
      </c>
      <c r="F29" s="28" t="s">
        <v>168</v>
      </c>
      <c r="G29" s="29" t="s">
        <v>189</v>
      </c>
      <c r="H29" s="25"/>
      <c r="I29" s="26">
        <v>49985.68</v>
      </c>
      <c r="J29" t="s">
        <v>125</v>
      </c>
      <c r="K29" t="s">
        <v>53</v>
      </c>
    </row>
    <row r="30" spans="1:11" x14ac:dyDescent="0.25">
      <c r="A30" s="27">
        <v>46093</v>
      </c>
      <c r="B30" s="23" t="s">
        <v>153</v>
      </c>
      <c r="C30" s="24" t="s">
        <v>126</v>
      </c>
      <c r="D30" s="24" t="s">
        <v>148</v>
      </c>
      <c r="E30" s="23" t="s">
        <v>148</v>
      </c>
      <c r="F30" s="28" t="s">
        <v>155</v>
      </c>
      <c r="G30" s="29" t="s">
        <v>190</v>
      </c>
      <c r="H30" s="25"/>
      <c r="I30" s="26">
        <v>57291.360000000001</v>
      </c>
      <c r="J30" t="s">
        <v>126</v>
      </c>
      <c r="K30" t="s">
        <v>42</v>
      </c>
    </row>
    <row r="31" spans="1:11" x14ac:dyDescent="0.25">
      <c r="A31" s="27">
        <v>46093</v>
      </c>
      <c r="B31" s="23" t="s">
        <v>153</v>
      </c>
      <c r="C31" s="24" t="s">
        <v>127</v>
      </c>
      <c r="D31" s="24" t="s">
        <v>148</v>
      </c>
      <c r="E31" s="23" t="s">
        <v>148</v>
      </c>
      <c r="F31" s="28" t="s">
        <v>155</v>
      </c>
      <c r="G31" s="29" t="s">
        <v>191</v>
      </c>
      <c r="H31" s="25"/>
      <c r="I31" s="26">
        <v>65341.22</v>
      </c>
      <c r="J31" t="s">
        <v>127</v>
      </c>
      <c r="K31" t="s">
        <v>42</v>
      </c>
    </row>
    <row r="32" spans="1:11" x14ac:dyDescent="0.25">
      <c r="A32" s="27">
        <v>46093</v>
      </c>
      <c r="B32" s="23" t="s">
        <v>153</v>
      </c>
      <c r="C32" s="24" t="s">
        <v>128</v>
      </c>
      <c r="D32" s="24" t="s">
        <v>148</v>
      </c>
      <c r="E32" s="23" t="s">
        <v>148</v>
      </c>
      <c r="F32" s="28" t="s">
        <v>192</v>
      </c>
      <c r="G32" s="29" t="s">
        <v>193</v>
      </c>
      <c r="H32" s="25"/>
      <c r="I32" s="26">
        <v>67960</v>
      </c>
      <c r="J32" t="s">
        <v>128</v>
      </c>
      <c r="K32" t="s">
        <v>1</v>
      </c>
    </row>
    <row r="33" spans="1:11" x14ac:dyDescent="0.25">
      <c r="A33" s="27">
        <v>46093</v>
      </c>
      <c r="B33" s="23" t="s">
        <v>153</v>
      </c>
      <c r="C33" s="24" t="s">
        <v>129</v>
      </c>
      <c r="D33" s="24" t="s">
        <v>148</v>
      </c>
      <c r="E33" s="23" t="s">
        <v>148</v>
      </c>
      <c r="F33" s="28" t="s">
        <v>159</v>
      </c>
      <c r="G33" s="29" t="s">
        <v>194</v>
      </c>
      <c r="H33" s="25"/>
      <c r="I33" s="26">
        <v>72088.2</v>
      </c>
      <c r="J33" t="s">
        <v>129</v>
      </c>
      <c r="K33" t="s">
        <v>50</v>
      </c>
    </row>
    <row r="34" spans="1:11" x14ac:dyDescent="0.25">
      <c r="A34" s="27">
        <v>46093</v>
      </c>
      <c r="B34" s="23" t="s">
        <v>153</v>
      </c>
      <c r="C34" s="24" t="s">
        <v>130</v>
      </c>
      <c r="D34" s="24" t="s">
        <v>148</v>
      </c>
      <c r="E34" s="23" t="s">
        <v>148</v>
      </c>
      <c r="F34" s="28" t="s">
        <v>155</v>
      </c>
      <c r="G34" s="29" t="s">
        <v>195</v>
      </c>
      <c r="H34" s="25"/>
      <c r="I34" s="26">
        <v>72379.88</v>
      </c>
      <c r="J34" t="s">
        <v>130</v>
      </c>
      <c r="K34" t="s">
        <v>42</v>
      </c>
    </row>
    <row r="35" spans="1:11" x14ac:dyDescent="0.25">
      <c r="A35" s="27">
        <v>46093</v>
      </c>
      <c r="B35" s="23" t="s">
        <v>153</v>
      </c>
      <c r="C35" s="24" t="s">
        <v>131</v>
      </c>
      <c r="D35" s="24" t="s">
        <v>148</v>
      </c>
      <c r="E35" s="23" t="s">
        <v>148</v>
      </c>
      <c r="F35" s="28" t="s">
        <v>155</v>
      </c>
      <c r="G35" s="29" t="s">
        <v>196</v>
      </c>
      <c r="H35" s="25"/>
      <c r="I35" s="26">
        <v>500000</v>
      </c>
      <c r="J35" t="s">
        <v>131</v>
      </c>
      <c r="K35" t="s">
        <v>42</v>
      </c>
    </row>
    <row r="36" spans="1:11" x14ac:dyDescent="0.25">
      <c r="A36" s="27">
        <v>46093</v>
      </c>
      <c r="B36" s="23" t="s">
        <v>153</v>
      </c>
      <c r="C36" s="24" t="s">
        <v>132</v>
      </c>
      <c r="D36" s="24" t="s">
        <v>148</v>
      </c>
      <c r="E36" s="23" t="s">
        <v>148</v>
      </c>
      <c r="F36" s="28" t="s">
        <v>159</v>
      </c>
      <c r="G36" s="29" t="s">
        <v>197</v>
      </c>
      <c r="H36" s="25"/>
      <c r="I36" s="26">
        <v>83300</v>
      </c>
      <c r="J36" t="s">
        <v>132</v>
      </c>
      <c r="K36" t="s">
        <v>50</v>
      </c>
    </row>
    <row r="37" spans="1:11" x14ac:dyDescent="0.25">
      <c r="A37" s="27">
        <v>46093</v>
      </c>
      <c r="B37" s="23" t="s">
        <v>153</v>
      </c>
      <c r="C37" s="24" t="s">
        <v>133</v>
      </c>
      <c r="D37" s="24" t="s">
        <v>148</v>
      </c>
      <c r="E37" s="23" t="s">
        <v>148</v>
      </c>
      <c r="F37" s="28" t="s">
        <v>164</v>
      </c>
      <c r="G37" s="29" t="s">
        <v>198</v>
      </c>
      <c r="H37" s="25"/>
      <c r="I37" s="26">
        <v>440224.67</v>
      </c>
      <c r="J37" t="s">
        <v>133</v>
      </c>
      <c r="K37" t="s">
        <v>135</v>
      </c>
    </row>
    <row r="38" spans="1:11" x14ac:dyDescent="0.25">
      <c r="A38" s="27">
        <v>46093</v>
      </c>
      <c r="B38" s="23" t="s">
        <v>153</v>
      </c>
      <c r="C38" s="24" t="s">
        <v>134</v>
      </c>
      <c r="D38" s="24" t="s">
        <v>148</v>
      </c>
      <c r="E38" s="23" t="s">
        <v>148</v>
      </c>
      <c r="F38" s="28" t="s">
        <v>199</v>
      </c>
      <c r="G38" s="29" t="s">
        <v>200</v>
      </c>
      <c r="H38" s="25"/>
      <c r="I38" s="26">
        <v>2500000</v>
      </c>
      <c r="J38" t="s">
        <v>134</v>
      </c>
      <c r="K38" t="s">
        <v>1</v>
      </c>
    </row>
    <row r="39" spans="1:11" x14ac:dyDescent="0.25">
      <c r="A39" s="27">
        <v>46093</v>
      </c>
      <c r="B39" s="23" t="s">
        <v>153</v>
      </c>
      <c r="C39" s="24" t="s">
        <v>101</v>
      </c>
      <c r="D39" s="24" t="s">
        <v>148</v>
      </c>
      <c r="E39" s="23" t="s">
        <v>148</v>
      </c>
      <c r="F39" s="28" t="s">
        <v>205</v>
      </c>
      <c r="G39" s="29" t="s">
        <v>206</v>
      </c>
      <c r="H39" s="25"/>
      <c r="I39" s="26">
        <v>350000</v>
      </c>
      <c r="J39" t="s">
        <v>101</v>
      </c>
      <c r="K39" t="s">
        <v>409</v>
      </c>
    </row>
    <row r="40" spans="1:11" x14ac:dyDescent="0.25">
      <c r="A40" s="27">
        <v>46093</v>
      </c>
      <c r="B40" s="23" t="s">
        <v>153</v>
      </c>
      <c r="C40" s="24" t="s">
        <v>79</v>
      </c>
      <c r="D40" s="24" t="s">
        <v>148</v>
      </c>
      <c r="E40" s="23" t="s">
        <v>148</v>
      </c>
      <c r="F40" s="28" t="s">
        <v>412</v>
      </c>
      <c r="G40" s="29" t="s">
        <v>209</v>
      </c>
      <c r="H40" s="25"/>
      <c r="I40" s="26">
        <v>1074240</v>
      </c>
      <c r="J40" t="s">
        <v>79</v>
      </c>
      <c r="K40" t="s">
        <v>54</v>
      </c>
    </row>
    <row r="41" spans="1:11" x14ac:dyDescent="0.25">
      <c r="A41" s="27">
        <v>46093</v>
      </c>
      <c r="B41" s="23" t="s">
        <v>153</v>
      </c>
      <c r="C41" s="24" t="s">
        <v>100</v>
      </c>
      <c r="D41" s="24" t="s">
        <v>148</v>
      </c>
      <c r="E41" s="23" t="s">
        <v>148</v>
      </c>
      <c r="F41" s="28" t="s">
        <v>173</v>
      </c>
      <c r="G41" s="29" t="s">
        <v>210</v>
      </c>
      <c r="H41" s="25"/>
      <c r="I41" s="26">
        <v>500000</v>
      </c>
      <c r="J41" t="s">
        <v>100</v>
      </c>
      <c r="K41" t="s">
        <v>3</v>
      </c>
    </row>
    <row r="42" spans="1:11" x14ac:dyDescent="0.25">
      <c r="A42" s="27">
        <v>46093</v>
      </c>
      <c r="B42" s="23" t="s">
        <v>153</v>
      </c>
      <c r="C42" s="24" t="s">
        <v>44</v>
      </c>
      <c r="D42" s="24" t="s">
        <v>148</v>
      </c>
      <c r="E42" s="23" t="s">
        <v>148</v>
      </c>
      <c r="F42" s="28" t="s">
        <v>173</v>
      </c>
      <c r="G42" s="29" t="s">
        <v>211</v>
      </c>
      <c r="H42" s="25"/>
      <c r="I42" s="26">
        <v>410373</v>
      </c>
      <c r="J42" t="s">
        <v>44</v>
      </c>
      <c r="K42" t="s">
        <v>3</v>
      </c>
    </row>
    <row r="43" spans="1:11" x14ac:dyDescent="0.25">
      <c r="A43" s="27">
        <v>46094</v>
      </c>
      <c r="B43" s="23" t="s">
        <v>153</v>
      </c>
      <c r="C43" s="24" t="s">
        <v>86</v>
      </c>
      <c r="D43" s="24" t="s">
        <v>148</v>
      </c>
      <c r="E43" s="23" t="s">
        <v>148</v>
      </c>
      <c r="F43" s="28" t="s">
        <v>161</v>
      </c>
      <c r="G43" s="29" t="s">
        <v>223</v>
      </c>
      <c r="H43" s="25"/>
      <c r="I43" s="26">
        <v>238302.12</v>
      </c>
      <c r="J43" t="s">
        <v>86</v>
      </c>
      <c r="K43" t="s">
        <v>96</v>
      </c>
    </row>
    <row r="44" spans="1:11" x14ac:dyDescent="0.25">
      <c r="A44" s="27">
        <v>46094</v>
      </c>
      <c r="B44" s="23" t="s">
        <v>153</v>
      </c>
      <c r="C44" s="24" t="s">
        <v>142</v>
      </c>
      <c r="D44" s="24" t="s">
        <v>148</v>
      </c>
      <c r="E44" s="23" t="s">
        <v>148</v>
      </c>
      <c r="F44" s="28" t="s">
        <v>192</v>
      </c>
      <c r="G44" s="29" t="s">
        <v>224</v>
      </c>
      <c r="H44" s="25"/>
      <c r="I44" s="26">
        <v>23871.08</v>
      </c>
      <c r="J44" t="s">
        <v>142</v>
      </c>
      <c r="K44" t="s">
        <v>1</v>
      </c>
    </row>
    <row r="45" spans="1:11" x14ac:dyDescent="0.25">
      <c r="A45" s="27">
        <v>46094</v>
      </c>
      <c r="B45" s="23" t="s">
        <v>153</v>
      </c>
      <c r="C45" s="24" t="s">
        <v>69</v>
      </c>
      <c r="D45" s="24" t="s">
        <v>148</v>
      </c>
      <c r="E45" s="23" t="s">
        <v>148</v>
      </c>
      <c r="F45" s="28" t="s">
        <v>192</v>
      </c>
      <c r="G45" s="29" t="s">
        <v>225</v>
      </c>
      <c r="H45" s="25"/>
      <c r="I45" s="26">
        <v>20668</v>
      </c>
      <c r="J45" t="s">
        <v>69</v>
      </c>
      <c r="K45" t="s">
        <v>1</v>
      </c>
    </row>
    <row r="46" spans="1:11" x14ac:dyDescent="0.25">
      <c r="A46" s="27">
        <v>46094</v>
      </c>
      <c r="B46" s="23" t="s">
        <v>153</v>
      </c>
      <c r="C46" s="24" t="s">
        <v>138</v>
      </c>
      <c r="D46" s="24" t="s">
        <v>148</v>
      </c>
      <c r="E46" s="23" t="s">
        <v>148</v>
      </c>
      <c r="F46" s="28" t="s">
        <v>173</v>
      </c>
      <c r="G46" s="29" t="s">
        <v>226</v>
      </c>
      <c r="H46" s="25"/>
      <c r="I46" s="26">
        <v>36978</v>
      </c>
      <c r="J46" t="s">
        <v>138</v>
      </c>
      <c r="K46" t="s">
        <v>3</v>
      </c>
    </row>
    <row r="47" spans="1:11" x14ac:dyDescent="0.25">
      <c r="A47" s="27">
        <v>46094</v>
      </c>
      <c r="B47" s="23" t="s">
        <v>153</v>
      </c>
      <c r="C47" s="28" t="s">
        <v>137</v>
      </c>
      <c r="D47" s="24" t="s">
        <v>148</v>
      </c>
      <c r="E47" s="23" t="s">
        <v>148</v>
      </c>
      <c r="F47" s="28" t="s">
        <v>227</v>
      </c>
      <c r="G47" s="29" t="s">
        <v>228</v>
      </c>
      <c r="H47" s="25"/>
      <c r="I47" s="26">
        <v>85500</v>
      </c>
      <c r="J47" t="s">
        <v>137</v>
      </c>
      <c r="K47" t="s">
        <v>65</v>
      </c>
    </row>
    <row r="48" spans="1:11" x14ac:dyDescent="0.25">
      <c r="A48" s="27">
        <v>46094</v>
      </c>
      <c r="B48" s="23" t="s">
        <v>153</v>
      </c>
      <c r="C48" s="24" t="s">
        <v>229</v>
      </c>
      <c r="D48" s="24" t="s">
        <v>148</v>
      </c>
      <c r="E48" s="23" t="s">
        <v>148</v>
      </c>
      <c r="F48" s="28" t="s">
        <v>155</v>
      </c>
      <c r="G48" s="29" t="s">
        <v>230</v>
      </c>
      <c r="H48" s="25"/>
      <c r="I48" s="26">
        <v>363157</v>
      </c>
      <c r="J48" t="s">
        <v>229</v>
      </c>
      <c r="K48" t="s">
        <v>42</v>
      </c>
    </row>
    <row r="49" spans="1:11" x14ac:dyDescent="0.25">
      <c r="A49" s="27">
        <v>46094</v>
      </c>
      <c r="B49" s="23" t="s">
        <v>153</v>
      </c>
      <c r="C49" s="28" t="s">
        <v>137</v>
      </c>
      <c r="D49" s="24" t="s">
        <v>148</v>
      </c>
      <c r="E49" s="23" t="s">
        <v>148</v>
      </c>
      <c r="F49" s="28" t="s">
        <v>227</v>
      </c>
      <c r="G49" s="29" t="s">
        <v>231</v>
      </c>
      <c r="H49" s="25"/>
      <c r="I49" s="26">
        <v>85500</v>
      </c>
      <c r="J49" t="s">
        <v>137</v>
      </c>
      <c r="K49" t="s">
        <v>65</v>
      </c>
    </row>
    <row r="50" spans="1:11" x14ac:dyDescent="0.25">
      <c r="A50" s="27">
        <v>46094</v>
      </c>
      <c r="B50" s="23" t="s">
        <v>153</v>
      </c>
      <c r="C50" s="24" t="s">
        <v>145</v>
      </c>
      <c r="D50" s="24" t="s">
        <v>148</v>
      </c>
      <c r="E50" s="23" t="s">
        <v>148</v>
      </c>
      <c r="F50" s="28" t="s">
        <v>168</v>
      </c>
      <c r="G50" s="29" t="s">
        <v>232</v>
      </c>
      <c r="H50" s="25"/>
      <c r="I50" s="26">
        <v>55000</v>
      </c>
      <c r="J50" t="s">
        <v>145</v>
      </c>
      <c r="K50" t="s">
        <v>53</v>
      </c>
    </row>
    <row r="51" spans="1:11" x14ac:dyDescent="0.25">
      <c r="A51" s="27">
        <v>46094</v>
      </c>
      <c r="B51" s="23" t="s">
        <v>153</v>
      </c>
      <c r="C51" s="24" t="s">
        <v>233</v>
      </c>
      <c r="D51" s="24" t="s">
        <v>148</v>
      </c>
      <c r="E51" s="23" t="s">
        <v>148</v>
      </c>
      <c r="F51" s="28" t="s">
        <v>155</v>
      </c>
      <c r="G51" s="29" t="s">
        <v>234</v>
      </c>
      <c r="H51" s="25"/>
      <c r="I51" s="26">
        <v>270000</v>
      </c>
      <c r="J51" t="s">
        <v>233</v>
      </c>
      <c r="K51" t="s">
        <v>42</v>
      </c>
    </row>
    <row r="52" spans="1:11" x14ac:dyDescent="0.25">
      <c r="A52" s="27">
        <v>46094</v>
      </c>
      <c r="B52" s="23" t="s">
        <v>153</v>
      </c>
      <c r="C52" s="24" t="s">
        <v>95</v>
      </c>
      <c r="D52" s="24" t="s">
        <v>148</v>
      </c>
      <c r="E52" s="23" t="s">
        <v>148</v>
      </c>
      <c r="F52" s="28" t="s">
        <v>235</v>
      </c>
      <c r="G52" s="29" t="s">
        <v>236</v>
      </c>
      <c r="H52" s="25"/>
      <c r="I52" s="26">
        <v>2656.92</v>
      </c>
      <c r="J52" t="s">
        <v>95</v>
      </c>
      <c r="K52" t="s">
        <v>47</v>
      </c>
    </row>
    <row r="53" spans="1:11" x14ac:dyDescent="0.25">
      <c r="A53" s="27">
        <v>46094</v>
      </c>
      <c r="B53" s="23" t="s">
        <v>153</v>
      </c>
      <c r="C53" s="24" t="s">
        <v>237</v>
      </c>
      <c r="D53" s="24" t="s">
        <v>148</v>
      </c>
      <c r="E53" s="23" t="s">
        <v>148</v>
      </c>
      <c r="F53" s="28" t="s">
        <v>159</v>
      </c>
      <c r="G53" s="29" t="s">
        <v>238</v>
      </c>
      <c r="H53" s="25"/>
      <c r="I53" s="26">
        <v>295636.2</v>
      </c>
      <c r="J53" t="s">
        <v>237</v>
      </c>
      <c r="K53" t="s">
        <v>50</v>
      </c>
    </row>
    <row r="54" spans="1:11" x14ac:dyDescent="0.25">
      <c r="A54" s="27">
        <v>46094</v>
      </c>
      <c r="B54" s="23" t="s">
        <v>153</v>
      </c>
      <c r="C54" s="24" t="s">
        <v>143</v>
      </c>
      <c r="D54" s="24" t="s">
        <v>148</v>
      </c>
      <c r="E54" s="23" t="s">
        <v>148</v>
      </c>
      <c r="F54" s="28" t="s">
        <v>155</v>
      </c>
      <c r="G54" s="29" t="s">
        <v>239</v>
      </c>
      <c r="H54" s="25"/>
      <c r="I54" s="26">
        <v>613302.62</v>
      </c>
      <c r="J54" t="s">
        <v>143</v>
      </c>
      <c r="K54" t="s">
        <v>42</v>
      </c>
    </row>
    <row r="55" spans="1:11" x14ac:dyDescent="0.25">
      <c r="A55" s="27">
        <v>46094</v>
      </c>
      <c r="B55" s="23" t="s">
        <v>153</v>
      </c>
      <c r="C55" s="24" t="s">
        <v>141</v>
      </c>
      <c r="D55" s="24" t="s">
        <v>148</v>
      </c>
      <c r="E55" s="23" t="s">
        <v>148</v>
      </c>
      <c r="F55" s="28" t="s">
        <v>155</v>
      </c>
      <c r="G55" s="29" t="s">
        <v>240</v>
      </c>
      <c r="H55" s="25"/>
      <c r="I55" s="26">
        <v>316240</v>
      </c>
      <c r="J55" t="s">
        <v>141</v>
      </c>
      <c r="K55" t="s">
        <v>42</v>
      </c>
    </row>
    <row r="56" spans="1:11" x14ac:dyDescent="0.25">
      <c r="A56" s="27">
        <v>46094</v>
      </c>
      <c r="B56" s="23" t="s">
        <v>153</v>
      </c>
      <c r="C56" s="24" t="s">
        <v>147</v>
      </c>
      <c r="D56" s="24" t="s">
        <v>148</v>
      </c>
      <c r="E56" s="23" t="s">
        <v>148</v>
      </c>
      <c r="F56" s="28" t="s">
        <v>241</v>
      </c>
      <c r="G56" s="29" t="s">
        <v>242</v>
      </c>
      <c r="H56" s="25"/>
      <c r="I56" s="26">
        <v>19224</v>
      </c>
      <c r="J56" t="s">
        <v>147</v>
      </c>
      <c r="K56" t="s">
        <v>410</v>
      </c>
    </row>
    <row r="57" spans="1:11" x14ac:dyDescent="0.25">
      <c r="A57" s="27">
        <v>46094</v>
      </c>
      <c r="B57" s="23" t="s">
        <v>153</v>
      </c>
      <c r="C57" s="24" t="s">
        <v>146</v>
      </c>
      <c r="D57" s="24" t="s">
        <v>148</v>
      </c>
      <c r="E57" s="23" t="s">
        <v>148</v>
      </c>
      <c r="F57" s="28" t="s">
        <v>173</v>
      </c>
      <c r="G57" s="29" t="s">
        <v>243</v>
      </c>
      <c r="H57" s="25"/>
      <c r="I57" s="26">
        <v>192560</v>
      </c>
      <c r="J57" t="s">
        <v>146</v>
      </c>
      <c r="K57" t="s">
        <v>3</v>
      </c>
    </row>
    <row r="58" spans="1:11" x14ac:dyDescent="0.25">
      <c r="A58" s="27">
        <v>46094</v>
      </c>
      <c r="B58" s="23" t="s">
        <v>153</v>
      </c>
      <c r="C58" s="24" t="s">
        <v>140</v>
      </c>
      <c r="D58" s="24" t="s">
        <v>148</v>
      </c>
      <c r="E58" s="23" t="s">
        <v>148</v>
      </c>
      <c r="F58" s="28" t="s">
        <v>161</v>
      </c>
      <c r="G58" s="29" t="s">
        <v>244</v>
      </c>
      <c r="H58" s="25"/>
      <c r="I58" s="26">
        <v>492321.38</v>
      </c>
      <c r="J58" t="s">
        <v>140</v>
      </c>
      <c r="K58" t="s">
        <v>96</v>
      </c>
    </row>
    <row r="59" spans="1:11" x14ac:dyDescent="0.25">
      <c r="A59" s="27">
        <v>46094</v>
      </c>
      <c r="B59" s="23" t="s">
        <v>153</v>
      </c>
      <c r="C59" s="24" t="s">
        <v>139</v>
      </c>
      <c r="D59" s="24" t="s">
        <v>148</v>
      </c>
      <c r="E59" s="23" t="s">
        <v>148</v>
      </c>
      <c r="F59" s="28" t="s">
        <v>161</v>
      </c>
      <c r="G59" s="29" t="s">
        <v>245</v>
      </c>
      <c r="H59" s="25"/>
      <c r="I59" s="26">
        <v>426670.95</v>
      </c>
      <c r="J59" t="s">
        <v>139</v>
      </c>
      <c r="K59" t="s">
        <v>96</v>
      </c>
    </row>
    <row r="60" spans="1:11" x14ac:dyDescent="0.25">
      <c r="A60" s="27">
        <v>46094</v>
      </c>
      <c r="B60" s="23" t="s">
        <v>153</v>
      </c>
      <c r="C60" s="24" t="s">
        <v>246</v>
      </c>
      <c r="D60" s="24" t="s">
        <v>148</v>
      </c>
      <c r="E60" s="23" t="s">
        <v>148</v>
      </c>
      <c r="F60" s="28" t="s">
        <v>247</v>
      </c>
      <c r="G60" s="29" t="s">
        <v>248</v>
      </c>
      <c r="H60" s="25"/>
      <c r="I60" s="26">
        <v>3000</v>
      </c>
      <c r="J60" t="s">
        <v>246</v>
      </c>
      <c r="K60" t="s">
        <v>411</v>
      </c>
    </row>
    <row r="61" spans="1:11" x14ac:dyDescent="0.25">
      <c r="A61" s="27">
        <v>46094</v>
      </c>
      <c r="B61" s="23" t="s">
        <v>153</v>
      </c>
      <c r="C61" s="24" t="s">
        <v>144</v>
      </c>
      <c r="D61" s="24" t="s">
        <v>148</v>
      </c>
      <c r="E61" s="23" t="s">
        <v>148</v>
      </c>
      <c r="F61" s="28" t="s">
        <v>168</v>
      </c>
      <c r="G61" s="29" t="s">
        <v>249</v>
      </c>
      <c r="H61" s="25"/>
      <c r="I61" s="26">
        <v>18622.439999999999</v>
      </c>
      <c r="J61" t="s">
        <v>144</v>
      </c>
      <c r="K61" t="s">
        <v>53</v>
      </c>
    </row>
    <row r="62" spans="1:11" x14ac:dyDescent="0.25">
      <c r="A62" s="27">
        <v>46094</v>
      </c>
      <c r="B62" s="23" t="s">
        <v>153</v>
      </c>
      <c r="C62" s="24" t="s">
        <v>144</v>
      </c>
      <c r="D62" s="24" t="s">
        <v>148</v>
      </c>
      <c r="E62" s="23" t="s">
        <v>148</v>
      </c>
      <c r="F62" s="28" t="s">
        <v>168</v>
      </c>
      <c r="G62" s="29" t="s">
        <v>250</v>
      </c>
      <c r="H62" s="25"/>
      <c r="I62" s="26">
        <v>3724.92</v>
      </c>
      <c r="J62" t="s">
        <v>144</v>
      </c>
      <c r="K62" t="s">
        <v>53</v>
      </c>
    </row>
    <row r="63" spans="1:11" x14ac:dyDescent="0.25">
      <c r="A63" s="27">
        <v>46094</v>
      </c>
      <c r="B63" s="23" t="s">
        <v>153</v>
      </c>
      <c r="C63" s="24" t="s">
        <v>144</v>
      </c>
      <c r="D63" s="24" t="s">
        <v>148</v>
      </c>
      <c r="E63" s="23" t="s">
        <v>148</v>
      </c>
      <c r="F63" s="28" t="s">
        <v>412</v>
      </c>
      <c r="G63" s="29" t="s">
        <v>251</v>
      </c>
      <c r="H63" s="25"/>
      <c r="I63" s="26">
        <v>74487.600000000006</v>
      </c>
      <c r="J63" t="s">
        <v>144</v>
      </c>
      <c r="K63" t="s">
        <v>54</v>
      </c>
    </row>
    <row r="64" spans="1:11" x14ac:dyDescent="0.25">
      <c r="A64" s="27">
        <v>46094</v>
      </c>
      <c r="B64" s="23" t="s">
        <v>153</v>
      </c>
      <c r="C64" s="24" t="s">
        <v>144</v>
      </c>
      <c r="D64" s="24" t="s">
        <v>148</v>
      </c>
      <c r="E64" s="23" t="s">
        <v>148</v>
      </c>
      <c r="F64" s="28" t="s">
        <v>171</v>
      </c>
      <c r="G64" s="29" t="s">
        <v>252</v>
      </c>
      <c r="H64" s="25"/>
      <c r="I64" s="26">
        <v>54624.24</v>
      </c>
      <c r="J64" t="s">
        <v>144</v>
      </c>
      <c r="K64" t="s">
        <v>46</v>
      </c>
    </row>
    <row r="65" spans="1:11" x14ac:dyDescent="0.25">
      <c r="A65" s="27">
        <v>46094</v>
      </c>
      <c r="B65" s="23" t="s">
        <v>153</v>
      </c>
      <c r="C65" s="24" t="s">
        <v>97</v>
      </c>
      <c r="D65" s="24" t="s">
        <v>148</v>
      </c>
      <c r="E65" s="23" t="s">
        <v>148</v>
      </c>
      <c r="F65" s="28" t="s">
        <v>173</v>
      </c>
      <c r="G65" s="29" t="s">
        <v>253</v>
      </c>
      <c r="H65" s="25"/>
      <c r="I65" s="26">
        <v>31390</v>
      </c>
      <c r="J65" t="s">
        <v>97</v>
      </c>
      <c r="K65" t="s">
        <v>3</v>
      </c>
    </row>
    <row r="66" spans="1:11" x14ac:dyDescent="0.25">
      <c r="A66" s="27">
        <v>46094</v>
      </c>
      <c r="B66" s="23" t="s">
        <v>153</v>
      </c>
      <c r="C66" s="24" t="s">
        <v>254</v>
      </c>
      <c r="D66" s="24" t="s">
        <v>148</v>
      </c>
      <c r="E66" s="23" t="s">
        <v>148</v>
      </c>
      <c r="F66" s="28" t="s">
        <v>173</v>
      </c>
      <c r="G66" s="29" t="s">
        <v>255</v>
      </c>
      <c r="H66" s="25"/>
      <c r="I66" s="26">
        <v>5000</v>
      </c>
      <c r="J66" t="s">
        <v>254</v>
      </c>
      <c r="K66" t="s">
        <v>3</v>
      </c>
    </row>
    <row r="67" spans="1:11" x14ac:dyDescent="0.25">
      <c r="A67" s="27">
        <v>46094</v>
      </c>
      <c r="B67" s="23" t="s">
        <v>153</v>
      </c>
      <c r="C67" s="24" t="s">
        <v>256</v>
      </c>
      <c r="D67" s="24" t="s">
        <v>148</v>
      </c>
      <c r="E67" s="23" t="s">
        <v>148</v>
      </c>
      <c r="F67" s="28" t="s">
        <v>173</v>
      </c>
      <c r="G67" s="29" t="s">
        <v>257</v>
      </c>
      <c r="H67" s="25"/>
      <c r="I67" s="26">
        <v>20990</v>
      </c>
      <c r="J67" t="s">
        <v>256</v>
      </c>
      <c r="K67" t="s">
        <v>3</v>
      </c>
    </row>
    <row r="68" spans="1:11" x14ac:dyDescent="0.25">
      <c r="A68" s="27">
        <v>46094</v>
      </c>
      <c r="B68" s="23" t="s">
        <v>153</v>
      </c>
      <c r="C68" s="24" t="s">
        <v>66</v>
      </c>
      <c r="D68" s="24" t="s">
        <v>148</v>
      </c>
      <c r="E68" s="23" t="s">
        <v>148</v>
      </c>
      <c r="F68" s="28" t="s">
        <v>227</v>
      </c>
      <c r="G68" s="29" t="s">
        <v>263</v>
      </c>
      <c r="H68" s="25"/>
      <c r="I68" s="26">
        <v>500000</v>
      </c>
      <c r="J68" t="s">
        <v>66</v>
      </c>
      <c r="K68" t="s">
        <v>65</v>
      </c>
    </row>
    <row r="69" spans="1:11" x14ac:dyDescent="0.25">
      <c r="A69" s="27">
        <v>46094</v>
      </c>
      <c r="B69" s="23" t="s">
        <v>153</v>
      </c>
      <c r="C69" s="24" t="s">
        <v>41</v>
      </c>
      <c r="D69" s="24" t="s">
        <v>148</v>
      </c>
      <c r="E69" s="23" t="s">
        <v>148</v>
      </c>
      <c r="F69" s="28" t="s">
        <v>155</v>
      </c>
      <c r="G69" s="29" t="s">
        <v>266</v>
      </c>
      <c r="H69" s="25"/>
      <c r="I69" s="26">
        <v>800000</v>
      </c>
      <c r="J69" t="s">
        <v>41</v>
      </c>
      <c r="K69" t="s">
        <v>42</v>
      </c>
    </row>
    <row r="70" spans="1:11" x14ac:dyDescent="0.25">
      <c r="A70" s="27">
        <v>46094</v>
      </c>
      <c r="B70" s="23" t="s">
        <v>153</v>
      </c>
      <c r="C70" s="24" t="s">
        <v>101</v>
      </c>
      <c r="D70" s="24" t="s">
        <v>148</v>
      </c>
      <c r="E70" s="23" t="s">
        <v>148</v>
      </c>
      <c r="F70" s="28" t="s">
        <v>205</v>
      </c>
      <c r="G70" s="29" t="s">
        <v>271</v>
      </c>
      <c r="H70" s="25"/>
      <c r="I70" s="26">
        <v>350000</v>
      </c>
      <c r="J70" t="s">
        <v>101</v>
      </c>
      <c r="K70" t="s">
        <v>409</v>
      </c>
    </row>
    <row r="71" spans="1:11" x14ac:dyDescent="0.25">
      <c r="A71" s="27">
        <v>46094</v>
      </c>
      <c r="B71" s="23" t="s">
        <v>153</v>
      </c>
      <c r="C71" s="24" t="s">
        <v>66</v>
      </c>
      <c r="D71" s="24" t="s">
        <v>148</v>
      </c>
      <c r="E71" s="23" t="s">
        <v>148</v>
      </c>
      <c r="F71" s="28" t="s">
        <v>227</v>
      </c>
      <c r="G71" s="29" t="s">
        <v>272</v>
      </c>
      <c r="H71" s="25"/>
      <c r="I71" s="26">
        <v>255000</v>
      </c>
      <c r="J71" t="s">
        <v>66</v>
      </c>
      <c r="K71" t="s">
        <v>65</v>
      </c>
    </row>
    <row r="72" spans="1:11" x14ac:dyDescent="0.25">
      <c r="A72" s="27">
        <v>46097</v>
      </c>
      <c r="B72" s="23" t="s">
        <v>153</v>
      </c>
      <c r="C72" s="24" t="s">
        <v>273</v>
      </c>
      <c r="D72" s="24" t="s">
        <v>148</v>
      </c>
      <c r="E72" s="23" t="s">
        <v>148</v>
      </c>
      <c r="F72" s="28" t="s">
        <v>205</v>
      </c>
      <c r="G72" s="29" t="s">
        <v>274</v>
      </c>
      <c r="H72" s="25"/>
      <c r="I72" s="26">
        <v>297290</v>
      </c>
      <c r="J72" t="s">
        <v>273</v>
      </c>
      <c r="K72" t="s">
        <v>409</v>
      </c>
    </row>
    <row r="73" spans="1:11" x14ac:dyDescent="0.25">
      <c r="A73" s="27">
        <v>46097</v>
      </c>
      <c r="B73" s="23" t="s">
        <v>153</v>
      </c>
      <c r="C73" s="24" t="s">
        <v>275</v>
      </c>
      <c r="D73" s="24" t="s">
        <v>148</v>
      </c>
      <c r="E73" s="23" t="s">
        <v>148</v>
      </c>
      <c r="F73" s="28" t="s">
        <v>155</v>
      </c>
      <c r="G73" s="29" t="s">
        <v>276</v>
      </c>
      <c r="H73" s="25"/>
      <c r="I73" s="26">
        <v>52879</v>
      </c>
      <c r="J73" t="s">
        <v>275</v>
      </c>
      <c r="K73" t="s">
        <v>42</v>
      </c>
    </row>
    <row r="74" spans="1:11" x14ac:dyDescent="0.25">
      <c r="A74" s="27">
        <v>46097</v>
      </c>
      <c r="B74" s="23" t="s">
        <v>153</v>
      </c>
      <c r="C74" s="24" t="s">
        <v>72</v>
      </c>
      <c r="D74" s="24" t="s">
        <v>148</v>
      </c>
      <c r="E74" s="23" t="s">
        <v>148</v>
      </c>
      <c r="F74" s="28" t="s">
        <v>159</v>
      </c>
      <c r="G74" s="29" t="s">
        <v>277</v>
      </c>
      <c r="H74" s="25"/>
      <c r="I74" s="26">
        <v>30295.599999999999</v>
      </c>
      <c r="J74" t="s">
        <v>72</v>
      </c>
      <c r="K74" t="s">
        <v>50</v>
      </c>
    </row>
    <row r="75" spans="1:11" x14ac:dyDescent="0.25">
      <c r="A75" s="27">
        <v>46097</v>
      </c>
      <c r="B75" s="23" t="s">
        <v>153</v>
      </c>
      <c r="C75" s="24" t="s">
        <v>278</v>
      </c>
      <c r="D75" s="24" t="s">
        <v>148</v>
      </c>
      <c r="E75" s="23" t="s">
        <v>148</v>
      </c>
      <c r="F75" s="28" t="s">
        <v>155</v>
      </c>
      <c r="G75" s="29" t="s">
        <v>279</v>
      </c>
      <c r="H75" s="25"/>
      <c r="I75" s="26">
        <v>168136.1</v>
      </c>
      <c r="J75" t="s">
        <v>278</v>
      </c>
      <c r="K75" t="s">
        <v>42</v>
      </c>
    </row>
    <row r="76" spans="1:11" x14ac:dyDescent="0.25">
      <c r="A76" s="27">
        <v>46097</v>
      </c>
      <c r="B76" s="23" t="s">
        <v>153</v>
      </c>
      <c r="C76" s="24" t="s">
        <v>280</v>
      </c>
      <c r="D76" s="24" t="s">
        <v>148</v>
      </c>
      <c r="E76" s="23" t="s">
        <v>148</v>
      </c>
      <c r="F76" s="28" t="s">
        <v>155</v>
      </c>
      <c r="G76" s="29" t="s">
        <v>281</v>
      </c>
      <c r="H76" s="25"/>
      <c r="I76" s="26">
        <v>151788</v>
      </c>
      <c r="J76" t="s">
        <v>280</v>
      </c>
      <c r="K76" t="s">
        <v>42</v>
      </c>
    </row>
    <row r="77" spans="1:11" x14ac:dyDescent="0.25">
      <c r="A77" s="27">
        <v>46097</v>
      </c>
      <c r="B77" s="23" t="s">
        <v>153</v>
      </c>
      <c r="C77" s="24" t="s">
        <v>62</v>
      </c>
      <c r="D77" s="24" t="s">
        <v>148</v>
      </c>
      <c r="E77" s="23" t="s">
        <v>148</v>
      </c>
      <c r="F77" s="28" t="s">
        <v>161</v>
      </c>
      <c r="G77" s="29" t="s">
        <v>282</v>
      </c>
      <c r="H77" s="25"/>
      <c r="I77" s="26">
        <v>200000</v>
      </c>
      <c r="J77" t="s">
        <v>62</v>
      </c>
      <c r="K77" t="s">
        <v>96</v>
      </c>
    </row>
    <row r="78" spans="1:11" x14ac:dyDescent="0.25">
      <c r="A78" s="27">
        <v>46097</v>
      </c>
      <c r="B78" s="23" t="s">
        <v>153</v>
      </c>
      <c r="C78" s="24" t="s">
        <v>283</v>
      </c>
      <c r="D78" s="24" t="s">
        <v>148</v>
      </c>
      <c r="E78" s="23" t="s">
        <v>148</v>
      </c>
      <c r="F78" s="28" t="s">
        <v>168</v>
      </c>
      <c r="G78" s="29" t="s">
        <v>284</v>
      </c>
      <c r="H78" s="25"/>
      <c r="I78" s="26">
        <v>300432</v>
      </c>
      <c r="J78" t="s">
        <v>283</v>
      </c>
      <c r="K78" t="s">
        <v>53</v>
      </c>
    </row>
    <row r="79" spans="1:11" x14ac:dyDescent="0.25">
      <c r="A79" s="27">
        <v>46097</v>
      </c>
      <c r="B79" s="23" t="s">
        <v>153</v>
      </c>
      <c r="C79" s="24" t="s">
        <v>285</v>
      </c>
      <c r="D79" s="24" t="s">
        <v>148</v>
      </c>
      <c r="E79" s="23" t="s">
        <v>148</v>
      </c>
      <c r="F79" s="28" t="s">
        <v>205</v>
      </c>
      <c r="G79" s="29" t="s">
        <v>286</v>
      </c>
      <c r="H79" s="25"/>
      <c r="I79" s="26">
        <v>128000</v>
      </c>
      <c r="J79" t="s">
        <v>285</v>
      </c>
      <c r="K79" t="s">
        <v>409</v>
      </c>
    </row>
    <row r="80" spans="1:11" x14ac:dyDescent="0.25">
      <c r="A80" s="27">
        <v>46097</v>
      </c>
      <c r="B80" s="23" t="s">
        <v>153</v>
      </c>
      <c r="C80" s="24" t="s">
        <v>287</v>
      </c>
      <c r="D80" s="24" t="s">
        <v>148</v>
      </c>
      <c r="E80" s="23" t="s">
        <v>148</v>
      </c>
      <c r="F80" s="28" t="s">
        <v>192</v>
      </c>
      <c r="G80" s="29" t="s">
        <v>288</v>
      </c>
      <c r="H80" s="25"/>
      <c r="I80" s="26">
        <v>491376</v>
      </c>
      <c r="J80" t="s">
        <v>287</v>
      </c>
      <c r="K80" t="s">
        <v>1</v>
      </c>
    </row>
    <row r="81" spans="1:11" x14ac:dyDescent="0.25">
      <c r="A81" s="27">
        <v>46097</v>
      </c>
      <c r="B81" s="23" t="s">
        <v>153</v>
      </c>
      <c r="C81" s="24" t="s">
        <v>100</v>
      </c>
      <c r="D81" s="24" t="s">
        <v>148</v>
      </c>
      <c r="E81" s="23" t="s">
        <v>148</v>
      </c>
      <c r="F81" s="28" t="s">
        <v>173</v>
      </c>
      <c r="G81" s="29" t="s">
        <v>289</v>
      </c>
      <c r="H81" s="25"/>
      <c r="I81" s="26">
        <v>526069</v>
      </c>
      <c r="J81" t="s">
        <v>100</v>
      </c>
      <c r="K81" t="s">
        <v>3</v>
      </c>
    </row>
    <row r="82" spans="1:11" x14ac:dyDescent="0.25">
      <c r="A82" s="27">
        <v>46097</v>
      </c>
      <c r="B82" s="23" t="s">
        <v>153</v>
      </c>
      <c r="C82" s="24" t="s">
        <v>48</v>
      </c>
      <c r="D82" s="24" t="s">
        <v>148</v>
      </c>
      <c r="E82" s="23" t="s">
        <v>148</v>
      </c>
      <c r="F82" s="28" t="s">
        <v>173</v>
      </c>
      <c r="G82" s="29" t="s">
        <v>290</v>
      </c>
      <c r="H82" s="25"/>
      <c r="I82" s="26">
        <v>331372.90000000002</v>
      </c>
      <c r="J82" t="s">
        <v>48</v>
      </c>
      <c r="K82" t="s">
        <v>3</v>
      </c>
    </row>
    <row r="83" spans="1:11" x14ac:dyDescent="0.25">
      <c r="A83" s="27">
        <v>46097</v>
      </c>
      <c r="B83" s="23" t="s">
        <v>153</v>
      </c>
      <c r="C83" s="24" t="s">
        <v>300</v>
      </c>
      <c r="D83" s="24" t="s">
        <v>148</v>
      </c>
      <c r="E83" s="23" t="s">
        <v>148</v>
      </c>
      <c r="F83" s="28" t="s">
        <v>155</v>
      </c>
      <c r="G83" s="29" t="s">
        <v>301</v>
      </c>
      <c r="H83" s="25"/>
      <c r="I83" s="26">
        <v>63844.73</v>
      </c>
      <c r="J83" t="s">
        <v>300</v>
      </c>
      <c r="K83" t="s">
        <v>42</v>
      </c>
    </row>
    <row r="84" spans="1:11" x14ac:dyDescent="0.25">
      <c r="A84" s="27">
        <v>46098</v>
      </c>
      <c r="B84" s="23" t="s">
        <v>153</v>
      </c>
      <c r="C84" s="24" t="s">
        <v>41</v>
      </c>
      <c r="D84" s="24" t="s">
        <v>148</v>
      </c>
      <c r="E84" s="23" t="s">
        <v>148</v>
      </c>
      <c r="F84" s="28" t="s">
        <v>155</v>
      </c>
      <c r="G84" s="29" t="s">
        <v>304</v>
      </c>
      <c r="H84" s="25"/>
      <c r="I84" s="26">
        <v>800000</v>
      </c>
      <c r="J84" t="s">
        <v>41</v>
      </c>
      <c r="K84" t="s">
        <v>42</v>
      </c>
    </row>
    <row r="85" spans="1:11" x14ac:dyDescent="0.25">
      <c r="A85" s="27">
        <v>46098</v>
      </c>
      <c r="B85" s="23" t="s">
        <v>153</v>
      </c>
      <c r="C85" s="24" t="s">
        <v>143</v>
      </c>
      <c r="D85" s="24" t="s">
        <v>148</v>
      </c>
      <c r="E85" s="23" t="s">
        <v>148</v>
      </c>
      <c r="F85" s="28" t="s">
        <v>155</v>
      </c>
      <c r="G85" s="29" t="s">
        <v>305</v>
      </c>
      <c r="H85" s="25"/>
      <c r="I85" s="26">
        <v>929076.45</v>
      </c>
      <c r="J85" t="s">
        <v>143</v>
      </c>
      <c r="K85" t="s">
        <v>42</v>
      </c>
    </row>
    <row r="86" spans="1:11" x14ac:dyDescent="0.25">
      <c r="A86" s="27">
        <v>46098</v>
      </c>
      <c r="B86" s="23" t="s">
        <v>153</v>
      </c>
      <c r="C86" s="24" t="s">
        <v>43</v>
      </c>
      <c r="D86" s="24" t="s">
        <v>148</v>
      </c>
      <c r="E86" s="23" t="s">
        <v>148</v>
      </c>
      <c r="F86" s="28" t="s">
        <v>161</v>
      </c>
      <c r="G86" s="29" t="s">
        <v>306</v>
      </c>
      <c r="H86" s="25"/>
      <c r="I86" s="26">
        <v>1185955.8899999999</v>
      </c>
      <c r="J86" t="s">
        <v>43</v>
      </c>
      <c r="K86" t="s">
        <v>96</v>
      </c>
    </row>
    <row r="87" spans="1:11" x14ac:dyDescent="0.25">
      <c r="A87" s="27">
        <v>46098</v>
      </c>
      <c r="B87" s="23" t="s">
        <v>153</v>
      </c>
      <c r="C87" s="24" t="s">
        <v>52</v>
      </c>
      <c r="D87" s="24" t="s">
        <v>148</v>
      </c>
      <c r="E87" s="23" t="s">
        <v>148</v>
      </c>
      <c r="F87" s="28" t="s">
        <v>192</v>
      </c>
      <c r="G87" s="29" t="s">
        <v>309</v>
      </c>
      <c r="H87" s="25"/>
      <c r="I87" s="26">
        <v>8626</v>
      </c>
      <c r="J87" t="s">
        <v>52</v>
      </c>
      <c r="K87" t="s">
        <v>1</v>
      </c>
    </row>
    <row r="88" spans="1:11" x14ac:dyDescent="0.25">
      <c r="A88" s="27">
        <v>46098</v>
      </c>
      <c r="B88" s="23" t="s">
        <v>153</v>
      </c>
      <c r="C88" s="24" t="s">
        <v>51</v>
      </c>
      <c r="D88" s="24" t="s">
        <v>148</v>
      </c>
      <c r="E88" s="23" t="s">
        <v>148</v>
      </c>
      <c r="F88" s="28" t="s">
        <v>155</v>
      </c>
      <c r="G88" s="29" t="s">
        <v>310</v>
      </c>
      <c r="H88" s="25"/>
      <c r="I88" s="26">
        <v>66413</v>
      </c>
      <c r="J88" t="s">
        <v>51</v>
      </c>
      <c r="K88" t="s">
        <v>42</v>
      </c>
    </row>
    <row r="89" spans="1:11" x14ac:dyDescent="0.25">
      <c r="A89" s="27">
        <v>46098</v>
      </c>
      <c r="B89" s="23" t="s">
        <v>153</v>
      </c>
      <c r="C89" s="24" t="s">
        <v>311</v>
      </c>
      <c r="D89" s="24" t="s">
        <v>148</v>
      </c>
      <c r="E89" s="23" t="s">
        <v>148</v>
      </c>
      <c r="F89" s="28" t="s">
        <v>192</v>
      </c>
      <c r="G89" s="29" t="s">
        <v>312</v>
      </c>
      <c r="H89" s="25"/>
      <c r="I89" s="26">
        <v>14256</v>
      </c>
      <c r="J89" t="s">
        <v>311</v>
      </c>
      <c r="K89" t="s">
        <v>1</v>
      </c>
    </row>
    <row r="90" spans="1:11" x14ac:dyDescent="0.25">
      <c r="A90" s="27">
        <v>46098</v>
      </c>
      <c r="B90" s="23" t="s">
        <v>153</v>
      </c>
      <c r="C90" s="24" t="s">
        <v>83</v>
      </c>
      <c r="D90" s="24" t="s">
        <v>148</v>
      </c>
      <c r="E90" s="23" t="s">
        <v>148</v>
      </c>
      <c r="F90" s="28" t="s">
        <v>168</v>
      </c>
      <c r="G90" s="29" t="s">
        <v>313</v>
      </c>
      <c r="H90" s="25"/>
      <c r="I90" s="26">
        <v>13434</v>
      </c>
      <c r="J90" t="s">
        <v>83</v>
      </c>
      <c r="K90" t="s">
        <v>53</v>
      </c>
    </row>
    <row r="91" spans="1:11" x14ac:dyDescent="0.25">
      <c r="A91" s="27">
        <v>46098</v>
      </c>
      <c r="B91" s="23" t="s">
        <v>153</v>
      </c>
      <c r="C91" s="24" t="s">
        <v>69</v>
      </c>
      <c r="D91" s="24" t="s">
        <v>148</v>
      </c>
      <c r="E91" s="23" t="s">
        <v>148</v>
      </c>
      <c r="F91" s="28" t="s">
        <v>227</v>
      </c>
      <c r="G91" s="29" t="s">
        <v>314</v>
      </c>
      <c r="H91" s="25"/>
      <c r="I91" s="26">
        <v>74293</v>
      </c>
      <c r="J91" t="s">
        <v>69</v>
      </c>
      <c r="K91" t="s">
        <v>65</v>
      </c>
    </row>
    <row r="92" spans="1:11" x14ac:dyDescent="0.25">
      <c r="A92" s="27">
        <v>46098</v>
      </c>
      <c r="B92" s="23" t="s">
        <v>153</v>
      </c>
      <c r="C92" s="24" t="s">
        <v>315</v>
      </c>
      <c r="D92" s="24" t="s">
        <v>148</v>
      </c>
      <c r="E92" s="23" t="s">
        <v>148</v>
      </c>
      <c r="F92" s="28" t="s">
        <v>171</v>
      </c>
      <c r="G92" s="29" t="s">
        <v>316</v>
      </c>
      <c r="H92" s="25"/>
      <c r="I92" s="26">
        <v>15670</v>
      </c>
      <c r="J92" t="s">
        <v>315</v>
      </c>
      <c r="K92" t="s">
        <v>46</v>
      </c>
    </row>
    <row r="93" spans="1:11" x14ac:dyDescent="0.25">
      <c r="A93" s="27">
        <v>46098</v>
      </c>
      <c r="B93" s="23" t="s">
        <v>153</v>
      </c>
      <c r="C93" s="24" t="s">
        <v>317</v>
      </c>
      <c r="D93" s="24" t="s">
        <v>148</v>
      </c>
      <c r="E93" s="23" t="s">
        <v>148</v>
      </c>
      <c r="F93" s="28" t="s">
        <v>192</v>
      </c>
      <c r="G93" s="29" t="s">
        <v>318</v>
      </c>
      <c r="H93" s="25"/>
      <c r="I93" s="26">
        <v>13053</v>
      </c>
      <c r="J93" t="s">
        <v>317</v>
      </c>
      <c r="K93" t="s">
        <v>1</v>
      </c>
    </row>
    <row r="94" spans="1:11" x14ac:dyDescent="0.25">
      <c r="A94" s="27">
        <v>46098</v>
      </c>
      <c r="B94" s="23" t="s">
        <v>153</v>
      </c>
      <c r="C94" s="24" t="s">
        <v>285</v>
      </c>
      <c r="D94" s="24" t="s">
        <v>148</v>
      </c>
      <c r="E94" s="23" t="s">
        <v>148</v>
      </c>
      <c r="F94" s="28" t="s">
        <v>235</v>
      </c>
      <c r="G94" s="29" t="s">
        <v>319</v>
      </c>
      <c r="H94" s="25"/>
      <c r="I94" s="26">
        <v>174080</v>
      </c>
      <c r="J94" t="s">
        <v>285</v>
      </c>
      <c r="K94" t="s">
        <v>47</v>
      </c>
    </row>
    <row r="95" spans="1:11" x14ac:dyDescent="0.25">
      <c r="A95" s="27">
        <v>46099</v>
      </c>
      <c r="B95" s="23" t="s">
        <v>153</v>
      </c>
      <c r="C95" s="24" t="s">
        <v>66</v>
      </c>
      <c r="D95" s="24" t="s">
        <v>148</v>
      </c>
      <c r="E95" s="23" t="s">
        <v>148</v>
      </c>
      <c r="F95" s="28" t="s">
        <v>227</v>
      </c>
      <c r="G95" s="29" t="s">
        <v>336</v>
      </c>
      <c r="H95" s="25"/>
      <c r="I95" s="26">
        <v>500000</v>
      </c>
      <c r="J95" t="s">
        <v>66</v>
      </c>
      <c r="K95" t="s">
        <v>65</v>
      </c>
    </row>
    <row r="96" spans="1:11" x14ac:dyDescent="0.25">
      <c r="A96" s="27">
        <v>46099</v>
      </c>
      <c r="B96" s="23" t="s">
        <v>153</v>
      </c>
      <c r="C96" s="24" t="s">
        <v>66</v>
      </c>
      <c r="D96" s="24" t="s">
        <v>148</v>
      </c>
      <c r="E96" s="23" t="s">
        <v>148</v>
      </c>
      <c r="F96" s="28" t="s">
        <v>227</v>
      </c>
      <c r="G96" s="29" t="s">
        <v>337</v>
      </c>
      <c r="H96" s="25"/>
      <c r="I96" s="26">
        <v>500000</v>
      </c>
      <c r="J96" t="s">
        <v>66</v>
      </c>
      <c r="K96" t="s">
        <v>65</v>
      </c>
    </row>
    <row r="97" spans="1:11" x14ac:dyDescent="0.25">
      <c r="A97" s="27">
        <v>46099</v>
      </c>
      <c r="B97" s="23" t="s">
        <v>153</v>
      </c>
      <c r="C97" s="24" t="s">
        <v>63</v>
      </c>
      <c r="D97" s="24" t="s">
        <v>148</v>
      </c>
      <c r="E97" s="23" t="s">
        <v>148</v>
      </c>
      <c r="F97" s="28" t="s">
        <v>412</v>
      </c>
      <c r="G97" s="29" t="s">
        <v>338</v>
      </c>
      <c r="H97" s="25"/>
      <c r="I97" s="26">
        <v>1306066</v>
      </c>
      <c r="J97" t="s">
        <v>63</v>
      </c>
      <c r="K97" t="s">
        <v>54</v>
      </c>
    </row>
    <row r="98" spans="1:11" x14ac:dyDescent="0.25">
      <c r="A98" s="27">
        <v>46099</v>
      </c>
      <c r="B98" s="23" t="s">
        <v>153</v>
      </c>
      <c r="C98" s="24" t="s">
        <v>70</v>
      </c>
      <c r="D98" s="24" t="s">
        <v>148</v>
      </c>
      <c r="E98" s="23" t="s">
        <v>148</v>
      </c>
      <c r="F98" s="28" t="s">
        <v>205</v>
      </c>
      <c r="G98" s="29" t="s">
        <v>339</v>
      </c>
      <c r="H98" s="25"/>
      <c r="I98" s="26">
        <v>243600</v>
      </c>
      <c r="J98" t="s">
        <v>70</v>
      </c>
      <c r="K98" t="s">
        <v>409</v>
      </c>
    </row>
    <row r="99" spans="1:11" x14ac:dyDescent="0.25">
      <c r="A99" s="27">
        <v>46099</v>
      </c>
      <c r="B99" s="23" t="s">
        <v>153</v>
      </c>
      <c r="C99" s="24" t="s">
        <v>340</v>
      </c>
      <c r="D99" s="24" t="s">
        <v>148</v>
      </c>
      <c r="E99" s="23" t="s">
        <v>148</v>
      </c>
      <c r="F99" s="28" t="s">
        <v>412</v>
      </c>
      <c r="G99" s="29" t="s">
        <v>341</v>
      </c>
      <c r="H99" s="25"/>
      <c r="I99" s="26">
        <v>917770</v>
      </c>
      <c r="J99" t="s">
        <v>340</v>
      </c>
      <c r="K99" t="s">
        <v>54</v>
      </c>
    </row>
    <row r="100" spans="1:11" x14ac:dyDescent="0.25">
      <c r="A100" s="27">
        <v>46099</v>
      </c>
      <c r="B100" s="23" t="s">
        <v>153</v>
      </c>
      <c r="C100" s="24" t="s">
        <v>342</v>
      </c>
      <c r="D100" s="24" t="s">
        <v>148</v>
      </c>
      <c r="E100" s="23" t="s">
        <v>148</v>
      </c>
      <c r="F100" s="28" t="s">
        <v>412</v>
      </c>
      <c r="G100" s="29" t="s">
        <v>343</v>
      </c>
      <c r="H100" s="25"/>
      <c r="I100" s="26">
        <v>1193964.3999999999</v>
      </c>
      <c r="J100" t="s">
        <v>342</v>
      </c>
      <c r="K100" t="s">
        <v>54</v>
      </c>
    </row>
    <row r="101" spans="1:11" x14ac:dyDescent="0.25">
      <c r="A101" s="27">
        <v>46099</v>
      </c>
      <c r="B101" s="23" t="s">
        <v>153</v>
      </c>
      <c r="C101" s="24" t="s">
        <v>73</v>
      </c>
      <c r="D101" s="24" t="s">
        <v>148</v>
      </c>
      <c r="E101" s="23" t="s">
        <v>148</v>
      </c>
      <c r="F101" s="28" t="s">
        <v>227</v>
      </c>
      <c r="G101" s="29" t="s">
        <v>344</v>
      </c>
      <c r="H101" s="25"/>
      <c r="I101" s="26">
        <v>700000</v>
      </c>
      <c r="J101" t="s">
        <v>73</v>
      </c>
      <c r="K101" t="s">
        <v>65</v>
      </c>
    </row>
    <row r="102" spans="1:11" x14ac:dyDescent="0.25">
      <c r="A102" s="27">
        <v>46099</v>
      </c>
      <c r="B102" s="23" t="s">
        <v>153</v>
      </c>
      <c r="C102" s="24" t="s">
        <v>345</v>
      </c>
      <c r="D102" s="24" t="s">
        <v>148</v>
      </c>
      <c r="E102" s="23" t="s">
        <v>148</v>
      </c>
      <c r="F102" s="28" t="s">
        <v>155</v>
      </c>
      <c r="G102" s="29" t="s">
        <v>346</v>
      </c>
      <c r="H102" s="25"/>
      <c r="I102" s="26">
        <v>11700</v>
      </c>
      <c r="J102" t="s">
        <v>345</v>
      </c>
      <c r="K102" t="s">
        <v>42</v>
      </c>
    </row>
    <row r="103" spans="1:11" x14ac:dyDescent="0.25">
      <c r="A103" s="27">
        <v>46099</v>
      </c>
      <c r="B103" s="23" t="s">
        <v>153</v>
      </c>
      <c r="C103" s="24" t="s">
        <v>347</v>
      </c>
      <c r="D103" s="24" t="s">
        <v>148</v>
      </c>
      <c r="E103" s="23" t="s">
        <v>148</v>
      </c>
      <c r="F103" s="28" t="s">
        <v>155</v>
      </c>
      <c r="G103" s="29" t="s">
        <v>348</v>
      </c>
      <c r="H103" s="25"/>
      <c r="I103" s="26">
        <v>22973</v>
      </c>
      <c r="J103" t="s">
        <v>347</v>
      </c>
      <c r="K103" t="s">
        <v>42</v>
      </c>
    </row>
    <row r="104" spans="1:11" x14ac:dyDescent="0.25">
      <c r="A104" s="27">
        <v>46099</v>
      </c>
      <c r="B104" s="23" t="s">
        <v>153</v>
      </c>
      <c r="C104" s="24" t="s">
        <v>349</v>
      </c>
      <c r="D104" s="24" t="s">
        <v>148</v>
      </c>
      <c r="E104" s="23" t="s">
        <v>148</v>
      </c>
      <c r="F104" s="28" t="s">
        <v>164</v>
      </c>
      <c r="G104" s="29" t="s">
        <v>350</v>
      </c>
      <c r="H104" s="25"/>
      <c r="I104" s="26">
        <v>537530</v>
      </c>
      <c r="J104" t="s">
        <v>349</v>
      </c>
      <c r="K104" t="s">
        <v>135</v>
      </c>
    </row>
    <row r="105" spans="1:11" x14ac:dyDescent="0.25">
      <c r="A105" s="27">
        <v>46099</v>
      </c>
      <c r="B105" s="23" t="s">
        <v>153</v>
      </c>
      <c r="C105" s="24" t="s">
        <v>90</v>
      </c>
      <c r="D105" s="24" t="s">
        <v>148</v>
      </c>
      <c r="E105" s="23" t="s">
        <v>148</v>
      </c>
      <c r="F105" s="28" t="s">
        <v>168</v>
      </c>
      <c r="G105" s="29" t="s">
        <v>351</v>
      </c>
      <c r="H105" s="25"/>
      <c r="I105" s="26">
        <v>500000</v>
      </c>
      <c r="J105" t="s">
        <v>90</v>
      </c>
      <c r="K105" t="s">
        <v>53</v>
      </c>
    </row>
    <row r="106" spans="1:11" x14ac:dyDescent="0.25">
      <c r="A106" s="27">
        <v>46099</v>
      </c>
      <c r="B106" s="23" t="s">
        <v>153</v>
      </c>
      <c r="C106" s="24" t="s">
        <v>74</v>
      </c>
      <c r="D106" s="24" t="s">
        <v>148</v>
      </c>
      <c r="E106" s="23" t="s">
        <v>148</v>
      </c>
      <c r="F106" s="28" t="s">
        <v>412</v>
      </c>
      <c r="G106" s="29" t="s">
        <v>352</v>
      </c>
      <c r="H106" s="25"/>
      <c r="I106" s="26">
        <v>357387.06</v>
      </c>
      <c r="J106" t="s">
        <v>74</v>
      </c>
      <c r="K106" t="s">
        <v>54</v>
      </c>
    </row>
    <row r="107" spans="1:11" x14ac:dyDescent="0.25">
      <c r="A107" s="27">
        <v>46099</v>
      </c>
      <c r="B107" s="23" t="s">
        <v>153</v>
      </c>
      <c r="C107" s="24" t="s">
        <v>353</v>
      </c>
      <c r="D107" s="24" t="s">
        <v>148</v>
      </c>
      <c r="E107" s="23" t="s">
        <v>148</v>
      </c>
      <c r="F107" s="28" t="s">
        <v>171</v>
      </c>
      <c r="G107" s="29" t="s">
        <v>354</v>
      </c>
      <c r="H107" s="25"/>
      <c r="I107" s="26">
        <v>339570</v>
      </c>
      <c r="J107" t="s">
        <v>353</v>
      </c>
      <c r="K107" t="s">
        <v>46</v>
      </c>
    </row>
    <row r="108" spans="1:11" x14ac:dyDescent="0.25">
      <c r="A108" s="27">
        <v>46099</v>
      </c>
      <c r="B108" s="23" t="s">
        <v>153</v>
      </c>
      <c r="C108" s="24" t="s">
        <v>355</v>
      </c>
      <c r="D108" s="24" t="s">
        <v>148</v>
      </c>
      <c r="E108" s="23" t="s">
        <v>148</v>
      </c>
      <c r="F108" s="28" t="s">
        <v>168</v>
      </c>
      <c r="G108" s="29" t="s">
        <v>356</v>
      </c>
      <c r="H108" s="25"/>
      <c r="I108" s="26">
        <v>319480</v>
      </c>
      <c r="J108" t="s">
        <v>355</v>
      </c>
      <c r="K108" t="s">
        <v>53</v>
      </c>
    </row>
    <row r="109" spans="1:11" x14ac:dyDescent="0.25">
      <c r="A109" s="27">
        <v>46099</v>
      </c>
      <c r="B109" s="23" t="s">
        <v>153</v>
      </c>
      <c r="C109" s="24" t="s">
        <v>357</v>
      </c>
      <c r="D109" s="24" t="s">
        <v>148</v>
      </c>
      <c r="E109" s="23" t="s">
        <v>148</v>
      </c>
      <c r="F109" s="28" t="s">
        <v>159</v>
      </c>
      <c r="G109" s="29" t="s">
        <v>358</v>
      </c>
      <c r="H109" s="25"/>
      <c r="I109" s="26">
        <v>349401.52</v>
      </c>
      <c r="J109" t="s">
        <v>357</v>
      </c>
      <c r="K109" t="s">
        <v>50</v>
      </c>
    </row>
    <row r="110" spans="1:11" x14ac:dyDescent="0.25">
      <c r="A110" s="27">
        <v>46099</v>
      </c>
      <c r="B110" s="23" t="s">
        <v>153</v>
      </c>
      <c r="C110" s="24" t="s">
        <v>359</v>
      </c>
      <c r="D110" s="24" t="s">
        <v>148</v>
      </c>
      <c r="E110" s="23" t="s">
        <v>148</v>
      </c>
      <c r="F110" s="28" t="s">
        <v>159</v>
      </c>
      <c r="G110" s="29" t="s">
        <v>360</v>
      </c>
      <c r="H110" s="25"/>
      <c r="I110" s="26">
        <v>199684.25</v>
      </c>
      <c r="J110" t="s">
        <v>359</v>
      </c>
      <c r="K110" t="s">
        <v>50</v>
      </c>
    </row>
    <row r="111" spans="1:11" x14ac:dyDescent="0.25">
      <c r="A111" s="27">
        <v>46099</v>
      </c>
      <c r="B111" s="23" t="s">
        <v>153</v>
      </c>
      <c r="C111" s="24" t="s">
        <v>361</v>
      </c>
      <c r="D111" s="24" t="s">
        <v>148</v>
      </c>
      <c r="E111" s="23" t="s">
        <v>148</v>
      </c>
      <c r="F111" s="28" t="s">
        <v>171</v>
      </c>
      <c r="G111" s="29" t="s">
        <v>362</v>
      </c>
      <c r="H111" s="25"/>
      <c r="I111" s="26">
        <v>125517.81</v>
      </c>
      <c r="J111" t="s">
        <v>361</v>
      </c>
      <c r="K111" t="s">
        <v>46</v>
      </c>
    </row>
    <row r="112" spans="1:11" x14ac:dyDescent="0.25">
      <c r="A112" s="27">
        <v>46099</v>
      </c>
      <c r="B112" s="23" t="s">
        <v>153</v>
      </c>
      <c r="C112" s="24" t="s">
        <v>64</v>
      </c>
      <c r="D112" s="24" t="s">
        <v>148</v>
      </c>
      <c r="E112" s="23" t="s">
        <v>148</v>
      </c>
      <c r="F112" s="28" t="s">
        <v>227</v>
      </c>
      <c r="G112" s="29" t="s">
        <v>363</v>
      </c>
      <c r="H112" s="25"/>
      <c r="I112" s="26">
        <v>400000</v>
      </c>
      <c r="J112" t="s">
        <v>64</v>
      </c>
      <c r="K112" t="s">
        <v>65</v>
      </c>
    </row>
    <row r="113" spans="1:11" x14ac:dyDescent="0.25">
      <c r="A113" s="27">
        <v>46099</v>
      </c>
      <c r="B113" s="23" t="s">
        <v>153</v>
      </c>
      <c r="C113" s="24" t="s">
        <v>94</v>
      </c>
      <c r="D113" s="24" t="s">
        <v>148</v>
      </c>
      <c r="E113" s="23" t="s">
        <v>148</v>
      </c>
      <c r="F113" s="28" t="s">
        <v>159</v>
      </c>
      <c r="G113" s="29" t="s">
        <v>364</v>
      </c>
      <c r="H113" s="25"/>
      <c r="I113" s="26">
        <v>18813.43</v>
      </c>
      <c r="J113" t="s">
        <v>94</v>
      </c>
      <c r="K113" t="s">
        <v>50</v>
      </c>
    </row>
    <row r="114" spans="1:11" x14ac:dyDescent="0.25">
      <c r="A114" s="27">
        <v>46100</v>
      </c>
      <c r="B114" s="23" t="s">
        <v>153</v>
      </c>
      <c r="C114" s="24" t="s">
        <v>369</v>
      </c>
      <c r="D114" s="24" t="s">
        <v>148</v>
      </c>
      <c r="E114" s="23" t="s">
        <v>148</v>
      </c>
      <c r="F114" s="28" t="s">
        <v>155</v>
      </c>
      <c r="G114" s="29" t="s">
        <v>370</v>
      </c>
      <c r="H114" s="25"/>
      <c r="I114" s="26">
        <v>305835</v>
      </c>
      <c r="J114" t="s">
        <v>369</v>
      </c>
      <c r="K114" t="s">
        <v>42</v>
      </c>
    </row>
    <row r="115" spans="1:11" x14ac:dyDescent="0.25">
      <c r="A115" s="27">
        <v>46100</v>
      </c>
      <c r="B115" s="23" t="s">
        <v>153</v>
      </c>
      <c r="C115" s="24" t="s">
        <v>92</v>
      </c>
      <c r="D115" s="24" t="s">
        <v>148</v>
      </c>
      <c r="E115" s="23" t="s">
        <v>148</v>
      </c>
      <c r="F115" s="28" t="s">
        <v>155</v>
      </c>
      <c r="G115" s="29" t="s">
        <v>371</v>
      </c>
      <c r="H115" s="25"/>
      <c r="I115" s="26">
        <v>134568</v>
      </c>
      <c r="J115" t="s">
        <v>92</v>
      </c>
      <c r="K115" t="s">
        <v>42</v>
      </c>
    </row>
    <row r="116" spans="1:11" x14ac:dyDescent="0.25">
      <c r="A116" s="27">
        <v>46100</v>
      </c>
      <c r="B116" s="23" t="s">
        <v>153</v>
      </c>
      <c r="C116" s="24" t="s">
        <v>91</v>
      </c>
      <c r="D116" s="24" t="s">
        <v>148</v>
      </c>
      <c r="E116" s="23" t="s">
        <v>148</v>
      </c>
      <c r="F116" s="28" t="s">
        <v>155</v>
      </c>
      <c r="G116" s="29" t="s">
        <v>372</v>
      </c>
      <c r="H116" s="25"/>
      <c r="I116" s="26">
        <v>179688</v>
      </c>
      <c r="J116" t="s">
        <v>91</v>
      </c>
      <c r="K116" t="s">
        <v>42</v>
      </c>
    </row>
    <row r="117" spans="1:11" x14ac:dyDescent="0.25">
      <c r="A117" s="27">
        <v>46100</v>
      </c>
      <c r="B117" s="23" t="s">
        <v>153</v>
      </c>
      <c r="C117" s="24" t="s">
        <v>373</v>
      </c>
      <c r="D117" s="24" t="s">
        <v>148</v>
      </c>
      <c r="E117" s="23" t="s">
        <v>148</v>
      </c>
      <c r="F117" s="28" t="s">
        <v>155</v>
      </c>
      <c r="G117" s="29" t="s">
        <v>374</v>
      </c>
      <c r="H117" s="25"/>
      <c r="I117" s="26">
        <v>155258.44</v>
      </c>
      <c r="J117" t="s">
        <v>373</v>
      </c>
      <c r="K117" t="s">
        <v>42</v>
      </c>
    </row>
    <row r="118" spans="1:11" x14ac:dyDescent="0.25">
      <c r="A118" s="27">
        <v>46100</v>
      </c>
      <c r="B118" s="23" t="s">
        <v>153</v>
      </c>
      <c r="C118" s="24" t="s">
        <v>71</v>
      </c>
      <c r="D118" s="24" t="s">
        <v>148</v>
      </c>
      <c r="E118" s="23" t="s">
        <v>148</v>
      </c>
      <c r="F118" s="28" t="s">
        <v>171</v>
      </c>
      <c r="G118" s="29" t="s">
        <v>375</v>
      </c>
      <c r="H118" s="25"/>
      <c r="I118" s="26">
        <v>128960</v>
      </c>
      <c r="J118" t="s">
        <v>71</v>
      </c>
      <c r="K118" t="s">
        <v>46</v>
      </c>
    </row>
    <row r="119" spans="1:11" x14ac:dyDescent="0.25">
      <c r="A119" s="27">
        <v>46100</v>
      </c>
      <c r="B119" s="23" t="s">
        <v>153</v>
      </c>
      <c r="C119" s="24" t="s">
        <v>140</v>
      </c>
      <c r="D119" s="24" t="s">
        <v>148</v>
      </c>
      <c r="E119" s="23" t="s">
        <v>148</v>
      </c>
      <c r="F119" s="28" t="s">
        <v>161</v>
      </c>
      <c r="G119" s="29" t="s">
        <v>376</v>
      </c>
      <c r="H119" s="25"/>
      <c r="I119" s="26">
        <v>502196.64</v>
      </c>
      <c r="J119" t="s">
        <v>140</v>
      </c>
      <c r="K119" t="s">
        <v>96</v>
      </c>
    </row>
    <row r="120" spans="1:11" x14ac:dyDescent="0.25">
      <c r="A120" s="27">
        <v>46100</v>
      </c>
      <c r="B120" s="23" t="s">
        <v>153</v>
      </c>
      <c r="C120" s="24" t="s">
        <v>85</v>
      </c>
      <c r="D120" s="24" t="s">
        <v>148</v>
      </c>
      <c r="E120" s="23" t="s">
        <v>148</v>
      </c>
      <c r="F120" s="28" t="s">
        <v>161</v>
      </c>
      <c r="G120" s="29" t="s">
        <v>377</v>
      </c>
      <c r="H120" s="25"/>
      <c r="I120" s="26">
        <v>372385.12</v>
      </c>
      <c r="J120" t="s">
        <v>85</v>
      </c>
      <c r="K120" t="s">
        <v>96</v>
      </c>
    </row>
    <row r="121" spans="1:11" x14ac:dyDescent="0.25">
      <c r="A121" s="27">
        <v>46100</v>
      </c>
      <c r="B121" s="23" t="s">
        <v>153</v>
      </c>
      <c r="C121" s="24" t="s">
        <v>49</v>
      </c>
      <c r="D121" s="24" t="s">
        <v>148</v>
      </c>
      <c r="E121" s="23" t="s">
        <v>148</v>
      </c>
      <c r="F121" s="28" t="s">
        <v>192</v>
      </c>
      <c r="G121" s="29" t="s">
        <v>378</v>
      </c>
      <c r="H121" s="25"/>
      <c r="I121" s="26">
        <v>15914.04</v>
      </c>
      <c r="J121" t="s">
        <v>49</v>
      </c>
      <c r="K121" t="s">
        <v>1</v>
      </c>
    </row>
    <row r="122" spans="1:11" x14ac:dyDescent="0.25">
      <c r="A122" s="27">
        <v>46100</v>
      </c>
      <c r="B122" s="23" t="s">
        <v>153</v>
      </c>
      <c r="C122" s="24" t="s">
        <v>41</v>
      </c>
      <c r="D122" s="24" t="s">
        <v>148</v>
      </c>
      <c r="E122" s="23" t="s">
        <v>148</v>
      </c>
      <c r="F122" s="28" t="s">
        <v>155</v>
      </c>
      <c r="G122" s="29" t="s">
        <v>379</v>
      </c>
      <c r="H122" s="25"/>
      <c r="I122" s="26">
        <v>800000</v>
      </c>
      <c r="J122" t="s">
        <v>41</v>
      </c>
      <c r="K122" t="s">
        <v>42</v>
      </c>
    </row>
    <row r="123" spans="1:11" x14ac:dyDescent="0.25">
      <c r="A123" s="27">
        <v>46101</v>
      </c>
      <c r="B123" s="23" t="s">
        <v>153</v>
      </c>
      <c r="C123" s="24" t="s">
        <v>67</v>
      </c>
      <c r="D123" s="24" t="s">
        <v>148</v>
      </c>
      <c r="E123" s="23" t="s">
        <v>148</v>
      </c>
      <c r="F123" s="28" t="s">
        <v>235</v>
      </c>
      <c r="G123" s="29" t="s">
        <v>380</v>
      </c>
      <c r="H123" s="25"/>
      <c r="I123" s="26">
        <v>463119.59</v>
      </c>
      <c r="J123" t="s">
        <v>67</v>
      </c>
      <c r="K123" t="s">
        <v>47</v>
      </c>
    </row>
    <row r="124" spans="1:11" x14ac:dyDescent="0.25">
      <c r="A124" s="27">
        <v>46101</v>
      </c>
      <c r="B124" s="23" t="s">
        <v>153</v>
      </c>
      <c r="C124" s="24" t="s">
        <v>68</v>
      </c>
      <c r="D124" s="24" t="s">
        <v>148</v>
      </c>
      <c r="E124" s="23" t="s">
        <v>148</v>
      </c>
      <c r="F124" s="28" t="s">
        <v>235</v>
      </c>
      <c r="G124" s="29" t="s">
        <v>381</v>
      </c>
      <c r="H124" s="25"/>
      <c r="I124" s="26">
        <v>202713.74</v>
      </c>
      <c r="J124" t="s">
        <v>68</v>
      </c>
      <c r="K124" t="s">
        <v>47</v>
      </c>
    </row>
    <row r="125" spans="1:11" x14ac:dyDescent="0.25">
      <c r="A125" s="27">
        <v>46101</v>
      </c>
      <c r="B125" s="23" t="s">
        <v>153</v>
      </c>
      <c r="C125" s="24" t="s">
        <v>146</v>
      </c>
      <c r="D125" s="24" t="s">
        <v>148</v>
      </c>
      <c r="E125" s="23" t="s">
        <v>148</v>
      </c>
      <c r="F125" s="28" t="s">
        <v>235</v>
      </c>
      <c r="G125" s="29" t="s">
        <v>382</v>
      </c>
      <c r="H125" s="25"/>
      <c r="I125" s="26">
        <v>19604</v>
      </c>
      <c r="J125" t="s">
        <v>146</v>
      </c>
      <c r="K125" t="s">
        <v>47</v>
      </c>
    </row>
    <row r="126" spans="1:11" x14ac:dyDescent="0.25">
      <c r="A126" s="27">
        <v>46101</v>
      </c>
      <c r="B126" s="23" t="s">
        <v>153</v>
      </c>
      <c r="C126" s="24" t="s">
        <v>45</v>
      </c>
      <c r="D126" s="24" t="s">
        <v>148</v>
      </c>
      <c r="E126" s="23" t="s">
        <v>148</v>
      </c>
      <c r="F126" s="28" t="s">
        <v>235</v>
      </c>
      <c r="G126" s="29" t="s">
        <v>383</v>
      </c>
      <c r="H126" s="25"/>
      <c r="I126" s="26">
        <v>49949</v>
      </c>
      <c r="J126" t="s">
        <v>45</v>
      </c>
      <c r="K126" t="s">
        <v>47</v>
      </c>
    </row>
    <row r="127" spans="1:11" x14ac:dyDescent="0.25">
      <c r="A127" s="27">
        <v>46101</v>
      </c>
      <c r="B127" s="23" t="s">
        <v>153</v>
      </c>
      <c r="C127" s="24" t="s">
        <v>81</v>
      </c>
      <c r="D127" s="24" t="s">
        <v>148</v>
      </c>
      <c r="E127" s="23" t="s">
        <v>148</v>
      </c>
      <c r="F127" s="28" t="s">
        <v>412</v>
      </c>
      <c r="G127" s="29" t="s">
        <v>384</v>
      </c>
      <c r="H127" s="25"/>
      <c r="I127" s="26">
        <v>304976</v>
      </c>
      <c r="J127" t="s">
        <v>81</v>
      </c>
      <c r="K127" t="s">
        <v>54</v>
      </c>
    </row>
    <row r="128" spans="1:11" x14ac:dyDescent="0.25">
      <c r="A128" s="27">
        <v>46101</v>
      </c>
      <c r="B128" s="23" t="s">
        <v>153</v>
      </c>
      <c r="C128" s="24" t="s">
        <v>84</v>
      </c>
      <c r="D128" s="24" t="s">
        <v>148</v>
      </c>
      <c r="E128" s="23" t="s">
        <v>148</v>
      </c>
      <c r="F128" s="28" t="s">
        <v>412</v>
      </c>
      <c r="G128" s="29" t="s">
        <v>385</v>
      </c>
      <c r="H128" s="25"/>
      <c r="I128" s="26">
        <v>456007.8</v>
      </c>
      <c r="J128" t="s">
        <v>84</v>
      </c>
      <c r="K128" t="s">
        <v>54</v>
      </c>
    </row>
    <row r="129" spans="1:11" x14ac:dyDescent="0.25">
      <c r="A129" s="27">
        <v>46101</v>
      </c>
      <c r="B129" s="23" t="s">
        <v>153</v>
      </c>
      <c r="C129" s="24" t="s">
        <v>63</v>
      </c>
      <c r="D129" s="24" t="s">
        <v>148</v>
      </c>
      <c r="E129" s="23" t="s">
        <v>148</v>
      </c>
      <c r="F129" s="28" t="s">
        <v>412</v>
      </c>
      <c r="G129" s="29" t="s">
        <v>386</v>
      </c>
      <c r="H129" s="25"/>
      <c r="I129" s="26">
        <v>944780</v>
      </c>
      <c r="J129" t="s">
        <v>63</v>
      </c>
      <c r="K129" t="s">
        <v>54</v>
      </c>
    </row>
    <row r="130" spans="1:11" x14ac:dyDescent="0.25">
      <c r="A130" s="27">
        <v>46101</v>
      </c>
      <c r="B130" s="23" t="s">
        <v>153</v>
      </c>
      <c r="C130" s="24" t="s">
        <v>387</v>
      </c>
      <c r="D130" s="24" t="s">
        <v>148</v>
      </c>
      <c r="E130" s="23" t="s">
        <v>148</v>
      </c>
      <c r="F130" s="28" t="s">
        <v>168</v>
      </c>
      <c r="G130" s="29" t="s">
        <v>388</v>
      </c>
      <c r="H130" s="25"/>
      <c r="I130" s="26">
        <v>67500</v>
      </c>
      <c r="J130" t="s">
        <v>387</v>
      </c>
      <c r="K130" t="s">
        <v>53</v>
      </c>
    </row>
    <row r="131" spans="1:11" x14ac:dyDescent="0.25">
      <c r="A131" s="27">
        <v>46101</v>
      </c>
      <c r="B131" s="23" t="s">
        <v>153</v>
      </c>
      <c r="C131" s="24" t="s">
        <v>389</v>
      </c>
      <c r="D131" s="24" t="s">
        <v>148</v>
      </c>
      <c r="E131" s="23" t="s">
        <v>148</v>
      </c>
      <c r="F131" s="28" t="s">
        <v>168</v>
      </c>
      <c r="G131" s="29" t="s">
        <v>390</v>
      </c>
      <c r="H131" s="25"/>
      <c r="I131" s="26">
        <v>53957</v>
      </c>
      <c r="J131" t="s">
        <v>389</v>
      </c>
      <c r="K131" t="s">
        <v>53</v>
      </c>
    </row>
    <row r="132" spans="1:11" x14ac:dyDescent="0.25">
      <c r="A132" s="27">
        <v>46101</v>
      </c>
      <c r="B132" s="23" t="s">
        <v>153</v>
      </c>
      <c r="C132" s="24" t="s">
        <v>237</v>
      </c>
      <c r="D132" s="24" t="s">
        <v>148</v>
      </c>
      <c r="E132" s="23" t="s">
        <v>148</v>
      </c>
      <c r="F132" s="28" t="s">
        <v>159</v>
      </c>
      <c r="G132" s="29" t="s">
        <v>391</v>
      </c>
      <c r="H132" s="25"/>
      <c r="I132" s="26">
        <v>184501.29</v>
      </c>
      <c r="J132" t="s">
        <v>237</v>
      </c>
      <c r="K132" t="s">
        <v>50</v>
      </c>
    </row>
    <row r="133" spans="1:11" x14ac:dyDescent="0.25">
      <c r="A133" s="27">
        <v>46101</v>
      </c>
      <c r="B133" s="23" t="s">
        <v>153</v>
      </c>
      <c r="C133" s="24" t="s">
        <v>392</v>
      </c>
      <c r="D133" s="24" t="s">
        <v>148</v>
      </c>
      <c r="E133" s="23" t="s">
        <v>148</v>
      </c>
      <c r="F133" s="28" t="s">
        <v>159</v>
      </c>
      <c r="G133" s="29" t="s">
        <v>393</v>
      </c>
      <c r="H133" s="25"/>
      <c r="I133" s="26">
        <v>93701.48</v>
      </c>
      <c r="J133" t="s">
        <v>392</v>
      </c>
      <c r="K133" t="s">
        <v>50</v>
      </c>
    </row>
    <row r="134" spans="1:11" x14ac:dyDescent="0.25">
      <c r="A134" s="27">
        <v>46101</v>
      </c>
      <c r="B134" s="23" t="s">
        <v>153</v>
      </c>
      <c r="C134" s="24" t="s">
        <v>394</v>
      </c>
      <c r="D134" s="24" t="s">
        <v>148</v>
      </c>
      <c r="E134" s="23" t="s">
        <v>148</v>
      </c>
      <c r="F134" s="28" t="s">
        <v>159</v>
      </c>
      <c r="G134" s="29" t="s">
        <v>395</v>
      </c>
      <c r="H134" s="25"/>
      <c r="I134" s="26">
        <v>212400</v>
      </c>
      <c r="J134" t="s">
        <v>394</v>
      </c>
      <c r="K134" t="s">
        <v>50</v>
      </c>
    </row>
    <row r="135" spans="1:11" x14ac:dyDescent="0.25">
      <c r="A135" s="27">
        <v>46101</v>
      </c>
      <c r="B135" s="23" t="s">
        <v>153</v>
      </c>
      <c r="C135" s="24" t="s">
        <v>74</v>
      </c>
      <c r="D135" s="24" t="s">
        <v>148</v>
      </c>
      <c r="E135" s="23" t="s">
        <v>148</v>
      </c>
      <c r="F135" s="28" t="s">
        <v>155</v>
      </c>
      <c r="G135" s="29" t="s">
        <v>396</v>
      </c>
      <c r="H135" s="25"/>
      <c r="I135" s="26">
        <v>327215</v>
      </c>
      <c r="J135" t="s">
        <v>74</v>
      </c>
      <c r="K135" t="s">
        <v>42</v>
      </c>
    </row>
    <row r="136" spans="1:11" x14ac:dyDescent="0.25">
      <c r="A136" s="27">
        <v>46101</v>
      </c>
      <c r="B136" s="23" t="s">
        <v>153</v>
      </c>
      <c r="C136" s="24" t="s">
        <v>397</v>
      </c>
      <c r="D136" s="24" t="s">
        <v>148</v>
      </c>
      <c r="E136" s="23" t="s">
        <v>148</v>
      </c>
      <c r="F136" s="28" t="s">
        <v>155</v>
      </c>
      <c r="G136" s="29" t="s">
        <v>398</v>
      </c>
      <c r="H136" s="25"/>
      <c r="I136" s="26">
        <v>325583.32</v>
      </c>
      <c r="J136" t="s">
        <v>397</v>
      </c>
      <c r="K136" t="s">
        <v>42</v>
      </c>
    </row>
    <row r="137" spans="1:11" x14ac:dyDescent="0.25">
      <c r="A137" s="27">
        <v>46101</v>
      </c>
      <c r="B137" s="23" t="s">
        <v>153</v>
      </c>
      <c r="C137" s="24" t="s">
        <v>141</v>
      </c>
      <c r="D137" s="24" t="s">
        <v>148</v>
      </c>
      <c r="E137" s="23" t="s">
        <v>148</v>
      </c>
      <c r="F137" s="28" t="s">
        <v>155</v>
      </c>
      <c r="G137" s="29" t="s">
        <v>399</v>
      </c>
      <c r="H137" s="25"/>
      <c r="I137" s="26">
        <v>364448.05</v>
      </c>
      <c r="J137" t="s">
        <v>141</v>
      </c>
      <c r="K137" t="s">
        <v>42</v>
      </c>
    </row>
    <row r="138" spans="1:11" x14ac:dyDescent="0.25">
      <c r="A138" s="27">
        <v>46101</v>
      </c>
      <c r="B138" s="23" t="s">
        <v>153</v>
      </c>
      <c r="C138" s="24" t="s">
        <v>82</v>
      </c>
      <c r="D138" s="24" t="s">
        <v>148</v>
      </c>
      <c r="E138" s="23" t="s">
        <v>148</v>
      </c>
      <c r="F138" s="28" t="s">
        <v>155</v>
      </c>
      <c r="G138" s="29" t="s">
        <v>400</v>
      </c>
      <c r="H138" s="25"/>
      <c r="I138" s="26">
        <v>200018.29</v>
      </c>
      <c r="J138" t="s">
        <v>82</v>
      </c>
      <c r="K138" t="s">
        <v>42</v>
      </c>
    </row>
    <row r="139" spans="1:11" x14ac:dyDescent="0.25">
      <c r="A139" s="27">
        <v>46101</v>
      </c>
      <c r="B139" s="23" t="s">
        <v>153</v>
      </c>
      <c r="C139" s="24" t="s">
        <v>90</v>
      </c>
      <c r="D139" s="24" t="s">
        <v>148</v>
      </c>
      <c r="E139" s="23" t="s">
        <v>148</v>
      </c>
      <c r="F139" s="28" t="s">
        <v>168</v>
      </c>
      <c r="G139" s="29" t="s">
        <v>401</v>
      </c>
      <c r="H139" s="25"/>
      <c r="I139" s="26">
        <v>500050</v>
      </c>
      <c r="J139" t="s">
        <v>90</v>
      </c>
      <c r="K139" t="s">
        <v>53</v>
      </c>
    </row>
    <row r="140" spans="1:11" x14ac:dyDescent="0.25">
      <c r="A140" s="27">
        <v>46101</v>
      </c>
      <c r="B140" s="23" t="s">
        <v>153</v>
      </c>
      <c r="C140" s="24" t="s">
        <v>101</v>
      </c>
      <c r="D140" s="24" t="s">
        <v>148</v>
      </c>
      <c r="E140" s="23" t="s">
        <v>148</v>
      </c>
      <c r="F140" s="28" t="s">
        <v>205</v>
      </c>
      <c r="G140" s="29" t="s">
        <v>402</v>
      </c>
      <c r="H140" s="25"/>
      <c r="I140" s="26">
        <v>300000</v>
      </c>
      <c r="J140" t="s">
        <v>101</v>
      </c>
      <c r="K140" t="s">
        <v>409</v>
      </c>
    </row>
    <row r="141" spans="1:11" x14ac:dyDescent="0.25">
      <c r="A141" s="27">
        <v>46101</v>
      </c>
      <c r="B141" s="23" t="s">
        <v>153</v>
      </c>
      <c r="C141" s="24" t="s">
        <v>66</v>
      </c>
      <c r="D141" s="24" t="s">
        <v>148</v>
      </c>
      <c r="E141" s="23" t="s">
        <v>148</v>
      </c>
      <c r="F141" s="28" t="s">
        <v>227</v>
      </c>
      <c r="G141" s="29" t="s">
        <v>403</v>
      </c>
      <c r="H141" s="25"/>
      <c r="I141" s="26">
        <v>100000</v>
      </c>
      <c r="J141" t="s">
        <v>66</v>
      </c>
      <c r="K141" t="s">
        <v>65</v>
      </c>
    </row>
    <row r="142" spans="1:11" x14ac:dyDescent="0.25">
      <c r="A142" s="27">
        <v>46101</v>
      </c>
      <c r="B142" s="23" t="s">
        <v>153</v>
      </c>
      <c r="C142" s="24" t="s">
        <v>404</v>
      </c>
      <c r="D142" s="24" t="s">
        <v>148</v>
      </c>
      <c r="E142" s="23" t="s">
        <v>148</v>
      </c>
      <c r="F142" s="28" t="s">
        <v>173</v>
      </c>
      <c r="G142" s="29" t="s">
        <v>405</v>
      </c>
      <c r="H142" s="25"/>
      <c r="I142" s="26">
        <v>62059</v>
      </c>
      <c r="J142" t="s">
        <v>404</v>
      </c>
      <c r="K142" t="s">
        <v>3</v>
      </c>
    </row>
  </sheetData>
  <autoFilter ref="A2:I142">
    <filterColumn colId="1" showButton="0"/>
  </autoFilter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3"/>
  <sheetViews>
    <sheetView topLeftCell="A3" workbookViewId="0">
      <selection activeCell="G4" sqref="G4"/>
    </sheetView>
  </sheetViews>
  <sheetFormatPr defaultRowHeight="15" x14ac:dyDescent="0.25"/>
  <cols>
    <col min="1" max="1" width="9.28515625" bestFit="1" customWidth="1"/>
    <col min="2" max="2" width="2.85546875" bestFit="1" customWidth="1"/>
    <col min="3" max="3" width="59.7109375" bestFit="1" customWidth="1"/>
    <col min="6" max="6" width="30.7109375" bestFit="1" customWidth="1"/>
    <col min="7" max="7" width="17.28515625" bestFit="1" customWidth="1"/>
    <col min="8" max="8" width="10.7109375" bestFit="1" customWidth="1"/>
    <col min="9" max="9" width="12.5703125" bestFit="1" customWidth="1"/>
  </cols>
  <sheetData>
    <row r="2" spans="1:9" x14ac:dyDescent="0.25">
      <c r="A2" s="18" t="s">
        <v>21</v>
      </c>
      <c r="B2" s="115" t="s">
        <v>22</v>
      </c>
      <c r="C2" s="115"/>
      <c r="D2" s="19" t="s">
        <v>148</v>
      </c>
      <c r="E2" s="20" t="s">
        <v>148</v>
      </c>
      <c r="F2" s="20" t="s">
        <v>149</v>
      </c>
      <c r="G2" s="18" t="s">
        <v>150</v>
      </c>
      <c r="H2" s="21" t="s">
        <v>151</v>
      </c>
      <c r="I2" s="21" t="s">
        <v>152</v>
      </c>
    </row>
    <row r="3" spans="1:9" x14ac:dyDescent="0.25">
      <c r="A3" s="22">
        <v>46093</v>
      </c>
      <c r="B3" s="23" t="s">
        <v>153</v>
      </c>
      <c r="C3" s="120" t="s">
        <v>154</v>
      </c>
      <c r="D3" s="120"/>
      <c r="E3" s="120"/>
      <c r="F3" s="24" t="s">
        <v>148</v>
      </c>
      <c r="G3" s="23" t="s">
        <v>148</v>
      </c>
      <c r="H3" s="25"/>
      <c r="I3" s="26">
        <v>125513206.19</v>
      </c>
    </row>
    <row r="4" spans="1:9" x14ac:dyDescent="0.25">
      <c r="A4" s="27">
        <v>46093</v>
      </c>
      <c r="B4" s="23" t="s">
        <v>153</v>
      </c>
      <c r="C4" s="24" t="s">
        <v>103</v>
      </c>
      <c r="D4" s="24" t="s">
        <v>148</v>
      </c>
      <c r="E4" s="23" t="s">
        <v>148</v>
      </c>
      <c r="F4" s="28" t="s">
        <v>155</v>
      </c>
      <c r="G4" s="29" t="s">
        <v>156</v>
      </c>
      <c r="H4" s="25"/>
      <c r="I4" s="26">
        <v>1482706</v>
      </c>
    </row>
    <row r="5" spans="1:9" x14ac:dyDescent="0.25">
      <c r="A5" s="27">
        <v>46093</v>
      </c>
      <c r="B5" s="23" t="s">
        <v>153</v>
      </c>
      <c r="C5" s="24" t="s">
        <v>79</v>
      </c>
      <c r="D5" s="24" t="s">
        <v>148</v>
      </c>
      <c r="E5" s="23" t="s">
        <v>148</v>
      </c>
      <c r="F5" s="28" t="s">
        <v>157</v>
      </c>
      <c r="G5" s="29" t="s">
        <v>158</v>
      </c>
      <c r="H5" s="25"/>
      <c r="I5" s="26">
        <v>484841</v>
      </c>
    </row>
    <row r="6" spans="1:9" x14ac:dyDescent="0.25">
      <c r="A6" s="27">
        <v>46093</v>
      </c>
      <c r="B6" s="23" t="s">
        <v>153</v>
      </c>
      <c r="C6" s="24" t="s">
        <v>104</v>
      </c>
      <c r="D6" s="24" t="s">
        <v>148</v>
      </c>
      <c r="E6" s="23" t="s">
        <v>148</v>
      </c>
      <c r="F6" s="28" t="s">
        <v>159</v>
      </c>
      <c r="G6" s="29" t="s">
        <v>160</v>
      </c>
      <c r="H6" s="25"/>
      <c r="I6" s="26">
        <v>584090</v>
      </c>
    </row>
    <row r="7" spans="1:9" x14ac:dyDescent="0.25">
      <c r="A7" s="27">
        <v>46093</v>
      </c>
      <c r="B7" s="23" t="s">
        <v>153</v>
      </c>
      <c r="C7" s="24" t="s">
        <v>43</v>
      </c>
      <c r="D7" s="24" t="s">
        <v>148</v>
      </c>
      <c r="E7" s="23" t="s">
        <v>148</v>
      </c>
      <c r="F7" s="28" t="s">
        <v>161</v>
      </c>
      <c r="G7" s="29" t="s">
        <v>162</v>
      </c>
      <c r="H7" s="25"/>
      <c r="I7" s="26">
        <v>1255400.3799999999</v>
      </c>
    </row>
    <row r="8" spans="1:9" x14ac:dyDescent="0.25">
      <c r="A8" s="27">
        <v>46093</v>
      </c>
      <c r="B8" s="23" t="s">
        <v>153</v>
      </c>
      <c r="C8" s="24" t="s">
        <v>63</v>
      </c>
      <c r="D8" s="24" t="s">
        <v>148</v>
      </c>
      <c r="E8" s="23" t="s">
        <v>148</v>
      </c>
      <c r="F8" s="28" t="s">
        <v>157</v>
      </c>
      <c r="G8" s="29" t="s">
        <v>163</v>
      </c>
      <c r="H8" s="25"/>
      <c r="I8" s="26">
        <v>788149</v>
      </c>
    </row>
    <row r="9" spans="1:9" x14ac:dyDescent="0.25">
      <c r="A9" s="27">
        <v>46093</v>
      </c>
      <c r="B9" s="23" t="s">
        <v>153</v>
      </c>
      <c r="C9" s="24" t="s">
        <v>105</v>
      </c>
      <c r="D9" s="24" t="s">
        <v>148</v>
      </c>
      <c r="E9" s="23" t="s">
        <v>148</v>
      </c>
      <c r="F9" s="28" t="s">
        <v>164</v>
      </c>
      <c r="G9" s="29" t="s">
        <v>165</v>
      </c>
      <c r="H9" s="25"/>
      <c r="I9" s="26">
        <v>2876.8</v>
      </c>
    </row>
    <row r="10" spans="1:9" x14ac:dyDescent="0.25">
      <c r="A10" s="27">
        <v>46093</v>
      </c>
      <c r="B10" s="23" t="s">
        <v>153</v>
      </c>
      <c r="C10" s="24" t="s">
        <v>106</v>
      </c>
      <c r="D10" s="24" t="s">
        <v>148</v>
      </c>
      <c r="E10" s="23" t="s">
        <v>148</v>
      </c>
      <c r="F10" s="28" t="s">
        <v>159</v>
      </c>
      <c r="G10" s="29" t="s">
        <v>166</v>
      </c>
      <c r="H10" s="25"/>
      <c r="I10" s="26">
        <v>3000</v>
      </c>
    </row>
    <row r="11" spans="1:9" x14ac:dyDescent="0.25">
      <c r="A11" s="27">
        <v>46093</v>
      </c>
      <c r="B11" s="23" t="s">
        <v>153</v>
      </c>
      <c r="C11" s="24" t="s">
        <v>107</v>
      </c>
      <c r="D11" s="24" t="s">
        <v>148</v>
      </c>
      <c r="E11" s="23" t="s">
        <v>148</v>
      </c>
      <c r="F11" s="28" t="s">
        <v>159</v>
      </c>
      <c r="G11" s="29" t="s">
        <v>167</v>
      </c>
      <c r="H11" s="25"/>
      <c r="I11" s="26">
        <v>3480</v>
      </c>
    </row>
    <row r="12" spans="1:9" x14ac:dyDescent="0.25">
      <c r="A12" s="27">
        <v>46093</v>
      </c>
      <c r="B12" s="23" t="s">
        <v>153</v>
      </c>
      <c r="C12" s="24" t="s">
        <v>108</v>
      </c>
      <c r="D12" s="24" t="s">
        <v>148</v>
      </c>
      <c r="E12" s="23" t="s">
        <v>148</v>
      </c>
      <c r="F12" s="28" t="s">
        <v>168</v>
      </c>
      <c r="G12" s="29" t="s">
        <v>169</v>
      </c>
      <c r="H12" s="25"/>
      <c r="I12" s="26">
        <v>3840</v>
      </c>
    </row>
    <row r="13" spans="1:9" x14ac:dyDescent="0.25">
      <c r="A13" s="27">
        <v>46093</v>
      </c>
      <c r="B13" s="23" t="s">
        <v>153</v>
      </c>
      <c r="C13" s="24" t="s">
        <v>109</v>
      </c>
      <c r="D13" s="24" t="s">
        <v>148</v>
      </c>
      <c r="E13" s="23" t="s">
        <v>148</v>
      </c>
      <c r="F13" s="28" t="s">
        <v>159</v>
      </c>
      <c r="G13" s="29" t="s">
        <v>170</v>
      </c>
      <c r="H13" s="25"/>
      <c r="I13" s="26">
        <v>4112</v>
      </c>
    </row>
    <row r="14" spans="1:9" x14ac:dyDescent="0.25">
      <c r="A14" s="27">
        <v>46093</v>
      </c>
      <c r="B14" s="23" t="s">
        <v>153</v>
      </c>
      <c r="C14" s="24" t="s">
        <v>110</v>
      </c>
      <c r="D14" s="24" t="s">
        <v>148</v>
      </c>
      <c r="E14" s="23" t="s">
        <v>148</v>
      </c>
      <c r="F14" s="28" t="s">
        <v>171</v>
      </c>
      <c r="G14" s="29" t="s">
        <v>172</v>
      </c>
      <c r="H14" s="25"/>
      <c r="I14" s="26">
        <v>5310</v>
      </c>
    </row>
    <row r="15" spans="1:9" x14ac:dyDescent="0.25">
      <c r="A15" s="27">
        <v>46093</v>
      </c>
      <c r="B15" s="23" t="s">
        <v>153</v>
      </c>
      <c r="C15" s="24" t="s">
        <v>111</v>
      </c>
      <c r="D15" s="24" t="s">
        <v>148</v>
      </c>
      <c r="E15" s="23" t="s">
        <v>148</v>
      </c>
      <c r="F15" s="28" t="s">
        <v>173</v>
      </c>
      <c r="G15" s="29" t="s">
        <v>174</v>
      </c>
      <c r="H15" s="25"/>
      <c r="I15" s="26">
        <v>5664</v>
      </c>
    </row>
    <row r="16" spans="1:9" x14ac:dyDescent="0.25">
      <c r="A16" s="27">
        <v>46093</v>
      </c>
      <c r="B16" s="23" t="s">
        <v>153</v>
      </c>
      <c r="C16" s="24" t="s">
        <v>112</v>
      </c>
      <c r="D16" s="24" t="s">
        <v>148</v>
      </c>
      <c r="E16" s="23" t="s">
        <v>148</v>
      </c>
      <c r="F16" s="28" t="s">
        <v>159</v>
      </c>
      <c r="G16" s="29" t="s">
        <v>175</v>
      </c>
      <c r="H16" s="25"/>
      <c r="I16" s="26">
        <v>5800</v>
      </c>
    </row>
    <row r="17" spans="1:9" x14ac:dyDescent="0.25">
      <c r="A17" s="27">
        <v>46093</v>
      </c>
      <c r="B17" s="23" t="s">
        <v>153</v>
      </c>
      <c r="C17" s="24" t="s">
        <v>113</v>
      </c>
      <c r="D17" s="24" t="s">
        <v>148</v>
      </c>
      <c r="E17" s="23" t="s">
        <v>148</v>
      </c>
      <c r="F17" s="28" t="s">
        <v>173</v>
      </c>
      <c r="G17" s="29" t="s">
        <v>176</v>
      </c>
      <c r="H17" s="25"/>
      <c r="I17" s="26">
        <v>8756</v>
      </c>
    </row>
    <row r="18" spans="1:9" x14ac:dyDescent="0.25">
      <c r="A18" s="27">
        <v>46093</v>
      </c>
      <c r="B18" s="23" t="s">
        <v>153</v>
      </c>
      <c r="C18" s="24" t="s">
        <v>114</v>
      </c>
      <c r="D18" s="24" t="s">
        <v>148</v>
      </c>
      <c r="E18" s="23" t="s">
        <v>148</v>
      </c>
      <c r="F18" s="28" t="s">
        <v>159</v>
      </c>
      <c r="G18" s="29" t="s">
        <v>177</v>
      </c>
      <c r="H18" s="25"/>
      <c r="I18" s="26">
        <v>8918</v>
      </c>
    </row>
    <row r="19" spans="1:9" x14ac:dyDescent="0.25">
      <c r="A19" s="27">
        <v>46093</v>
      </c>
      <c r="B19" s="23" t="s">
        <v>153</v>
      </c>
      <c r="C19" s="24" t="s">
        <v>115</v>
      </c>
      <c r="D19" s="24" t="s">
        <v>148</v>
      </c>
      <c r="E19" s="23" t="s">
        <v>148</v>
      </c>
      <c r="F19" s="28" t="s">
        <v>168</v>
      </c>
      <c r="G19" s="29" t="s">
        <v>178</v>
      </c>
      <c r="H19" s="25"/>
      <c r="I19" s="26">
        <v>9044</v>
      </c>
    </row>
    <row r="20" spans="1:9" x14ac:dyDescent="0.25">
      <c r="A20" s="27">
        <v>46093</v>
      </c>
      <c r="B20" s="23" t="s">
        <v>153</v>
      </c>
      <c r="C20" s="24" t="s">
        <v>116</v>
      </c>
      <c r="D20" s="24" t="s">
        <v>148</v>
      </c>
      <c r="E20" s="23" t="s">
        <v>148</v>
      </c>
      <c r="F20" s="28" t="s">
        <v>155</v>
      </c>
      <c r="G20" s="29" t="s">
        <v>179</v>
      </c>
      <c r="H20" s="25"/>
      <c r="I20" s="26">
        <v>9221</v>
      </c>
    </row>
    <row r="21" spans="1:9" x14ac:dyDescent="0.25">
      <c r="A21" s="27">
        <v>46093</v>
      </c>
      <c r="B21" s="23" t="s">
        <v>153</v>
      </c>
      <c r="C21" s="24" t="s">
        <v>117</v>
      </c>
      <c r="D21" s="24" t="s">
        <v>148</v>
      </c>
      <c r="E21" s="23" t="s">
        <v>148</v>
      </c>
      <c r="F21" s="28" t="s">
        <v>161</v>
      </c>
      <c r="G21" s="29" t="s">
        <v>180</v>
      </c>
      <c r="H21" s="25"/>
      <c r="I21" s="26">
        <v>10584</v>
      </c>
    </row>
    <row r="22" spans="1:9" x14ac:dyDescent="0.25">
      <c r="A22" s="27">
        <v>46093</v>
      </c>
      <c r="B22" s="23" t="s">
        <v>153</v>
      </c>
      <c r="C22" s="24" t="s">
        <v>118</v>
      </c>
      <c r="D22" s="24" t="s">
        <v>148</v>
      </c>
      <c r="E22" s="23" t="s">
        <v>148</v>
      </c>
      <c r="F22" s="28" t="s">
        <v>155</v>
      </c>
      <c r="G22" s="29" t="s">
        <v>181</v>
      </c>
      <c r="H22" s="25"/>
      <c r="I22" s="26">
        <v>11136</v>
      </c>
    </row>
    <row r="23" spans="1:9" x14ac:dyDescent="0.25">
      <c r="A23" s="27">
        <v>46093</v>
      </c>
      <c r="B23" s="23" t="s">
        <v>153</v>
      </c>
      <c r="C23" s="24" t="s">
        <v>119</v>
      </c>
      <c r="D23" s="24" t="s">
        <v>148</v>
      </c>
      <c r="E23" s="23" t="s">
        <v>148</v>
      </c>
      <c r="F23" s="28" t="s">
        <v>171</v>
      </c>
      <c r="G23" s="29" t="s">
        <v>182</v>
      </c>
      <c r="H23" s="25"/>
      <c r="I23" s="26">
        <v>22581</v>
      </c>
    </row>
    <row r="24" spans="1:9" x14ac:dyDescent="0.25">
      <c r="A24" s="27">
        <v>46093</v>
      </c>
      <c r="B24" s="23" t="s">
        <v>153</v>
      </c>
      <c r="C24" s="24" t="s">
        <v>120</v>
      </c>
      <c r="D24" s="24" t="s">
        <v>148</v>
      </c>
      <c r="E24" s="23" t="s">
        <v>148</v>
      </c>
      <c r="F24" s="28" t="s">
        <v>159</v>
      </c>
      <c r="G24" s="29" t="s">
        <v>183</v>
      </c>
      <c r="H24" s="25"/>
      <c r="I24" s="26">
        <v>33320</v>
      </c>
    </row>
    <row r="25" spans="1:9" x14ac:dyDescent="0.25">
      <c r="A25" s="27">
        <v>46093</v>
      </c>
      <c r="B25" s="23" t="s">
        <v>153</v>
      </c>
      <c r="C25" s="24" t="s">
        <v>93</v>
      </c>
      <c r="D25" s="24" t="s">
        <v>148</v>
      </c>
      <c r="E25" s="23" t="s">
        <v>148</v>
      </c>
      <c r="F25" s="28" t="s">
        <v>155</v>
      </c>
      <c r="G25" s="29" t="s">
        <v>184</v>
      </c>
      <c r="H25" s="25"/>
      <c r="I25" s="26">
        <v>33062</v>
      </c>
    </row>
    <row r="26" spans="1:9" x14ac:dyDescent="0.25">
      <c r="A26" s="27">
        <v>46093</v>
      </c>
      <c r="B26" s="23" t="s">
        <v>153</v>
      </c>
      <c r="C26" s="24" t="s">
        <v>121</v>
      </c>
      <c r="D26" s="24" t="s">
        <v>148</v>
      </c>
      <c r="E26" s="23" t="s">
        <v>148</v>
      </c>
      <c r="F26" s="28" t="s">
        <v>168</v>
      </c>
      <c r="G26" s="29" t="s">
        <v>185</v>
      </c>
      <c r="H26" s="25"/>
      <c r="I26" s="26">
        <v>41760</v>
      </c>
    </row>
    <row r="27" spans="1:9" x14ac:dyDescent="0.25">
      <c r="A27" s="27">
        <v>46093</v>
      </c>
      <c r="B27" s="23" t="s">
        <v>153</v>
      </c>
      <c r="C27" s="24" t="s">
        <v>122</v>
      </c>
      <c r="D27" s="24" t="s">
        <v>148</v>
      </c>
      <c r="E27" s="23" t="s">
        <v>148</v>
      </c>
      <c r="F27" s="28" t="s">
        <v>155</v>
      </c>
      <c r="G27" s="29" t="s">
        <v>186</v>
      </c>
      <c r="H27" s="25"/>
      <c r="I27" s="26">
        <v>44840</v>
      </c>
    </row>
    <row r="28" spans="1:9" x14ac:dyDescent="0.25">
      <c r="A28" s="27">
        <v>46093</v>
      </c>
      <c r="B28" s="23" t="s">
        <v>153</v>
      </c>
      <c r="C28" s="24" t="s">
        <v>123</v>
      </c>
      <c r="D28" s="24" t="s">
        <v>148</v>
      </c>
      <c r="E28" s="23" t="s">
        <v>148</v>
      </c>
      <c r="F28" s="28" t="s">
        <v>168</v>
      </c>
      <c r="G28" s="29" t="s">
        <v>187</v>
      </c>
      <c r="H28" s="25"/>
      <c r="I28" s="26">
        <v>48545</v>
      </c>
    </row>
    <row r="29" spans="1:9" x14ac:dyDescent="0.25">
      <c r="A29" s="27">
        <v>46093</v>
      </c>
      <c r="B29" s="23" t="s">
        <v>153</v>
      </c>
      <c r="C29" s="24" t="s">
        <v>124</v>
      </c>
      <c r="D29" s="24" t="s">
        <v>148</v>
      </c>
      <c r="E29" s="23" t="s">
        <v>148</v>
      </c>
      <c r="F29" s="28" t="s">
        <v>171</v>
      </c>
      <c r="G29" s="29" t="s">
        <v>188</v>
      </c>
      <c r="H29" s="25"/>
      <c r="I29" s="26">
        <v>49166</v>
      </c>
    </row>
    <row r="30" spans="1:9" x14ac:dyDescent="0.25">
      <c r="A30" s="27">
        <v>46093</v>
      </c>
      <c r="B30" s="23" t="s">
        <v>153</v>
      </c>
      <c r="C30" s="24" t="s">
        <v>125</v>
      </c>
      <c r="D30" s="24" t="s">
        <v>148</v>
      </c>
      <c r="E30" s="23" t="s">
        <v>148</v>
      </c>
      <c r="F30" s="28" t="s">
        <v>168</v>
      </c>
      <c r="G30" s="29" t="s">
        <v>189</v>
      </c>
      <c r="H30" s="25"/>
      <c r="I30" s="26">
        <v>49985.68</v>
      </c>
    </row>
    <row r="31" spans="1:9" x14ac:dyDescent="0.25">
      <c r="A31" s="27">
        <v>46093</v>
      </c>
      <c r="B31" s="23" t="s">
        <v>153</v>
      </c>
      <c r="C31" s="24" t="s">
        <v>126</v>
      </c>
      <c r="D31" s="24" t="s">
        <v>148</v>
      </c>
      <c r="E31" s="23" t="s">
        <v>148</v>
      </c>
      <c r="F31" s="28" t="s">
        <v>155</v>
      </c>
      <c r="G31" s="29" t="s">
        <v>190</v>
      </c>
      <c r="H31" s="25"/>
      <c r="I31" s="26">
        <v>57291.360000000001</v>
      </c>
    </row>
    <row r="32" spans="1:9" x14ac:dyDescent="0.25">
      <c r="A32" s="27">
        <v>46093</v>
      </c>
      <c r="B32" s="23" t="s">
        <v>153</v>
      </c>
      <c r="C32" s="24" t="s">
        <v>127</v>
      </c>
      <c r="D32" s="24" t="s">
        <v>148</v>
      </c>
      <c r="E32" s="23" t="s">
        <v>148</v>
      </c>
      <c r="F32" s="28" t="s">
        <v>155</v>
      </c>
      <c r="G32" s="29" t="s">
        <v>191</v>
      </c>
      <c r="H32" s="25"/>
      <c r="I32" s="26">
        <v>65341.22</v>
      </c>
    </row>
    <row r="33" spans="1:9" x14ac:dyDescent="0.25">
      <c r="A33" s="27">
        <v>46093</v>
      </c>
      <c r="B33" s="23" t="s">
        <v>153</v>
      </c>
      <c r="C33" s="24" t="s">
        <v>128</v>
      </c>
      <c r="D33" s="24" t="s">
        <v>148</v>
      </c>
      <c r="E33" s="23" t="s">
        <v>148</v>
      </c>
      <c r="F33" s="28" t="s">
        <v>192</v>
      </c>
      <c r="G33" s="29" t="s">
        <v>193</v>
      </c>
      <c r="H33" s="25"/>
      <c r="I33" s="26">
        <v>67960</v>
      </c>
    </row>
    <row r="34" spans="1:9" x14ac:dyDescent="0.25">
      <c r="A34" s="27">
        <v>46093</v>
      </c>
      <c r="B34" s="23" t="s">
        <v>153</v>
      </c>
      <c r="C34" s="24" t="s">
        <v>129</v>
      </c>
      <c r="D34" s="24" t="s">
        <v>148</v>
      </c>
      <c r="E34" s="23" t="s">
        <v>148</v>
      </c>
      <c r="F34" s="28" t="s">
        <v>159</v>
      </c>
      <c r="G34" s="29" t="s">
        <v>194</v>
      </c>
      <c r="H34" s="25"/>
      <c r="I34" s="26">
        <v>72088.2</v>
      </c>
    </row>
    <row r="35" spans="1:9" x14ac:dyDescent="0.25">
      <c r="A35" s="27">
        <v>46093</v>
      </c>
      <c r="B35" s="23" t="s">
        <v>153</v>
      </c>
      <c r="C35" s="24" t="s">
        <v>130</v>
      </c>
      <c r="D35" s="24" t="s">
        <v>148</v>
      </c>
      <c r="E35" s="23" t="s">
        <v>148</v>
      </c>
      <c r="F35" s="28" t="s">
        <v>155</v>
      </c>
      <c r="G35" s="29" t="s">
        <v>195</v>
      </c>
      <c r="H35" s="25"/>
      <c r="I35" s="26">
        <v>72379.88</v>
      </c>
    </row>
    <row r="36" spans="1:9" x14ac:dyDescent="0.25">
      <c r="A36" s="27">
        <v>46093</v>
      </c>
      <c r="B36" s="23" t="s">
        <v>153</v>
      </c>
      <c r="C36" s="24" t="s">
        <v>131</v>
      </c>
      <c r="D36" s="24" t="s">
        <v>148</v>
      </c>
      <c r="E36" s="23" t="s">
        <v>148</v>
      </c>
      <c r="F36" s="28" t="s">
        <v>155</v>
      </c>
      <c r="G36" s="29" t="s">
        <v>196</v>
      </c>
      <c r="H36" s="25"/>
      <c r="I36" s="26">
        <v>500000</v>
      </c>
    </row>
    <row r="37" spans="1:9" x14ac:dyDescent="0.25">
      <c r="A37" s="27">
        <v>46093</v>
      </c>
      <c r="B37" s="23" t="s">
        <v>153</v>
      </c>
      <c r="C37" s="24" t="s">
        <v>132</v>
      </c>
      <c r="D37" s="24" t="s">
        <v>148</v>
      </c>
      <c r="E37" s="23" t="s">
        <v>148</v>
      </c>
      <c r="F37" s="28" t="s">
        <v>159</v>
      </c>
      <c r="G37" s="29" t="s">
        <v>197</v>
      </c>
      <c r="H37" s="25"/>
      <c r="I37" s="26">
        <v>83300</v>
      </c>
    </row>
    <row r="38" spans="1:9" x14ac:dyDescent="0.25">
      <c r="A38" s="27">
        <v>46093</v>
      </c>
      <c r="B38" s="23" t="s">
        <v>153</v>
      </c>
      <c r="C38" s="24" t="s">
        <v>133</v>
      </c>
      <c r="D38" s="24" t="s">
        <v>148</v>
      </c>
      <c r="E38" s="23" t="s">
        <v>148</v>
      </c>
      <c r="F38" s="28" t="s">
        <v>164</v>
      </c>
      <c r="G38" s="29" t="s">
        <v>198</v>
      </c>
      <c r="H38" s="25"/>
      <c r="I38" s="26">
        <v>440224.67</v>
      </c>
    </row>
    <row r="39" spans="1:9" x14ac:dyDescent="0.25">
      <c r="A39" s="27">
        <v>46093</v>
      </c>
      <c r="B39" s="23" t="s">
        <v>153</v>
      </c>
      <c r="C39" s="24" t="s">
        <v>134</v>
      </c>
      <c r="D39" s="24" t="s">
        <v>148</v>
      </c>
      <c r="E39" s="23" t="s">
        <v>148</v>
      </c>
      <c r="F39" s="28" t="s">
        <v>199</v>
      </c>
      <c r="G39" s="29" t="s">
        <v>200</v>
      </c>
      <c r="H39" s="25"/>
      <c r="I39" s="26">
        <v>2500000</v>
      </c>
    </row>
    <row r="40" spans="1:9" x14ac:dyDescent="0.25">
      <c r="A40" s="27">
        <v>46093</v>
      </c>
      <c r="B40" s="23" t="s">
        <v>201</v>
      </c>
      <c r="C40" s="24" t="s">
        <v>75</v>
      </c>
      <c r="D40" s="24" t="s">
        <v>148</v>
      </c>
      <c r="E40" s="23" t="s">
        <v>148</v>
      </c>
      <c r="F40" s="28" t="s">
        <v>202</v>
      </c>
      <c r="G40" s="29" t="s">
        <v>203</v>
      </c>
      <c r="H40" s="26">
        <v>1</v>
      </c>
      <c r="I40" s="25"/>
    </row>
    <row r="41" spans="1:9" x14ac:dyDescent="0.25">
      <c r="A41" s="27">
        <v>46093</v>
      </c>
      <c r="B41" s="23" t="s">
        <v>201</v>
      </c>
      <c r="C41" s="24" t="s">
        <v>75</v>
      </c>
      <c r="D41" s="24" t="s">
        <v>148</v>
      </c>
      <c r="E41" s="23" t="s">
        <v>148</v>
      </c>
      <c r="F41" s="28" t="s">
        <v>202</v>
      </c>
      <c r="G41" s="29" t="s">
        <v>204</v>
      </c>
      <c r="H41" s="26">
        <v>21638</v>
      </c>
      <c r="I41" s="25"/>
    </row>
    <row r="42" spans="1:9" x14ac:dyDescent="0.25">
      <c r="A42" s="27">
        <v>46093</v>
      </c>
      <c r="B42" s="23" t="s">
        <v>153</v>
      </c>
      <c r="C42" s="24" t="s">
        <v>101</v>
      </c>
      <c r="D42" s="24" t="s">
        <v>148</v>
      </c>
      <c r="E42" s="23" t="s">
        <v>148</v>
      </c>
      <c r="F42" s="28" t="s">
        <v>205</v>
      </c>
      <c r="G42" s="29" t="s">
        <v>206</v>
      </c>
      <c r="H42" s="25"/>
      <c r="I42" s="26">
        <v>350000</v>
      </c>
    </row>
    <row r="43" spans="1:9" x14ac:dyDescent="0.25">
      <c r="A43" s="27">
        <v>46093</v>
      </c>
      <c r="B43" s="23" t="s">
        <v>201</v>
      </c>
      <c r="C43" s="24" t="s">
        <v>98</v>
      </c>
      <c r="D43" s="24" t="s">
        <v>148</v>
      </c>
      <c r="E43" s="23" t="s">
        <v>148</v>
      </c>
      <c r="F43" s="28" t="s">
        <v>207</v>
      </c>
      <c r="G43" s="29" t="s">
        <v>208</v>
      </c>
      <c r="H43" s="26">
        <v>200000</v>
      </c>
      <c r="I43" s="25"/>
    </row>
    <row r="44" spans="1:9" x14ac:dyDescent="0.25">
      <c r="A44" s="27">
        <v>46093</v>
      </c>
      <c r="B44" s="23" t="s">
        <v>153</v>
      </c>
      <c r="C44" s="24" t="s">
        <v>79</v>
      </c>
      <c r="D44" s="24" t="s">
        <v>148</v>
      </c>
      <c r="E44" s="23" t="s">
        <v>148</v>
      </c>
      <c r="F44" s="28" t="s">
        <v>157</v>
      </c>
      <c r="G44" s="29" t="s">
        <v>209</v>
      </c>
      <c r="H44" s="25"/>
      <c r="I44" s="26">
        <v>1074240</v>
      </c>
    </row>
    <row r="45" spans="1:9" x14ac:dyDescent="0.25">
      <c r="A45" s="27">
        <v>46093</v>
      </c>
      <c r="B45" s="23" t="s">
        <v>153</v>
      </c>
      <c r="C45" s="24" t="s">
        <v>100</v>
      </c>
      <c r="D45" s="24" t="s">
        <v>148</v>
      </c>
      <c r="E45" s="23" t="s">
        <v>148</v>
      </c>
      <c r="F45" s="28" t="s">
        <v>173</v>
      </c>
      <c r="G45" s="29" t="s">
        <v>210</v>
      </c>
      <c r="H45" s="25"/>
      <c r="I45" s="26">
        <v>500000</v>
      </c>
    </row>
    <row r="46" spans="1:9" x14ac:dyDescent="0.25">
      <c r="A46" s="27">
        <v>46093</v>
      </c>
      <c r="B46" s="23" t="s">
        <v>153</v>
      </c>
      <c r="C46" s="24" t="s">
        <v>44</v>
      </c>
      <c r="D46" s="24" t="s">
        <v>148</v>
      </c>
      <c r="E46" s="23" t="s">
        <v>148</v>
      </c>
      <c r="F46" s="28" t="s">
        <v>173</v>
      </c>
      <c r="G46" s="29" t="s">
        <v>211</v>
      </c>
      <c r="H46" s="25"/>
      <c r="I46" s="26">
        <v>410373</v>
      </c>
    </row>
    <row r="47" spans="1:9" x14ac:dyDescent="0.25">
      <c r="A47" s="27">
        <v>46093</v>
      </c>
      <c r="B47" s="23" t="s">
        <v>201</v>
      </c>
      <c r="C47" s="24" t="s">
        <v>99</v>
      </c>
      <c r="D47" s="24" t="s">
        <v>148</v>
      </c>
      <c r="E47" s="23" t="s">
        <v>148</v>
      </c>
      <c r="F47" s="28" t="s">
        <v>212</v>
      </c>
      <c r="G47" s="29" t="s">
        <v>213</v>
      </c>
      <c r="H47" s="26">
        <v>330750</v>
      </c>
      <c r="I47" s="25"/>
    </row>
    <row r="48" spans="1:9" x14ac:dyDescent="0.25">
      <c r="A48" s="27">
        <v>46093</v>
      </c>
      <c r="B48" s="23" t="s">
        <v>201</v>
      </c>
      <c r="C48" s="24" t="s">
        <v>56</v>
      </c>
      <c r="D48" s="24" t="s">
        <v>148</v>
      </c>
      <c r="E48" s="23" t="s">
        <v>148</v>
      </c>
      <c r="F48" s="28" t="s">
        <v>214</v>
      </c>
      <c r="G48" s="29" t="s">
        <v>215</v>
      </c>
      <c r="H48" s="26">
        <v>480657</v>
      </c>
      <c r="I48" s="25"/>
    </row>
    <row r="49" spans="1:9" x14ac:dyDescent="0.25">
      <c r="A49" s="27">
        <v>46093</v>
      </c>
      <c r="B49" s="23" t="s">
        <v>201</v>
      </c>
      <c r="C49" s="24" t="s">
        <v>216</v>
      </c>
      <c r="D49" s="24" t="s">
        <v>148</v>
      </c>
      <c r="E49" s="23" t="s">
        <v>148</v>
      </c>
      <c r="F49" s="28" t="s">
        <v>202</v>
      </c>
      <c r="G49" s="29" t="s">
        <v>217</v>
      </c>
      <c r="H49" s="26">
        <v>1000000</v>
      </c>
      <c r="I49" s="25"/>
    </row>
    <row r="50" spans="1:9" x14ac:dyDescent="0.25">
      <c r="A50" s="117" t="s">
        <v>148</v>
      </c>
      <c r="B50" s="117"/>
      <c r="C50" s="28" t="s">
        <v>218</v>
      </c>
      <c r="D50" s="24" t="s">
        <v>148</v>
      </c>
      <c r="E50" s="23" t="s">
        <v>148</v>
      </c>
      <c r="F50" s="23" t="s">
        <v>148</v>
      </c>
      <c r="G50" s="24" t="s">
        <v>148</v>
      </c>
      <c r="H50" s="30"/>
      <c r="I50" s="31">
        <v>915635</v>
      </c>
    </row>
    <row r="51" spans="1:9" x14ac:dyDescent="0.25">
      <c r="A51" s="117" t="s">
        <v>148</v>
      </c>
      <c r="B51" s="117"/>
      <c r="C51" s="28" t="s">
        <v>219</v>
      </c>
      <c r="D51" s="24" t="s">
        <v>148</v>
      </c>
      <c r="E51" s="23" t="s">
        <v>148</v>
      </c>
      <c r="F51" s="23" t="s">
        <v>148</v>
      </c>
      <c r="G51" s="24" t="s">
        <v>148</v>
      </c>
      <c r="H51" s="30"/>
      <c r="I51" s="31">
        <v>84365</v>
      </c>
    </row>
    <row r="52" spans="1:9" x14ac:dyDescent="0.25">
      <c r="A52" s="27">
        <v>46093</v>
      </c>
      <c r="B52" s="23" t="s">
        <v>201</v>
      </c>
      <c r="C52" s="24" t="s">
        <v>219</v>
      </c>
      <c r="D52" s="24" t="s">
        <v>148</v>
      </c>
      <c r="E52" s="23" t="s">
        <v>148</v>
      </c>
      <c r="F52" s="28" t="s">
        <v>202</v>
      </c>
      <c r="G52" s="29" t="s">
        <v>220</v>
      </c>
      <c r="H52" s="26">
        <v>1500000</v>
      </c>
      <c r="I52" s="25"/>
    </row>
    <row r="53" spans="1:9" x14ac:dyDescent="0.25">
      <c r="A53" s="27">
        <v>46093</v>
      </c>
      <c r="B53" s="23" t="s">
        <v>201</v>
      </c>
      <c r="C53" s="24" t="s">
        <v>102</v>
      </c>
      <c r="D53" s="24" t="s">
        <v>148</v>
      </c>
      <c r="E53" s="23" t="s">
        <v>148</v>
      </c>
      <c r="F53" s="28" t="s">
        <v>221</v>
      </c>
      <c r="G53" s="29" t="s">
        <v>222</v>
      </c>
      <c r="H53" s="26">
        <v>1697760</v>
      </c>
      <c r="I53" s="25"/>
    </row>
    <row r="54" spans="1:9" x14ac:dyDescent="0.25">
      <c r="A54" s="27">
        <v>46094</v>
      </c>
      <c r="B54" s="23" t="s">
        <v>153</v>
      </c>
      <c r="C54" s="24" t="s">
        <v>86</v>
      </c>
      <c r="D54" s="24" t="s">
        <v>148</v>
      </c>
      <c r="E54" s="23" t="s">
        <v>148</v>
      </c>
      <c r="F54" s="28" t="s">
        <v>161</v>
      </c>
      <c r="G54" s="29" t="s">
        <v>223</v>
      </c>
      <c r="H54" s="25"/>
      <c r="I54" s="26">
        <v>238302.12</v>
      </c>
    </row>
    <row r="55" spans="1:9" x14ac:dyDescent="0.25">
      <c r="A55" s="27">
        <v>46094</v>
      </c>
      <c r="B55" s="23" t="s">
        <v>153</v>
      </c>
      <c r="C55" s="24" t="s">
        <v>142</v>
      </c>
      <c r="D55" s="24" t="s">
        <v>148</v>
      </c>
      <c r="E55" s="23" t="s">
        <v>148</v>
      </c>
      <c r="F55" s="28" t="s">
        <v>192</v>
      </c>
      <c r="G55" s="29" t="s">
        <v>224</v>
      </c>
      <c r="H55" s="25"/>
      <c r="I55" s="26">
        <v>23871.08</v>
      </c>
    </row>
    <row r="56" spans="1:9" x14ac:dyDescent="0.25">
      <c r="A56" s="27">
        <v>46094</v>
      </c>
      <c r="B56" s="23" t="s">
        <v>153</v>
      </c>
      <c r="C56" s="24" t="s">
        <v>69</v>
      </c>
      <c r="D56" s="24" t="s">
        <v>148</v>
      </c>
      <c r="E56" s="23" t="s">
        <v>148</v>
      </c>
      <c r="F56" s="28" t="s">
        <v>192</v>
      </c>
      <c r="G56" s="29" t="s">
        <v>225</v>
      </c>
      <c r="H56" s="25"/>
      <c r="I56" s="26">
        <v>20668</v>
      </c>
    </row>
    <row r="57" spans="1:9" x14ac:dyDescent="0.25">
      <c r="A57" s="27">
        <v>46094</v>
      </c>
      <c r="B57" s="23" t="s">
        <v>153</v>
      </c>
      <c r="C57" s="24" t="s">
        <v>138</v>
      </c>
      <c r="D57" s="24" t="s">
        <v>148</v>
      </c>
      <c r="E57" s="23" t="s">
        <v>148</v>
      </c>
      <c r="F57" s="28" t="s">
        <v>173</v>
      </c>
      <c r="G57" s="29" t="s">
        <v>226</v>
      </c>
      <c r="H57" s="25"/>
      <c r="I57" s="26">
        <v>36978</v>
      </c>
    </row>
    <row r="58" spans="1:9" x14ac:dyDescent="0.25">
      <c r="A58" s="27">
        <v>46094</v>
      </c>
      <c r="B58" s="23" t="s">
        <v>153</v>
      </c>
      <c r="C58" s="24" t="s">
        <v>216</v>
      </c>
      <c r="D58" s="24" t="s">
        <v>148</v>
      </c>
      <c r="E58" s="23" t="s">
        <v>148</v>
      </c>
      <c r="F58" s="28" t="s">
        <v>227</v>
      </c>
      <c r="G58" s="29" t="s">
        <v>228</v>
      </c>
      <c r="H58" s="25"/>
      <c r="I58" s="26">
        <v>85500</v>
      </c>
    </row>
    <row r="59" spans="1:9" x14ac:dyDescent="0.25">
      <c r="A59" s="117" t="s">
        <v>148</v>
      </c>
      <c r="B59" s="117"/>
      <c r="C59" s="28" t="s">
        <v>137</v>
      </c>
      <c r="D59" s="24" t="s">
        <v>148</v>
      </c>
      <c r="E59" s="23" t="s">
        <v>148</v>
      </c>
      <c r="F59" s="23" t="s">
        <v>148</v>
      </c>
      <c r="G59" s="24" t="s">
        <v>148</v>
      </c>
      <c r="H59" s="32">
        <v>90000</v>
      </c>
      <c r="I59" s="30"/>
    </row>
    <row r="60" spans="1:9" x14ac:dyDescent="0.25">
      <c r="A60" s="117" t="s">
        <v>148</v>
      </c>
      <c r="B60" s="117"/>
      <c r="C60" s="28" t="s">
        <v>77</v>
      </c>
      <c r="D60" s="24" t="s">
        <v>148</v>
      </c>
      <c r="E60" s="23" t="s">
        <v>148</v>
      </c>
      <c r="F60" s="23" t="s">
        <v>148</v>
      </c>
      <c r="G60" s="24" t="s">
        <v>148</v>
      </c>
      <c r="H60" s="30"/>
      <c r="I60" s="31">
        <v>4500</v>
      </c>
    </row>
    <row r="61" spans="1:9" x14ac:dyDescent="0.25">
      <c r="A61" s="27">
        <v>46094</v>
      </c>
      <c r="B61" s="23" t="s">
        <v>153</v>
      </c>
      <c r="C61" s="24" t="s">
        <v>229</v>
      </c>
      <c r="D61" s="24" t="s">
        <v>148</v>
      </c>
      <c r="E61" s="23" t="s">
        <v>148</v>
      </c>
      <c r="F61" s="28" t="s">
        <v>155</v>
      </c>
      <c r="G61" s="29" t="s">
        <v>230</v>
      </c>
      <c r="H61" s="25"/>
      <c r="I61" s="26">
        <v>363157</v>
      </c>
    </row>
    <row r="62" spans="1:9" x14ac:dyDescent="0.25">
      <c r="A62" s="27">
        <v>46094</v>
      </c>
      <c r="B62" s="23" t="s">
        <v>153</v>
      </c>
      <c r="C62" s="24" t="s">
        <v>216</v>
      </c>
      <c r="D62" s="24" t="s">
        <v>148</v>
      </c>
      <c r="E62" s="23" t="s">
        <v>148</v>
      </c>
      <c r="F62" s="28" t="s">
        <v>227</v>
      </c>
      <c r="G62" s="29" t="s">
        <v>231</v>
      </c>
      <c r="H62" s="25"/>
      <c r="I62" s="26">
        <v>85500</v>
      </c>
    </row>
    <row r="63" spans="1:9" x14ac:dyDescent="0.25">
      <c r="A63" s="117" t="s">
        <v>148</v>
      </c>
      <c r="B63" s="117"/>
      <c r="C63" s="28" t="s">
        <v>137</v>
      </c>
      <c r="D63" s="24" t="s">
        <v>148</v>
      </c>
      <c r="E63" s="23" t="s">
        <v>148</v>
      </c>
      <c r="F63" s="23" t="s">
        <v>148</v>
      </c>
      <c r="G63" s="24" t="s">
        <v>148</v>
      </c>
      <c r="H63" s="32">
        <v>90000</v>
      </c>
      <c r="I63" s="30"/>
    </row>
    <row r="64" spans="1:9" x14ac:dyDescent="0.25">
      <c r="A64" s="117" t="s">
        <v>148</v>
      </c>
      <c r="B64" s="117"/>
      <c r="C64" s="28" t="s">
        <v>77</v>
      </c>
      <c r="D64" s="24" t="s">
        <v>148</v>
      </c>
      <c r="E64" s="23" t="s">
        <v>148</v>
      </c>
      <c r="F64" s="23" t="s">
        <v>148</v>
      </c>
      <c r="G64" s="24" t="s">
        <v>148</v>
      </c>
      <c r="H64" s="30"/>
      <c r="I64" s="31">
        <v>4500</v>
      </c>
    </row>
    <row r="65" spans="1:9" x14ac:dyDescent="0.25">
      <c r="A65" s="27">
        <v>46094</v>
      </c>
      <c r="B65" s="23" t="s">
        <v>153</v>
      </c>
      <c r="C65" s="24" t="s">
        <v>145</v>
      </c>
      <c r="D65" s="24" t="s">
        <v>148</v>
      </c>
      <c r="E65" s="23" t="s">
        <v>148</v>
      </c>
      <c r="F65" s="28" t="s">
        <v>168</v>
      </c>
      <c r="G65" s="29" t="s">
        <v>232</v>
      </c>
      <c r="H65" s="25"/>
      <c r="I65" s="26">
        <v>55000</v>
      </c>
    </row>
    <row r="66" spans="1:9" x14ac:dyDescent="0.25">
      <c r="A66" s="27">
        <v>46094</v>
      </c>
      <c r="B66" s="23" t="s">
        <v>153</v>
      </c>
      <c r="C66" s="24" t="s">
        <v>233</v>
      </c>
      <c r="D66" s="24" t="s">
        <v>148</v>
      </c>
      <c r="E66" s="23" t="s">
        <v>148</v>
      </c>
      <c r="F66" s="28" t="s">
        <v>155</v>
      </c>
      <c r="G66" s="29" t="s">
        <v>234</v>
      </c>
      <c r="H66" s="25"/>
      <c r="I66" s="26">
        <v>270000</v>
      </c>
    </row>
    <row r="67" spans="1:9" x14ac:dyDescent="0.25">
      <c r="A67" s="27">
        <v>46094</v>
      </c>
      <c r="B67" s="23" t="s">
        <v>153</v>
      </c>
      <c r="C67" s="24" t="s">
        <v>95</v>
      </c>
      <c r="D67" s="24" t="s">
        <v>148</v>
      </c>
      <c r="E67" s="23" t="s">
        <v>148</v>
      </c>
      <c r="F67" s="28" t="s">
        <v>235</v>
      </c>
      <c r="G67" s="29" t="s">
        <v>236</v>
      </c>
      <c r="H67" s="25"/>
      <c r="I67" s="26">
        <v>2656.92</v>
      </c>
    </row>
    <row r="68" spans="1:9" x14ac:dyDescent="0.25">
      <c r="A68" s="27">
        <v>46094</v>
      </c>
      <c r="B68" s="23" t="s">
        <v>153</v>
      </c>
      <c r="C68" s="24" t="s">
        <v>237</v>
      </c>
      <c r="D68" s="24" t="s">
        <v>148</v>
      </c>
      <c r="E68" s="23" t="s">
        <v>148</v>
      </c>
      <c r="F68" s="28" t="s">
        <v>159</v>
      </c>
      <c r="G68" s="29" t="s">
        <v>238</v>
      </c>
      <c r="H68" s="25"/>
      <c r="I68" s="26">
        <v>295636.2</v>
      </c>
    </row>
    <row r="69" spans="1:9" x14ac:dyDescent="0.25">
      <c r="A69" s="27">
        <v>46094</v>
      </c>
      <c r="B69" s="23" t="s">
        <v>153</v>
      </c>
      <c r="C69" s="24" t="s">
        <v>143</v>
      </c>
      <c r="D69" s="24" t="s">
        <v>148</v>
      </c>
      <c r="E69" s="23" t="s">
        <v>148</v>
      </c>
      <c r="F69" s="28" t="s">
        <v>155</v>
      </c>
      <c r="G69" s="29" t="s">
        <v>239</v>
      </c>
      <c r="H69" s="25"/>
      <c r="I69" s="26">
        <v>613302.62</v>
      </c>
    </row>
    <row r="70" spans="1:9" x14ac:dyDescent="0.25">
      <c r="A70" s="27">
        <v>46094</v>
      </c>
      <c r="B70" s="23" t="s">
        <v>153</v>
      </c>
      <c r="C70" s="24" t="s">
        <v>141</v>
      </c>
      <c r="D70" s="24" t="s">
        <v>148</v>
      </c>
      <c r="E70" s="23" t="s">
        <v>148</v>
      </c>
      <c r="F70" s="28" t="s">
        <v>155</v>
      </c>
      <c r="G70" s="29" t="s">
        <v>240</v>
      </c>
      <c r="H70" s="25"/>
      <c r="I70" s="26">
        <v>316240</v>
      </c>
    </row>
    <row r="71" spans="1:9" x14ac:dyDescent="0.25">
      <c r="A71" s="27">
        <v>46094</v>
      </c>
      <c r="B71" s="23" t="s">
        <v>153</v>
      </c>
      <c r="C71" s="24" t="s">
        <v>147</v>
      </c>
      <c r="D71" s="24" t="s">
        <v>148</v>
      </c>
      <c r="E71" s="23" t="s">
        <v>148</v>
      </c>
      <c r="F71" s="28" t="s">
        <v>241</v>
      </c>
      <c r="G71" s="29" t="s">
        <v>242</v>
      </c>
      <c r="H71" s="25"/>
      <c r="I71" s="26">
        <v>19224</v>
      </c>
    </row>
    <row r="72" spans="1:9" x14ac:dyDescent="0.25">
      <c r="A72" s="27">
        <v>46094</v>
      </c>
      <c r="B72" s="23" t="s">
        <v>153</v>
      </c>
      <c r="C72" s="24" t="s">
        <v>146</v>
      </c>
      <c r="D72" s="24" t="s">
        <v>148</v>
      </c>
      <c r="E72" s="23" t="s">
        <v>148</v>
      </c>
      <c r="F72" s="28" t="s">
        <v>173</v>
      </c>
      <c r="G72" s="29" t="s">
        <v>243</v>
      </c>
      <c r="H72" s="25"/>
      <c r="I72" s="26">
        <v>192560</v>
      </c>
    </row>
    <row r="73" spans="1:9" x14ac:dyDescent="0.25">
      <c r="A73" s="27">
        <v>46094</v>
      </c>
      <c r="B73" s="23" t="s">
        <v>153</v>
      </c>
      <c r="C73" s="24" t="s">
        <v>140</v>
      </c>
      <c r="D73" s="24" t="s">
        <v>148</v>
      </c>
      <c r="E73" s="23" t="s">
        <v>148</v>
      </c>
      <c r="F73" s="28" t="s">
        <v>161</v>
      </c>
      <c r="G73" s="29" t="s">
        <v>244</v>
      </c>
      <c r="H73" s="25"/>
      <c r="I73" s="26">
        <v>492321.38</v>
      </c>
    </row>
    <row r="74" spans="1:9" x14ac:dyDescent="0.25">
      <c r="A74" s="27">
        <v>46094</v>
      </c>
      <c r="B74" s="23" t="s">
        <v>153</v>
      </c>
      <c r="C74" s="24" t="s">
        <v>139</v>
      </c>
      <c r="D74" s="24" t="s">
        <v>148</v>
      </c>
      <c r="E74" s="23" t="s">
        <v>148</v>
      </c>
      <c r="F74" s="28" t="s">
        <v>161</v>
      </c>
      <c r="G74" s="29" t="s">
        <v>245</v>
      </c>
      <c r="H74" s="25"/>
      <c r="I74" s="26">
        <v>426670.95</v>
      </c>
    </row>
    <row r="75" spans="1:9" x14ac:dyDescent="0.25">
      <c r="A75" s="27">
        <v>46094</v>
      </c>
      <c r="B75" s="23" t="s">
        <v>153</v>
      </c>
      <c r="C75" s="24" t="s">
        <v>246</v>
      </c>
      <c r="D75" s="24" t="s">
        <v>148</v>
      </c>
      <c r="E75" s="23" t="s">
        <v>148</v>
      </c>
      <c r="F75" s="28" t="s">
        <v>247</v>
      </c>
      <c r="G75" s="29" t="s">
        <v>248</v>
      </c>
      <c r="H75" s="25"/>
      <c r="I75" s="26">
        <v>3000</v>
      </c>
    </row>
    <row r="76" spans="1:9" x14ac:dyDescent="0.25">
      <c r="A76" s="27">
        <v>46094</v>
      </c>
      <c r="B76" s="23" t="s">
        <v>153</v>
      </c>
      <c r="C76" s="24" t="s">
        <v>144</v>
      </c>
      <c r="D76" s="24" t="s">
        <v>148</v>
      </c>
      <c r="E76" s="23" t="s">
        <v>148</v>
      </c>
      <c r="F76" s="28" t="s">
        <v>168</v>
      </c>
      <c r="G76" s="29" t="s">
        <v>249</v>
      </c>
      <c r="H76" s="25"/>
      <c r="I76" s="26">
        <v>18622.439999999999</v>
      </c>
    </row>
    <row r="77" spans="1:9" x14ac:dyDescent="0.25">
      <c r="A77" s="27">
        <v>46094</v>
      </c>
      <c r="B77" s="23" t="s">
        <v>153</v>
      </c>
      <c r="C77" s="24" t="s">
        <v>144</v>
      </c>
      <c r="D77" s="24" t="s">
        <v>148</v>
      </c>
      <c r="E77" s="23" t="s">
        <v>148</v>
      </c>
      <c r="F77" s="28" t="s">
        <v>168</v>
      </c>
      <c r="G77" s="29" t="s">
        <v>250</v>
      </c>
      <c r="H77" s="25"/>
      <c r="I77" s="26">
        <v>3724.92</v>
      </c>
    </row>
    <row r="78" spans="1:9" x14ac:dyDescent="0.25">
      <c r="A78" s="27">
        <v>46094</v>
      </c>
      <c r="B78" s="23" t="s">
        <v>153</v>
      </c>
      <c r="C78" s="24" t="s">
        <v>144</v>
      </c>
      <c r="D78" s="24" t="s">
        <v>148</v>
      </c>
      <c r="E78" s="23" t="s">
        <v>148</v>
      </c>
      <c r="F78" s="28" t="s">
        <v>157</v>
      </c>
      <c r="G78" s="29" t="s">
        <v>251</v>
      </c>
      <c r="H78" s="25"/>
      <c r="I78" s="26">
        <v>74487.600000000006</v>
      </c>
    </row>
    <row r="79" spans="1:9" x14ac:dyDescent="0.25">
      <c r="A79" s="27">
        <v>46094</v>
      </c>
      <c r="B79" s="23" t="s">
        <v>153</v>
      </c>
      <c r="C79" s="24" t="s">
        <v>144</v>
      </c>
      <c r="D79" s="24" t="s">
        <v>148</v>
      </c>
      <c r="E79" s="23" t="s">
        <v>148</v>
      </c>
      <c r="F79" s="28" t="s">
        <v>171</v>
      </c>
      <c r="G79" s="29" t="s">
        <v>252</v>
      </c>
      <c r="H79" s="25"/>
      <c r="I79" s="26">
        <v>54624.24</v>
      </c>
    </row>
    <row r="80" spans="1:9" x14ac:dyDescent="0.25">
      <c r="A80" s="27">
        <v>46094</v>
      </c>
      <c r="B80" s="23" t="s">
        <v>153</v>
      </c>
      <c r="C80" s="24" t="s">
        <v>97</v>
      </c>
      <c r="D80" s="24" t="s">
        <v>148</v>
      </c>
      <c r="E80" s="23" t="s">
        <v>148</v>
      </c>
      <c r="F80" s="28" t="s">
        <v>173</v>
      </c>
      <c r="G80" s="29" t="s">
        <v>253</v>
      </c>
      <c r="H80" s="25"/>
      <c r="I80" s="26">
        <v>31390</v>
      </c>
    </row>
    <row r="81" spans="1:9" x14ac:dyDescent="0.25">
      <c r="A81" s="27">
        <v>46094</v>
      </c>
      <c r="B81" s="23" t="s">
        <v>153</v>
      </c>
      <c r="C81" s="24" t="s">
        <v>254</v>
      </c>
      <c r="D81" s="24" t="s">
        <v>148</v>
      </c>
      <c r="E81" s="23" t="s">
        <v>148</v>
      </c>
      <c r="F81" s="28" t="s">
        <v>173</v>
      </c>
      <c r="G81" s="29" t="s">
        <v>255</v>
      </c>
      <c r="H81" s="25"/>
      <c r="I81" s="26">
        <v>5000</v>
      </c>
    </row>
    <row r="82" spans="1:9" x14ac:dyDescent="0.25">
      <c r="A82" s="27">
        <v>46094</v>
      </c>
      <c r="B82" s="23" t="s">
        <v>153</v>
      </c>
      <c r="C82" s="24" t="s">
        <v>256</v>
      </c>
      <c r="D82" s="24" t="s">
        <v>148</v>
      </c>
      <c r="E82" s="23" t="s">
        <v>148</v>
      </c>
      <c r="F82" s="28" t="s">
        <v>173</v>
      </c>
      <c r="G82" s="29" t="s">
        <v>257</v>
      </c>
      <c r="H82" s="25"/>
      <c r="I82" s="26">
        <v>20990</v>
      </c>
    </row>
    <row r="83" spans="1:9" x14ac:dyDescent="0.25">
      <c r="A83" s="27">
        <v>46094</v>
      </c>
      <c r="B83" s="23" t="s">
        <v>201</v>
      </c>
      <c r="C83" s="24" t="s">
        <v>58</v>
      </c>
      <c r="D83" s="24" t="s">
        <v>148</v>
      </c>
      <c r="E83" s="23" t="s">
        <v>148</v>
      </c>
      <c r="F83" s="28" t="s">
        <v>207</v>
      </c>
      <c r="G83" s="29" t="s">
        <v>258</v>
      </c>
      <c r="H83" s="26">
        <v>700000</v>
      </c>
      <c r="I83" s="25"/>
    </row>
    <row r="84" spans="1:9" x14ac:dyDescent="0.25">
      <c r="A84" s="27">
        <v>46094</v>
      </c>
      <c r="B84" s="23" t="s">
        <v>201</v>
      </c>
      <c r="C84" s="24" t="s">
        <v>56</v>
      </c>
      <c r="D84" s="24" t="s">
        <v>148</v>
      </c>
      <c r="E84" s="23" t="s">
        <v>148</v>
      </c>
      <c r="F84" s="28" t="s">
        <v>214</v>
      </c>
      <c r="G84" s="29" t="s">
        <v>259</v>
      </c>
      <c r="H84" s="26">
        <v>324410</v>
      </c>
      <c r="I84" s="25"/>
    </row>
    <row r="85" spans="1:9" x14ac:dyDescent="0.25">
      <c r="A85" s="27">
        <v>46094</v>
      </c>
      <c r="B85" s="23" t="s">
        <v>201</v>
      </c>
      <c r="C85" s="24" t="s">
        <v>56</v>
      </c>
      <c r="D85" s="24" t="s">
        <v>148</v>
      </c>
      <c r="E85" s="23" t="s">
        <v>148</v>
      </c>
      <c r="F85" s="28" t="s">
        <v>214</v>
      </c>
      <c r="G85" s="29" t="s">
        <v>260</v>
      </c>
      <c r="H85" s="26">
        <v>321224.8</v>
      </c>
      <c r="I85" s="25"/>
    </row>
    <row r="86" spans="1:9" x14ac:dyDescent="0.25">
      <c r="A86" s="27">
        <v>46094</v>
      </c>
      <c r="B86" s="23" t="s">
        <v>201</v>
      </c>
      <c r="C86" s="24" t="s">
        <v>56</v>
      </c>
      <c r="D86" s="24" t="s">
        <v>148</v>
      </c>
      <c r="E86" s="23" t="s">
        <v>148</v>
      </c>
      <c r="F86" s="28" t="s">
        <v>261</v>
      </c>
      <c r="G86" s="29" t="s">
        <v>262</v>
      </c>
      <c r="H86" s="26">
        <v>128930.71</v>
      </c>
      <c r="I86" s="25"/>
    </row>
    <row r="87" spans="1:9" x14ac:dyDescent="0.25">
      <c r="A87" s="27">
        <v>46094</v>
      </c>
      <c r="B87" s="23" t="s">
        <v>153</v>
      </c>
      <c r="C87" s="24" t="s">
        <v>66</v>
      </c>
      <c r="D87" s="24" t="s">
        <v>148</v>
      </c>
      <c r="E87" s="23" t="s">
        <v>148</v>
      </c>
      <c r="F87" s="28" t="s">
        <v>227</v>
      </c>
      <c r="G87" s="29" t="s">
        <v>263</v>
      </c>
      <c r="H87" s="25"/>
      <c r="I87" s="26">
        <v>500000</v>
      </c>
    </row>
    <row r="88" spans="1:9" x14ac:dyDescent="0.25">
      <c r="A88" s="27">
        <v>46094</v>
      </c>
      <c r="B88" s="23" t="s">
        <v>201</v>
      </c>
      <c r="C88" s="24" t="s">
        <v>136</v>
      </c>
      <c r="D88" s="24" t="s">
        <v>148</v>
      </c>
      <c r="E88" s="23" t="s">
        <v>148</v>
      </c>
      <c r="F88" s="28" t="s">
        <v>264</v>
      </c>
      <c r="G88" s="29" t="s">
        <v>265</v>
      </c>
      <c r="H88" s="26">
        <v>453168</v>
      </c>
      <c r="I88" s="25"/>
    </row>
    <row r="89" spans="1:9" x14ac:dyDescent="0.25">
      <c r="A89" s="27">
        <v>46094</v>
      </c>
      <c r="B89" s="23" t="s">
        <v>153</v>
      </c>
      <c r="C89" s="24" t="s">
        <v>41</v>
      </c>
      <c r="D89" s="24" t="s">
        <v>148</v>
      </c>
      <c r="E89" s="23" t="s">
        <v>148</v>
      </c>
      <c r="F89" s="28" t="s">
        <v>155</v>
      </c>
      <c r="G89" s="29" t="s">
        <v>266</v>
      </c>
      <c r="H89" s="25"/>
      <c r="I89" s="26">
        <v>800000</v>
      </c>
    </row>
    <row r="90" spans="1:9" x14ac:dyDescent="0.25">
      <c r="A90" s="27">
        <v>46094</v>
      </c>
      <c r="B90" s="23" t="s">
        <v>201</v>
      </c>
      <c r="C90" s="24" t="s">
        <v>76</v>
      </c>
      <c r="D90" s="24" t="s">
        <v>148</v>
      </c>
      <c r="E90" s="23" t="s">
        <v>148</v>
      </c>
      <c r="F90" s="28" t="s">
        <v>267</v>
      </c>
      <c r="G90" s="29" t="s">
        <v>268</v>
      </c>
      <c r="H90" s="26">
        <v>260870</v>
      </c>
      <c r="I90" s="25"/>
    </row>
    <row r="91" spans="1:9" x14ac:dyDescent="0.25">
      <c r="A91" s="27">
        <v>46094</v>
      </c>
      <c r="B91" s="23" t="s">
        <v>201</v>
      </c>
      <c r="C91" s="24" t="s">
        <v>78</v>
      </c>
      <c r="D91" s="24" t="s">
        <v>148</v>
      </c>
      <c r="E91" s="23" t="s">
        <v>148</v>
      </c>
      <c r="F91" s="28" t="s">
        <v>269</v>
      </c>
      <c r="G91" s="29" t="s">
        <v>270</v>
      </c>
      <c r="H91" s="26">
        <v>90476.25</v>
      </c>
      <c r="I91" s="25"/>
    </row>
    <row r="92" spans="1:9" x14ac:dyDescent="0.25">
      <c r="A92" s="27">
        <v>46094</v>
      </c>
      <c r="B92" s="23" t="s">
        <v>153</v>
      </c>
      <c r="C92" s="24" t="s">
        <v>101</v>
      </c>
      <c r="D92" s="24" t="s">
        <v>148</v>
      </c>
      <c r="E92" s="23" t="s">
        <v>148</v>
      </c>
      <c r="F92" s="28" t="s">
        <v>205</v>
      </c>
      <c r="G92" s="29" t="s">
        <v>271</v>
      </c>
      <c r="H92" s="25"/>
      <c r="I92" s="26">
        <v>350000</v>
      </c>
    </row>
    <row r="93" spans="1:9" x14ac:dyDescent="0.25">
      <c r="A93" s="27">
        <v>46094</v>
      </c>
      <c r="B93" s="23" t="s">
        <v>153</v>
      </c>
      <c r="C93" s="24" t="s">
        <v>66</v>
      </c>
      <c r="D93" s="24" t="s">
        <v>148</v>
      </c>
      <c r="E93" s="23" t="s">
        <v>148</v>
      </c>
      <c r="F93" s="28" t="s">
        <v>227</v>
      </c>
      <c r="G93" s="29" t="s">
        <v>272</v>
      </c>
      <c r="H93" s="25"/>
      <c r="I93" s="26">
        <v>255000</v>
      </c>
    </row>
    <row r="94" spans="1:9" x14ac:dyDescent="0.25">
      <c r="A94" s="27">
        <v>46097</v>
      </c>
      <c r="B94" s="23" t="s">
        <v>153</v>
      </c>
      <c r="C94" s="24" t="s">
        <v>273</v>
      </c>
      <c r="D94" s="24" t="s">
        <v>148</v>
      </c>
      <c r="E94" s="23" t="s">
        <v>148</v>
      </c>
      <c r="F94" s="28" t="s">
        <v>205</v>
      </c>
      <c r="G94" s="29" t="s">
        <v>274</v>
      </c>
      <c r="H94" s="25"/>
      <c r="I94" s="26">
        <v>297290</v>
      </c>
    </row>
    <row r="95" spans="1:9" x14ac:dyDescent="0.25">
      <c r="A95" s="27">
        <v>46097</v>
      </c>
      <c r="B95" s="23" t="s">
        <v>153</v>
      </c>
      <c r="C95" s="24" t="s">
        <v>275</v>
      </c>
      <c r="D95" s="24" t="s">
        <v>148</v>
      </c>
      <c r="E95" s="23" t="s">
        <v>148</v>
      </c>
      <c r="F95" s="28" t="s">
        <v>155</v>
      </c>
      <c r="G95" s="29" t="s">
        <v>276</v>
      </c>
      <c r="H95" s="25"/>
      <c r="I95" s="26">
        <v>52879</v>
      </c>
    </row>
    <row r="96" spans="1:9" x14ac:dyDescent="0.25">
      <c r="A96" s="27">
        <v>46097</v>
      </c>
      <c r="B96" s="23" t="s">
        <v>153</v>
      </c>
      <c r="C96" s="24" t="s">
        <v>72</v>
      </c>
      <c r="D96" s="24" t="s">
        <v>148</v>
      </c>
      <c r="E96" s="23" t="s">
        <v>148</v>
      </c>
      <c r="F96" s="28" t="s">
        <v>159</v>
      </c>
      <c r="G96" s="29" t="s">
        <v>277</v>
      </c>
      <c r="H96" s="25"/>
      <c r="I96" s="26">
        <v>30295.599999999999</v>
      </c>
    </row>
    <row r="97" spans="1:9" x14ac:dyDescent="0.25">
      <c r="A97" s="27">
        <v>46097</v>
      </c>
      <c r="B97" s="23" t="s">
        <v>153</v>
      </c>
      <c r="C97" s="24" t="s">
        <v>278</v>
      </c>
      <c r="D97" s="24" t="s">
        <v>148</v>
      </c>
      <c r="E97" s="23" t="s">
        <v>148</v>
      </c>
      <c r="F97" s="28" t="s">
        <v>155</v>
      </c>
      <c r="G97" s="29" t="s">
        <v>279</v>
      </c>
      <c r="H97" s="25"/>
      <c r="I97" s="26">
        <v>168136.1</v>
      </c>
    </row>
    <row r="98" spans="1:9" x14ac:dyDescent="0.25">
      <c r="A98" s="27">
        <v>46097</v>
      </c>
      <c r="B98" s="23" t="s">
        <v>153</v>
      </c>
      <c r="C98" s="24" t="s">
        <v>280</v>
      </c>
      <c r="D98" s="24" t="s">
        <v>148</v>
      </c>
      <c r="E98" s="23" t="s">
        <v>148</v>
      </c>
      <c r="F98" s="28" t="s">
        <v>155</v>
      </c>
      <c r="G98" s="29" t="s">
        <v>281</v>
      </c>
      <c r="H98" s="25"/>
      <c r="I98" s="26">
        <v>151788</v>
      </c>
    </row>
    <row r="99" spans="1:9" x14ac:dyDescent="0.25">
      <c r="A99" s="27">
        <v>46097</v>
      </c>
      <c r="B99" s="23" t="s">
        <v>153</v>
      </c>
      <c r="C99" s="24" t="s">
        <v>62</v>
      </c>
      <c r="D99" s="24" t="s">
        <v>148</v>
      </c>
      <c r="E99" s="23" t="s">
        <v>148</v>
      </c>
      <c r="F99" s="28" t="s">
        <v>161</v>
      </c>
      <c r="G99" s="29" t="s">
        <v>282</v>
      </c>
      <c r="H99" s="25"/>
      <c r="I99" s="26">
        <v>200000</v>
      </c>
    </row>
    <row r="100" spans="1:9" x14ac:dyDescent="0.25">
      <c r="A100" s="27">
        <v>46097</v>
      </c>
      <c r="B100" s="23" t="s">
        <v>153</v>
      </c>
      <c r="C100" s="24" t="s">
        <v>283</v>
      </c>
      <c r="D100" s="24" t="s">
        <v>148</v>
      </c>
      <c r="E100" s="23" t="s">
        <v>148</v>
      </c>
      <c r="F100" s="28" t="s">
        <v>168</v>
      </c>
      <c r="G100" s="29" t="s">
        <v>284</v>
      </c>
      <c r="H100" s="25"/>
      <c r="I100" s="26">
        <v>300432</v>
      </c>
    </row>
    <row r="101" spans="1:9" x14ac:dyDescent="0.25">
      <c r="A101" s="27">
        <v>46097</v>
      </c>
      <c r="B101" s="23" t="s">
        <v>153</v>
      </c>
      <c r="C101" s="24" t="s">
        <v>285</v>
      </c>
      <c r="D101" s="24" t="s">
        <v>148</v>
      </c>
      <c r="E101" s="23" t="s">
        <v>148</v>
      </c>
      <c r="F101" s="28" t="s">
        <v>205</v>
      </c>
      <c r="G101" s="29" t="s">
        <v>286</v>
      </c>
      <c r="H101" s="25"/>
      <c r="I101" s="26">
        <v>128000</v>
      </c>
    </row>
    <row r="102" spans="1:9" x14ac:dyDescent="0.25">
      <c r="A102" s="27">
        <v>46097</v>
      </c>
      <c r="B102" s="23" t="s">
        <v>153</v>
      </c>
      <c r="C102" s="24" t="s">
        <v>287</v>
      </c>
      <c r="D102" s="24" t="s">
        <v>148</v>
      </c>
      <c r="E102" s="23" t="s">
        <v>148</v>
      </c>
      <c r="F102" s="28" t="s">
        <v>192</v>
      </c>
      <c r="G102" s="29" t="s">
        <v>288</v>
      </c>
      <c r="H102" s="25"/>
      <c r="I102" s="26">
        <v>491376</v>
      </c>
    </row>
    <row r="103" spans="1:9" x14ac:dyDescent="0.25">
      <c r="A103" s="27">
        <v>46097</v>
      </c>
      <c r="B103" s="23" t="s">
        <v>153</v>
      </c>
      <c r="C103" s="24" t="s">
        <v>100</v>
      </c>
      <c r="D103" s="24" t="s">
        <v>148</v>
      </c>
      <c r="E103" s="23" t="s">
        <v>148</v>
      </c>
      <c r="F103" s="28" t="s">
        <v>173</v>
      </c>
      <c r="G103" s="29" t="s">
        <v>289</v>
      </c>
      <c r="H103" s="25"/>
      <c r="I103" s="26">
        <v>526069</v>
      </c>
    </row>
    <row r="104" spans="1:9" x14ac:dyDescent="0.25">
      <c r="A104" s="27">
        <v>46097</v>
      </c>
      <c r="B104" s="23" t="s">
        <v>153</v>
      </c>
      <c r="C104" s="24" t="s">
        <v>48</v>
      </c>
      <c r="D104" s="24" t="s">
        <v>148</v>
      </c>
      <c r="E104" s="23" t="s">
        <v>148</v>
      </c>
      <c r="F104" s="28" t="s">
        <v>173</v>
      </c>
      <c r="G104" s="29" t="s">
        <v>290</v>
      </c>
      <c r="H104" s="25"/>
      <c r="I104" s="26">
        <v>331372.90000000002</v>
      </c>
    </row>
    <row r="105" spans="1:9" x14ac:dyDescent="0.25">
      <c r="A105" s="27">
        <v>46097</v>
      </c>
      <c r="B105" s="23" t="s">
        <v>201</v>
      </c>
      <c r="C105" s="24" t="s">
        <v>291</v>
      </c>
      <c r="D105" s="24" t="s">
        <v>148</v>
      </c>
      <c r="E105" s="23" t="s">
        <v>148</v>
      </c>
      <c r="F105" s="28" t="s">
        <v>207</v>
      </c>
      <c r="G105" s="29" t="s">
        <v>292</v>
      </c>
      <c r="H105" s="26">
        <v>300000</v>
      </c>
      <c r="I105" s="25"/>
    </row>
    <row r="106" spans="1:9" x14ac:dyDescent="0.25">
      <c r="A106" s="27">
        <v>46097</v>
      </c>
      <c r="B106" s="23" t="s">
        <v>201</v>
      </c>
      <c r="C106" s="24" t="s">
        <v>291</v>
      </c>
      <c r="D106" s="24" t="s">
        <v>148</v>
      </c>
      <c r="E106" s="23" t="s">
        <v>148</v>
      </c>
      <c r="F106" s="28" t="s">
        <v>207</v>
      </c>
      <c r="G106" s="29" t="s">
        <v>293</v>
      </c>
      <c r="H106" s="26">
        <v>100000</v>
      </c>
      <c r="I106" s="25"/>
    </row>
    <row r="107" spans="1:9" x14ac:dyDescent="0.25">
      <c r="A107" s="27">
        <v>46097</v>
      </c>
      <c r="B107" s="23" t="s">
        <v>201</v>
      </c>
      <c r="C107" s="24" t="s">
        <v>216</v>
      </c>
      <c r="D107" s="24" t="s">
        <v>148</v>
      </c>
      <c r="E107" s="23" t="s">
        <v>148</v>
      </c>
      <c r="F107" s="28" t="s">
        <v>264</v>
      </c>
      <c r="G107" s="29" t="s">
        <v>294</v>
      </c>
      <c r="H107" s="26">
        <v>99750</v>
      </c>
      <c r="I107" s="25"/>
    </row>
    <row r="108" spans="1:9" x14ac:dyDescent="0.25">
      <c r="A108" s="117" t="s">
        <v>148</v>
      </c>
      <c r="B108" s="117"/>
      <c r="C108" s="28" t="s">
        <v>80</v>
      </c>
      <c r="D108" s="24" t="s">
        <v>148</v>
      </c>
      <c r="E108" s="23" t="s">
        <v>148</v>
      </c>
      <c r="F108" s="23" t="s">
        <v>148</v>
      </c>
      <c r="G108" s="24" t="s">
        <v>148</v>
      </c>
      <c r="H108" s="30"/>
      <c r="I108" s="31">
        <v>99749.85</v>
      </c>
    </row>
    <row r="109" spans="1:9" x14ac:dyDescent="0.25">
      <c r="A109" s="117" t="s">
        <v>148</v>
      </c>
      <c r="B109" s="117"/>
      <c r="C109" s="28" t="s">
        <v>295</v>
      </c>
      <c r="D109" s="24" t="s">
        <v>148</v>
      </c>
      <c r="E109" s="23" t="s">
        <v>148</v>
      </c>
      <c r="F109" s="23" t="s">
        <v>148</v>
      </c>
      <c r="G109" s="24" t="s">
        <v>148</v>
      </c>
      <c r="H109" s="30"/>
      <c r="I109" s="31">
        <v>0.15</v>
      </c>
    </row>
    <row r="110" spans="1:9" x14ac:dyDescent="0.25">
      <c r="A110" s="27">
        <v>46097</v>
      </c>
      <c r="B110" s="23" t="s">
        <v>201</v>
      </c>
      <c r="C110" s="24" t="s">
        <v>296</v>
      </c>
      <c r="D110" s="24" t="s">
        <v>148</v>
      </c>
      <c r="E110" s="23" t="s">
        <v>148</v>
      </c>
      <c r="F110" s="28" t="s">
        <v>264</v>
      </c>
      <c r="G110" s="29" t="s">
        <v>297</v>
      </c>
      <c r="H110" s="26">
        <v>800625</v>
      </c>
      <c r="I110" s="25"/>
    </row>
    <row r="111" spans="1:9" x14ac:dyDescent="0.25">
      <c r="A111" s="27">
        <v>46097</v>
      </c>
      <c r="B111" s="23" t="s">
        <v>201</v>
      </c>
      <c r="C111" s="24" t="s">
        <v>56</v>
      </c>
      <c r="D111" s="24" t="s">
        <v>148</v>
      </c>
      <c r="E111" s="23" t="s">
        <v>148</v>
      </c>
      <c r="F111" s="28" t="s">
        <v>214</v>
      </c>
      <c r="G111" s="29" t="s">
        <v>298</v>
      </c>
      <c r="H111" s="26">
        <v>164787</v>
      </c>
      <c r="I111" s="25"/>
    </row>
    <row r="112" spans="1:9" x14ac:dyDescent="0.25">
      <c r="A112" s="27">
        <v>46097</v>
      </c>
      <c r="B112" s="23" t="s">
        <v>201</v>
      </c>
      <c r="C112" s="24" t="s">
        <v>56</v>
      </c>
      <c r="D112" s="24" t="s">
        <v>148</v>
      </c>
      <c r="E112" s="23" t="s">
        <v>148</v>
      </c>
      <c r="F112" s="28" t="s">
        <v>214</v>
      </c>
      <c r="G112" s="29" t="s">
        <v>299</v>
      </c>
      <c r="H112" s="26">
        <v>204555</v>
      </c>
      <c r="I112" s="25"/>
    </row>
    <row r="113" spans="1:9" x14ac:dyDescent="0.25">
      <c r="A113" s="27">
        <v>46097</v>
      </c>
      <c r="B113" s="23" t="s">
        <v>153</v>
      </c>
      <c r="C113" s="24" t="s">
        <v>300</v>
      </c>
      <c r="D113" s="24" t="s">
        <v>148</v>
      </c>
      <c r="E113" s="23" t="s">
        <v>148</v>
      </c>
      <c r="F113" s="28" t="s">
        <v>155</v>
      </c>
      <c r="G113" s="29" t="s">
        <v>301</v>
      </c>
      <c r="H113" s="25"/>
      <c r="I113" s="26">
        <v>63844.73</v>
      </c>
    </row>
    <row r="114" spans="1:9" x14ac:dyDescent="0.25">
      <c r="A114" s="27">
        <v>46097</v>
      </c>
      <c r="B114" s="23" t="s">
        <v>201</v>
      </c>
      <c r="C114" s="24" t="s">
        <v>95</v>
      </c>
      <c r="D114" s="24" t="s">
        <v>148</v>
      </c>
      <c r="E114" s="23" t="s">
        <v>148</v>
      </c>
      <c r="F114" s="28" t="s">
        <v>302</v>
      </c>
      <c r="G114" s="29" t="s">
        <v>303</v>
      </c>
      <c r="H114" s="26">
        <v>2656.92</v>
      </c>
      <c r="I114" s="25"/>
    </row>
    <row r="115" spans="1:9" x14ac:dyDescent="0.25">
      <c r="A115" s="27">
        <v>46098</v>
      </c>
      <c r="B115" s="23" t="s">
        <v>153</v>
      </c>
      <c r="C115" s="24" t="s">
        <v>41</v>
      </c>
      <c r="D115" s="24" t="s">
        <v>148</v>
      </c>
      <c r="E115" s="23" t="s">
        <v>148</v>
      </c>
      <c r="F115" s="28" t="s">
        <v>155</v>
      </c>
      <c r="G115" s="29" t="s">
        <v>304</v>
      </c>
      <c r="H115" s="25"/>
      <c r="I115" s="26">
        <v>800000</v>
      </c>
    </row>
    <row r="116" spans="1:9" x14ac:dyDescent="0.25">
      <c r="A116" s="27">
        <v>46098</v>
      </c>
      <c r="B116" s="23" t="s">
        <v>153</v>
      </c>
      <c r="C116" s="24" t="s">
        <v>143</v>
      </c>
      <c r="D116" s="24" t="s">
        <v>148</v>
      </c>
      <c r="E116" s="23" t="s">
        <v>148</v>
      </c>
      <c r="F116" s="28" t="s">
        <v>155</v>
      </c>
      <c r="G116" s="29" t="s">
        <v>305</v>
      </c>
      <c r="H116" s="25"/>
      <c r="I116" s="26">
        <v>929076.45</v>
      </c>
    </row>
    <row r="117" spans="1:9" x14ac:dyDescent="0.25">
      <c r="A117" s="27">
        <v>46098</v>
      </c>
      <c r="B117" s="23" t="s">
        <v>153</v>
      </c>
      <c r="C117" s="24" t="s">
        <v>43</v>
      </c>
      <c r="D117" s="24" t="s">
        <v>148</v>
      </c>
      <c r="E117" s="23" t="s">
        <v>148</v>
      </c>
      <c r="F117" s="28" t="s">
        <v>161</v>
      </c>
      <c r="G117" s="29" t="s">
        <v>306</v>
      </c>
      <c r="H117" s="25"/>
      <c r="I117" s="26">
        <v>1185955.8899999999</v>
      </c>
    </row>
    <row r="118" spans="1:9" x14ac:dyDescent="0.25">
      <c r="A118" s="27">
        <v>46098</v>
      </c>
      <c r="B118" s="23" t="s">
        <v>201</v>
      </c>
      <c r="C118" s="24" t="s">
        <v>57</v>
      </c>
      <c r="D118" s="24" t="s">
        <v>148</v>
      </c>
      <c r="E118" s="23" t="s">
        <v>148</v>
      </c>
      <c r="F118" s="28" t="s">
        <v>307</v>
      </c>
      <c r="G118" s="29" t="s">
        <v>308</v>
      </c>
      <c r="H118" s="26">
        <v>267750</v>
      </c>
      <c r="I118" s="25"/>
    </row>
    <row r="119" spans="1:9" x14ac:dyDescent="0.25">
      <c r="A119" s="27">
        <v>46098</v>
      </c>
      <c r="B119" s="23" t="s">
        <v>153</v>
      </c>
      <c r="C119" s="24" t="s">
        <v>52</v>
      </c>
      <c r="D119" s="24" t="s">
        <v>148</v>
      </c>
      <c r="E119" s="23" t="s">
        <v>148</v>
      </c>
      <c r="F119" s="28" t="s">
        <v>192</v>
      </c>
      <c r="G119" s="29" t="s">
        <v>309</v>
      </c>
      <c r="H119" s="25"/>
      <c r="I119" s="26">
        <v>8626</v>
      </c>
    </row>
    <row r="120" spans="1:9" x14ac:dyDescent="0.25">
      <c r="A120" s="27">
        <v>46098</v>
      </c>
      <c r="B120" s="23" t="s">
        <v>153</v>
      </c>
      <c r="C120" s="24" t="s">
        <v>51</v>
      </c>
      <c r="D120" s="24" t="s">
        <v>148</v>
      </c>
      <c r="E120" s="23" t="s">
        <v>148</v>
      </c>
      <c r="F120" s="28" t="s">
        <v>155</v>
      </c>
      <c r="G120" s="29" t="s">
        <v>310</v>
      </c>
      <c r="H120" s="25"/>
      <c r="I120" s="26">
        <v>66413</v>
      </c>
    </row>
    <row r="121" spans="1:9" x14ac:dyDescent="0.25">
      <c r="A121" s="27">
        <v>46098</v>
      </c>
      <c r="B121" s="23" t="s">
        <v>153</v>
      </c>
      <c r="C121" s="24" t="s">
        <v>311</v>
      </c>
      <c r="D121" s="24" t="s">
        <v>148</v>
      </c>
      <c r="E121" s="23" t="s">
        <v>148</v>
      </c>
      <c r="F121" s="28" t="s">
        <v>192</v>
      </c>
      <c r="G121" s="29" t="s">
        <v>312</v>
      </c>
      <c r="H121" s="25"/>
      <c r="I121" s="26">
        <v>14256</v>
      </c>
    </row>
    <row r="122" spans="1:9" x14ac:dyDescent="0.25">
      <c r="A122" s="27">
        <v>46098</v>
      </c>
      <c r="B122" s="23" t="s">
        <v>153</v>
      </c>
      <c r="C122" s="24" t="s">
        <v>83</v>
      </c>
      <c r="D122" s="24" t="s">
        <v>148</v>
      </c>
      <c r="E122" s="23" t="s">
        <v>148</v>
      </c>
      <c r="F122" s="28" t="s">
        <v>168</v>
      </c>
      <c r="G122" s="29" t="s">
        <v>313</v>
      </c>
      <c r="H122" s="25"/>
      <c r="I122" s="26">
        <v>13434</v>
      </c>
    </row>
    <row r="123" spans="1:9" x14ac:dyDescent="0.25">
      <c r="A123" s="27">
        <v>46098</v>
      </c>
      <c r="B123" s="23" t="s">
        <v>153</v>
      </c>
      <c r="C123" s="24" t="s">
        <v>69</v>
      </c>
      <c r="D123" s="24" t="s">
        <v>148</v>
      </c>
      <c r="E123" s="23" t="s">
        <v>148</v>
      </c>
      <c r="F123" s="28" t="s">
        <v>227</v>
      </c>
      <c r="G123" s="29" t="s">
        <v>314</v>
      </c>
      <c r="H123" s="25"/>
      <c r="I123" s="26">
        <v>74293</v>
      </c>
    </row>
    <row r="124" spans="1:9" x14ac:dyDescent="0.25">
      <c r="A124" s="27">
        <v>46098</v>
      </c>
      <c r="B124" s="23" t="s">
        <v>153</v>
      </c>
      <c r="C124" s="24" t="s">
        <v>315</v>
      </c>
      <c r="D124" s="24" t="s">
        <v>148</v>
      </c>
      <c r="E124" s="23" t="s">
        <v>148</v>
      </c>
      <c r="F124" s="28" t="s">
        <v>171</v>
      </c>
      <c r="G124" s="29" t="s">
        <v>316</v>
      </c>
      <c r="H124" s="25"/>
      <c r="I124" s="26">
        <v>15670</v>
      </c>
    </row>
    <row r="125" spans="1:9" x14ac:dyDescent="0.25">
      <c r="A125" s="27">
        <v>46098</v>
      </c>
      <c r="B125" s="23" t="s">
        <v>153</v>
      </c>
      <c r="C125" s="24" t="s">
        <v>317</v>
      </c>
      <c r="D125" s="24" t="s">
        <v>148</v>
      </c>
      <c r="E125" s="23" t="s">
        <v>148</v>
      </c>
      <c r="F125" s="28" t="s">
        <v>192</v>
      </c>
      <c r="G125" s="29" t="s">
        <v>318</v>
      </c>
      <c r="H125" s="25"/>
      <c r="I125" s="26">
        <v>13053</v>
      </c>
    </row>
    <row r="126" spans="1:9" x14ac:dyDescent="0.25">
      <c r="A126" s="27">
        <v>46098</v>
      </c>
      <c r="B126" s="23" t="s">
        <v>153</v>
      </c>
      <c r="C126" s="24" t="s">
        <v>285</v>
      </c>
      <c r="D126" s="24" t="s">
        <v>148</v>
      </c>
      <c r="E126" s="23" t="s">
        <v>148</v>
      </c>
      <c r="F126" s="28" t="s">
        <v>235</v>
      </c>
      <c r="G126" s="29" t="s">
        <v>319</v>
      </c>
      <c r="H126" s="25"/>
      <c r="I126" s="26">
        <v>174080</v>
      </c>
    </row>
    <row r="127" spans="1:9" x14ac:dyDescent="0.25">
      <c r="A127" s="27">
        <v>46098</v>
      </c>
      <c r="B127" s="23" t="s">
        <v>201</v>
      </c>
      <c r="C127" s="24" t="s">
        <v>55</v>
      </c>
      <c r="D127" s="24" t="s">
        <v>148</v>
      </c>
      <c r="E127" s="23" t="s">
        <v>148</v>
      </c>
      <c r="F127" s="28" t="s">
        <v>207</v>
      </c>
      <c r="G127" s="29" t="s">
        <v>320</v>
      </c>
      <c r="H127" s="26">
        <v>500000</v>
      </c>
      <c r="I127" s="25"/>
    </row>
    <row r="128" spans="1:9" x14ac:dyDescent="0.25">
      <c r="A128" s="27">
        <v>46098</v>
      </c>
      <c r="B128" s="23" t="s">
        <v>201</v>
      </c>
      <c r="C128" s="24" t="s">
        <v>321</v>
      </c>
      <c r="D128" s="24" t="s">
        <v>148</v>
      </c>
      <c r="E128" s="23" t="s">
        <v>148</v>
      </c>
      <c r="F128" s="28" t="s">
        <v>214</v>
      </c>
      <c r="G128" s="29" t="s">
        <v>322</v>
      </c>
      <c r="H128" s="26">
        <v>191924.42</v>
      </c>
      <c r="I128" s="25"/>
    </row>
    <row r="129" spans="1:9" x14ac:dyDescent="0.25">
      <c r="A129" s="27">
        <v>46098</v>
      </c>
      <c r="B129" s="23" t="s">
        <v>201</v>
      </c>
      <c r="C129" s="24" t="s">
        <v>56</v>
      </c>
      <c r="D129" s="24" t="s">
        <v>148</v>
      </c>
      <c r="E129" s="23" t="s">
        <v>148</v>
      </c>
      <c r="F129" s="28" t="s">
        <v>214</v>
      </c>
      <c r="G129" s="29" t="s">
        <v>323</v>
      </c>
      <c r="H129" s="26">
        <v>154557</v>
      </c>
      <c r="I129" s="25"/>
    </row>
    <row r="130" spans="1:9" x14ac:dyDescent="0.25">
      <c r="A130" s="27">
        <v>46098</v>
      </c>
      <c r="B130" s="23" t="s">
        <v>201</v>
      </c>
      <c r="C130" s="24" t="s">
        <v>324</v>
      </c>
      <c r="D130" s="24" t="s">
        <v>148</v>
      </c>
      <c r="E130" s="23" t="s">
        <v>148</v>
      </c>
      <c r="F130" s="28" t="s">
        <v>221</v>
      </c>
      <c r="G130" s="29" t="s">
        <v>325</v>
      </c>
      <c r="H130" s="26">
        <v>45895</v>
      </c>
      <c r="I130" s="25"/>
    </row>
    <row r="131" spans="1:9" x14ac:dyDescent="0.25">
      <c r="A131" s="27">
        <v>46098</v>
      </c>
      <c r="B131" s="23" t="s">
        <v>201</v>
      </c>
      <c r="C131" s="24" t="s">
        <v>326</v>
      </c>
      <c r="D131" s="24" t="s">
        <v>148</v>
      </c>
      <c r="E131" s="23" t="s">
        <v>148</v>
      </c>
      <c r="F131" s="28" t="s">
        <v>207</v>
      </c>
      <c r="G131" s="29" t="s">
        <v>327</v>
      </c>
      <c r="H131" s="26">
        <v>600000</v>
      </c>
      <c r="I131" s="25"/>
    </row>
    <row r="132" spans="1:9" x14ac:dyDescent="0.25">
      <c r="A132" s="27">
        <v>46098</v>
      </c>
      <c r="B132" s="23" t="s">
        <v>201</v>
      </c>
      <c r="C132" s="24" t="s">
        <v>328</v>
      </c>
      <c r="D132" s="24" t="s">
        <v>148</v>
      </c>
      <c r="E132" s="23" t="s">
        <v>148</v>
      </c>
      <c r="F132" s="28" t="s">
        <v>329</v>
      </c>
      <c r="G132" s="29" t="s">
        <v>330</v>
      </c>
      <c r="H132" s="26">
        <v>260780</v>
      </c>
      <c r="I132" s="25"/>
    </row>
    <row r="133" spans="1:9" x14ac:dyDescent="0.25">
      <c r="A133" s="27">
        <v>46098</v>
      </c>
      <c r="B133" s="23" t="s">
        <v>201</v>
      </c>
      <c r="C133" s="24" t="s">
        <v>87</v>
      </c>
      <c r="D133" s="24" t="s">
        <v>148</v>
      </c>
      <c r="E133" s="23" t="s">
        <v>148</v>
      </c>
      <c r="F133" s="28" t="s">
        <v>261</v>
      </c>
      <c r="G133" s="29" t="s">
        <v>331</v>
      </c>
      <c r="H133" s="26">
        <v>526143</v>
      </c>
      <c r="I133" s="25"/>
    </row>
    <row r="134" spans="1:9" x14ac:dyDescent="0.25">
      <c r="A134" s="27">
        <v>46098</v>
      </c>
      <c r="B134" s="23" t="s">
        <v>201</v>
      </c>
      <c r="C134" s="24" t="s">
        <v>87</v>
      </c>
      <c r="D134" s="24" t="s">
        <v>148</v>
      </c>
      <c r="E134" s="23" t="s">
        <v>148</v>
      </c>
      <c r="F134" s="28" t="s">
        <v>261</v>
      </c>
      <c r="G134" s="29" t="s">
        <v>332</v>
      </c>
      <c r="H134" s="26">
        <v>1000000</v>
      </c>
      <c r="I134" s="25"/>
    </row>
    <row r="135" spans="1:9" x14ac:dyDescent="0.25">
      <c r="A135" s="27">
        <v>46098</v>
      </c>
      <c r="B135" s="23" t="s">
        <v>201</v>
      </c>
      <c r="C135" s="24" t="s">
        <v>60</v>
      </c>
      <c r="D135" s="24" t="s">
        <v>148</v>
      </c>
      <c r="E135" s="23" t="s">
        <v>148</v>
      </c>
      <c r="F135" s="28" t="s">
        <v>221</v>
      </c>
      <c r="G135" s="29" t="s">
        <v>333</v>
      </c>
      <c r="H135" s="26">
        <v>346626</v>
      </c>
      <c r="I135" s="25"/>
    </row>
    <row r="136" spans="1:9" x14ac:dyDescent="0.25">
      <c r="A136" s="27">
        <v>46098</v>
      </c>
      <c r="B136" s="23" t="s">
        <v>201</v>
      </c>
      <c r="C136" s="24" t="s">
        <v>89</v>
      </c>
      <c r="D136" s="24" t="s">
        <v>148</v>
      </c>
      <c r="E136" s="23" t="s">
        <v>148</v>
      </c>
      <c r="F136" s="28" t="s">
        <v>267</v>
      </c>
      <c r="G136" s="29" t="s">
        <v>334</v>
      </c>
      <c r="H136" s="26">
        <v>881160</v>
      </c>
      <c r="I136" s="25"/>
    </row>
    <row r="137" spans="1:9" x14ac:dyDescent="0.25">
      <c r="A137" s="27">
        <v>46098</v>
      </c>
      <c r="B137" s="23" t="s">
        <v>201</v>
      </c>
      <c r="C137" s="24" t="s">
        <v>59</v>
      </c>
      <c r="D137" s="24" t="s">
        <v>148</v>
      </c>
      <c r="E137" s="23" t="s">
        <v>148</v>
      </c>
      <c r="F137" s="28" t="s">
        <v>221</v>
      </c>
      <c r="G137" s="29" t="s">
        <v>335</v>
      </c>
      <c r="H137" s="26">
        <v>495600</v>
      </c>
      <c r="I137" s="25"/>
    </row>
    <row r="138" spans="1:9" x14ac:dyDescent="0.25">
      <c r="A138" s="27">
        <v>46099</v>
      </c>
      <c r="B138" s="23" t="s">
        <v>153</v>
      </c>
      <c r="C138" s="24" t="s">
        <v>66</v>
      </c>
      <c r="D138" s="24" t="s">
        <v>148</v>
      </c>
      <c r="E138" s="23" t="s">
        <v>148</v>
      </c>
      <c r="F138" s="28" t="s">
        <v>227</v>
      </c>
      <c r="G138" s="29" t="s">
        <v>336</v>
      </c>
      <c r="H138" s="25"/>
      <c r="I138" s="26">
        <v>500000</v>
      </c>
    </row>
    <row r="139" spans="1:9" x14ac:dyDescent="0.25">
      <c r="A139" s="27">
        <v>46099</v>
      </c>
      <c r="B139" s="23" t="s">
        <v>153</v>
      </c>
      <c r="C139" s="24" t="s">
        <v>66</v>
      </c>
      <c r="D139" s="24" t="s">
        <v>148</v>
      </c>
      <c r="E139" s="23" t="s">
        <v>148</v>
      </c>
      <c r="F139" s="28" t="s">
        <v>227</v>
      </c>
      <c r="G139" s="29" t="s">
        <v>337</v>
      </c>
      <c r="H139" s="25"/>
      <c r="I139" s="26">
        <v>500000</v>
      </c>
    </row>
    <row r="140" spans="1:9" x14ac:dyDescent="0.25">
      <c r="A140" s="27">
        <v>46099</v>
      </c>
      <c r="B140" s="23" t="s">
        <v>153</v>
      </c>
      <c r="C140" s="24" t="s">
        <v>63</v>
      </c>
      <c r="D140" s="24" t="s">
        <v>148</v>
      </c>
      <c r="E140" s="23" t="s">
        <v>148</v>
      </c>
      <c r="F140" s="28" t="s">
        <v>157</v>
      </c>
      <c r="G140" s="29" t="s">
        <v>338</v>
      </c>
      <c r="H140" s="25"/>
      <c r="I140" s="26">
        <v>1306066</v>
      </c>
    </row>
    <row r="141" spans="1:9" x14ac:dyDescent="0.25">
      <c r="A141" s="27">
        <v>46099</v>
      </c>
      <c r="B141" s="23" t="s">
        <v>153</v>
      </c>
      <c r="C141" s="24" t="s">
        <v>70</v>
      </c>
      <c r="D141" s="24" t="s">
        <v>148</v>
      </c>
      <c r="E141" s="23" t="s">
        <v>148</v>
      </c>
      <c r="F141" s="28" t="s">
        <v>205</v>
      </c>
      <c r="G141" s="29" t="s">
        <v>339</v>
      </c>
      <c r="H141" s="25"/>
      <c r="I141" s="26">
        <v>243600</v>
      </c>
    </row>
    <row r="142" spans="1:9" x14ac:dyDescent="0.25">
      <c r="A142" s="27">
        <v>46099</v>
      </c>
      <c r="B142" s="23" t="s">
        <v>153</v>
      </c>
      <c r="C142" s="24" t="s">
        <v>340</v>
      </c>
      <c r="D142" s="24" t="s">
        <v>148</v>
      </c>
      <c r="E142" s="23" t="s">
        <v>148</v>
      </c>
      <c r="F142" s="28" t="s">
        <v>157</v>
      </c>
      <c r="G142" s="29" t="s">
        <v>341</v>
      </c>
      <c r="H142" s="25"/>
      <c r="I142" s="26">
        <v>917770</v>
      </c>
    </row>
    <row r="143" spans="1:9" x14ac:dyDescent="0.25">
      <c r="A143" s="27">
        <v>46099</v>
      </c>
      <c r="B143" s="23" t="s">
        <v>153</v>
      </c>
      <c r="C143" s="24" t="s">
        <v>342</v>
      </c>
      <c r="D143" s="24" t="s">
        <v>148</v>
      </c>
      <c r="E143" s="23" t="s">
        <v>148</v>
      </c>
      <c r="F143" s="28" t="s">
        <v>157</v>
      </c>
      <c r="G143" s="29" t="s">
        <v>343</v>
      </c>
      <c r="H143" s="25"/>
      <c r="I143" s="26">
        <v>1193964.3999999999</v>
      </c>
    </row>
    <row r="144" spans="1:9" x14ac:dyDescent="0.25">
      <c r="A144" s="27">
        <v>46099</v>
      </c>
      <c r="B144" s="23" t="s">
        <v>153</v>
      </c>
      <c r="C144" s="24" t="s">
        <v>73</v>
      </c>
      <c r="D144" s="24" t="s">
        <v>148</v>
      </c>
      <c r="E144" s="23" t="s">
        <v>148</v>
      </c>
      <c r="F144" s="28" t="s">
        <v>227</v>
      </c>
      <c r="G144" s="29" t="s">
        <v>344</v>
      </c>
      <c r="H144" s="25"/>
      <c r="I144" s="26">
        <v>700000</v>
      </c>
    </row>
    <row r="145" spans="1:9" x14ac:dyDescent="0.25">
      <c r="A145" s="27">
        <v>46099</v>
      </c>
      <c r="B145" s="23" t="s">
        <v>153</v>
      </c>
      <c r="C145" s="24" t="s">
        <v>345</v>
      </c>
      <c r="D145" s="24" t="s">
        <v>148</v>
      </c>
      <c r="E145" s="23" t="s">
        <v>148</v>
      </c>
      <c r="F145" s="28" t="s">
        <v>155</v>
      </c>
      <c r="G145" s="29" t="s">
        <v>346</v>
      </c>
      <c r="H145" s="25"/>
      <c r="I145" s="26">
        <v>11700</v>
      </c>
    </row>
    <row r="146" spans="1:9" x14ac:dyDescent="0.25">
      <c r="A146" s="27">
        <v>46099</v>
      </c>
      <c r="B146" s="23" t="s">
        <v>153</v>
      </c>
      <c r="C146" s="24" t="s">
        <v>347</v>
      </c>
      <c r="D146" s="24" t="s">
        <v>148</v>
      </c>
      <c r="E146" s="23" t="s">
        <v>148</v>
      </c>
      <c r="F146" s="28" t="s">
        <v>155</v>
      </c>
      <c r="G146" s="29" t="s">
        <v>348</v>
      </c>
      <c r="H146" s="25"/>
      <c r="I146" s="26">
        <v>22973</v>
      </c>
    </row>
    <row r="147" spans="1:9" x14ac:dyDescent="0.25">
      <c r="A147" s="27">
        <v>46099</v>
      </c>
      <c r="B147" s="23" t="s">
        <v>153</v>
      </c>
      <c r="C147" s="24" t="s">
        <v>349</v>
      </c>
      <c r="D147" s="24" t="s">
        <v>148</v>
      </c>
      <c r="E147" s="23" t="s">
        <v>148</v>
      </c>
      <c r="F147" s="28" t="s">
        <v>164</v>
      </c>
      <c r="G147" s="29" t="s">
        <v>350</v>
      </c>
      <c r="H147" s="25"/>
      <c r="I147" s="26">
        <v>537530</v>
      </c>
    </row>
    <row r="148" spans="1:9" x14ac:dyDescent="0.25">
      <c r="A148" s="27">
        <v>46099</v>
      </c>
      <c r="B148" s="23" t="s">
        <v>153</v>
      </c>
      <c r="C148" s="24" t="s">
        <v>90</v>
      </c>
      <c r="D148" s="24" t="s">
        <v>148</v>
      </c>
      <c r="E148" s="23" t="s">
        <v>148</v>
      </c>
      <c r="F148" s="28" t="s">
        <v>168</v>
      </c>
      <c r="G148" s="29" t="s">
        <v>351</v>
      </c>
      <c r="H148" s="25"/>
      <c r="I148" s="26">
        <v>500000</v>
      </c>
    </row>
    <row r="149" spans="1:9" x14ac:dyDescent="0.25">
      <c r="A149" s="27">
        <v>46099</v>
      </c>
      <c r="B149" s="23" t="s">
        <v>153</v>
      </c>
      <c r="C149" s="24" t="s">
        <v>74</v>
      </c>
      <c r="D149" s="24" t="s">
        <v>148</v>
      </c>
      <c r="E149" s="23" t="s">
        <v>148</v>
      </c>
      <c r="F149" s="28" t="s">
        <v>157</v>
      </c>
      <c r="G149" s="29" t="s">
        <v>352</v>
      </c>
      <c r="H149" s="25"/>
      <c r="I149" s="26">
        <v>357387.06</v>
      </c>
    </row>
    <row r="150" spans="1:9" x14ac:dyDescent="0.25">
      <c r="A150" s="27">
        <v>46099</v>
      </c>
      <c r="B150" s="23" t="s">
        <v>153</v>
      </c>
      <c r="C150" s="24" t="s">
        <v>353</v>
      </c>
      <c r="D150" s="24" t="s">
        <v>148</v>
      </c>
      <c r="E150" s="23" t="s">
        <v>148</v>
      </c>
      <c r="F150" s="28" t="s">
        <v>171</v>
      </c>
      <c r="G150" s="29" t="s">
        <v>354</v>
      </c>
      <c r="H150" s="25"/>
      <c r="I150" s="26">
        <v>339570</v>
      </c>
    </row>
    <row r="151" spans="1:9" x14ac:dyDescent="0.25">
      <c r="A151" s="27">
        <v>46099</v>
      </c>
      <c r="B151" s="23" t="s">
        <v>153</v>
      </c>
      <c r="C151" s="24" t="s">
        <v>355</v>
      </c>
      <c r="D151" s="24" t="s">
        <v>148</v>
      </c>
      <c r="E151" s="23" t="s">
        <v>148</v>
      </c>
      <c r="F151" s="28" t="s">
        <v>168</v>
      </c>
      <c r="G151" s="29" t="s">
        <v>356</v>
      </c>
      <c r="H151" s="25"/>
      <c r="I151" s="26">
        <v>319480</v>
      </c>
    </row>
    <row r="152" spans="1:9" x14ac:dyDescent="0.25">
      <c r="A152" s="27">
        <v>46099</v>
      </c>
      <c r="B152" s="23" t="s">
        <v>153</v>
      </c>
      <c r="C152" s="24" t="s">
        <v>357</v>
      </c>
      <c r="D152" s="24" t="s">
        <v>148</v>
      </c>
      <c r="E152" s="23" t="s">
        <v>148</v>
      </c>
      <c r="F152" s="28" t="s">
        <v>159</v>
      </c>
      <c r="G152" s="29" t="s">
        <v>358</v>
      </c>
      <c r="H152" s="25"/>
      <c r="I152" s="26">
        <v>349401.52</v>
      </c>
    </row>
    <row r="153" spans="1:9" x14ac:dyDescent="0.25">
      <c r="A153" s="27">
        <v>46099</v>
      </c>
      <c r="B153" s="23" t="s">
        <v>153</v>
      </c>
      <c r="C153" s="24" t="s">
        <v>359</v>
      </c>
      <c r="D153" s="24" t="s">
        <v>148</v>
      </c>
      <c r="E153" s="23" t="s">
        <v>148</v>
      </c>
      <c r="F153" s="28" t="s">
        <v>159</v>
      </c>
      <c r="G153" s="29" t="s">
        <v>360</v>
      </c>
      <c r="H153" s="25"/>
      <c r="I153" s="26">
        <v>199684.25</v>
      </c>
    </row>
    <row r="154" spans="1:9" x14ac:dyDescent="0.25">
      <c r="A154" s="27">
        <v>46099</v>
      </c>
      <c r="B154" s="23" t="s">
        <v>153</v>
      </c>
      <c r="C154" s="24" t="s">
        <v>361</v>
      </c>
      <c r="D154" s="24" t="s">
        <v>148</v>
      </c>
      <c r="E154" s="23" t="s">
        <v>148</v>
      </c>
      <c r="F154" s="28" t="s">
        <v>171</v>
      </c>
      <c r="G154" s="29" t="s">
        <v>362</v>
      </c>
      <c r="H154" s="25"/>
      <c r="I154" s="26">
        <v>125517.81</v>
      </c>
    </row>
    <row r="155" spans="1:9" x14ac:dyDescent="0.25">
      <c r="A155" s="27">
        <v>46099</v>
      </c>
      <c r="B155" s="23" t="s">
        <v>153</v>
      </c>
      <c r="C155" s="24" t="s">
        <v>64</v>
      </c>
      <c r="D155" s="24" t="s">
        <v>148</v>
      </c>
      <c r="E155" s="23" t="s">
        <v>148</v>
      </c>
      <c r="F155" s="28" t="s">
        <v>227</v>
      </c>
      <c r="G155" s="29" t="s">
        <v>363</v>
      </c>
      <c r="H155" s="25"/>
      <c r="I155" s="26">
        <v>400000</v>
      </c>
    </row>
    <row r="156" spans="1:9" x14ac:dyDescent="0.25">
      <c r="A156" s="27">
        <v>46099</v>
      </c>
      <c r="B156" s="23" t="s">
        <v>153</v>
      </c>
      <c r="C156" s="24" t="s">
        <v>94</v>
      </c>
      <c r="D156" s="24" t="s">
        <v>148</v>
      </c>
      <c r="E156" s="23" t="s">
        <v>148</v>
      </c>
      <c r="F156" s="28" t="s">
        <v>159</v>
      </c>
      <c r="G156" s="29" t="s">
        <v>364</v>
      </c>
      <c r="H156" s="25"/>
      <c r="I156" s="26">
        <v>18813.43</v>
      </c>
    </row>
    <row r="157" spans="1:9" x14ac:dyDescent="0.25">
      <c r="A157" s="27">
        <v>46099</v>
      </c>
      <c r="B157" s="23" t="s">
        <v>201</v>
      </c>
      <c r="C157" s="24" t="s">
        <v>365</v>
      </c>
      <c r="D157" s="24" t="s">
        <v>148</v>
      </c>
      <c r="E157" s="23" t="s">
        <v>148</v>
      </c>
      <c r="F157" s="28" t="s">
        <v>267</v>
      </c>
      <c r="G157" s="29" t="s">
        <v>366</v>
      </c>
      <c r="H157" s="26">
        <v>682710</v>
      </c>
      <c r="I157" s="25"/>
    </row>
    <row r="158" spans="1:9" x14ac:dyDescent="0.25">
      <c r="A158" s="27">
        <v>46099</v>
      </c>
      <c r="B158" s="23" t="s">
        <v>201</v>
      </c>
      <c r="C158" s="24" t="s">
        <v>88</v>
      </c>
      <c r="D158" s="24" t="s">
        <v>148</v>
      </c>
      <c r="E158" s="23" t="s">
        <v>148</v>
      </c>
      <c r="F158" s="28" t="s">
        <v>267</v>
      </c>
      <c r="G158" s="29" t="s">
        <v>367</v>
      </c>
      <c r="H158" s="26">
        <v>1205820</v>
      </c>
      <c r="I158" s="25"/>
    </row>
    <row r="159" spans="1:9" x14ac:dyDescent="0.25">
      <c r="A159" s="27">
        <v>46099</v>
      </c>
      <c r="B159" s="23" t="s">
        <v>201</v>
      </c>
      <c r="C159" s="24" t="s">
        <v>61</v>
      </c>
      <c r="D159" s="24" t="s">
        <v>148</v>
      </c>
      <c r="E159" s="23" t="s">
        <v>148</v>
      </c>
      <c r="F159" s="28" t="s">
        <v>329</v>
      </c>
      <c r="G159" s="29" t="s">
        <v>368</v>
      </c>
      <c r="H159" s="26">
        <v>906240</v>
      </c>
      <c r="I159" s="25"/>
    </row>
    <row r="160" spans="1:9" x14ac:dyDescent="0.25">
      <c r="A160" s="27">
        <v>46100</v>
      </c>
      <c r="B160" s="23" t="s">
        <v>153</v>
      </c>
      <c r="C160" s="24" t="s">
        <v>369</v>
      </c>
      <c r="D160" s="24" t="s">
        <v>148</v>
      </c>
      <c r="E160" s="23" t="s">
        <v>148</v>
      </c>
      <c r="F160" s="28" t="s">
        <v>155</v>
      </c>
      <c r="G160" s="29" t="s">
        <v>370</v>
      </c>
      <c r="H160" s="25"/>
      <c r="I160" s="26">
        <v>305835</v>
      </c>
    </row>
    <row r="161" spans="1:9" x14ac:dyDescent="0.25">
      <c r="A161" s="27">
        <v>46100</v>
      </c>
      <c r="B161" s="23" t="s">
        <v>153</v>
      </c>
      <c r="C161" s="24" t="s">
        <v>92</v>
      </c>
      <c r="D161" s="24" t="s">
        <v>148</v>
      </c>
      <c r="E161" s="23" t="s">
        <v>148</v>
      </c>
      <c r="F161" s="28" t="s">
        <v>155</v>
      </c>
      <c r="G161" s="29" t="s">
        <v>371</v>
      </c>
      <c r="H161" s="25"/>
      <c r="I161" s="26">
        <v>134568</v>
      </c>
    </row>
    <row r="162" spans="1:9" x14ac:dyDescent="0.25">
      <c r="A162" s="27">
        <v>46100</v>
      </c>
      <c r="B162" s="23" t="s">
        <v>153</v>
      </c>
      <c r="C162" s="24" t="s">
        <v>91</v>
      </c>
      <c r="D162" s="24" t="s">
        <v>148</v>
      </c>
      <c r="E162" s="23" t="s">
        <v>148</v>
      </c>
      <c r="F162" s="28" t="s">
        <v>155</v>
      </c>
      <c r="G162" s="29" t="s">
        <v>372</v>
      </c>
      <c r="H162" s="25"/>
      <c r="I162" s="26">
        <v>179688</v>
      </c>
    </row>
    <row r="163" spans="1:9" x14ac:dyDescent="0.25">
      <c r="A163" s="27">
        <v>46100</v>
      </c>
      <c r="B163" s="23" t="s">
        <v>153</v>
      </c>
      <c r="C163" s="24" t="s">
        <v>373</v>
      </c>
      <c r="D163" s="24" t="s">
        <v>148</v>
      </c>
      <c r="E163" s="23" t="s">
        <v>148</v>
      </c>
      <c r="F163" s="28" t="s">
        <v>155</v>
      </c>
      <c r="G163" s="29" t="s">
        <v>374</v>
      </c>
      <c r="H163" s="25"/>
      <c r="I163" s="26">
        <v>155258.44</v>
      </c>
    </row>
    <row r="164" spans="1:9" x14ac:dyDescent="0.25">
      <c r="A164" s="27">
        <v>46100</v>
      </c>
      <c r="B164" s="23" t="s">
        <v>153</v>
      </c>
      <c r="C164" s="24" t="s">
        <v>71</v>
      </c>
      <c r="D164" s="24" t="s">
        <v>148</v>
      </c>
      <c r="E164" s="23" t="s">
        <v>148</v>
      </c>
      <c r="F164" s="28" t="s">
        <v>171</v>
      </c>
      <c r="G164" s="29" t="s">
        <v>375</v>
      </c>
      <c r="H164" s="25"/>
      <c r="I164" s="26">
        <v>128960</v>
      </c>
    </row>
    <row r="165" spans="1:9" x14ac:dyDescent="0.25">
      <c r="A165" s="27">
        <v>46100</v>
      </c>
      <c r="B165" s="23" t="s">
        <v>153</v>
      </c>
      <c r="C165" s="24" t="s">
        <v>140</v>
      </c>
      <c r="D165" s="24" t="s">
        <v>148</v>
      </c>
      <c r="E165" s="23" t="s">
        <v>148</v>
      </c>
      <c r="F165" s="28" t="s">
        <v>161</v>
      </c>
      <c r="G165" s="29" t="s">
        <v>376</v>
      </c>
      <c r="H165" s="25"/>
      <c r="I165" s="26">
        <v>502196.64</v>
      </c>
    </row>
    <row r="166" spans="1:9" x14ac:dyDescent="0.25">
      <c r="A166" s="27">
        <v>46100</v>
      </c>
      <c r="B166" s="23" t="s">
        <v>153</v>
      </c>
      <c r="C166" s="24" t="s">
        <v>85</v>
      </c>
      <c r="D166" s="24" t="s">
        <v>148</v>
      </c>
      <c r="E166" s="23" t="s">
        <v>148</v>
      </c>
      <c r="F166" s="28" t="s">
        <v>161</v>
      </c>
      <c r="G166" s="29" t="s">
        <v>377</v>
      </c>
      <c r="H166" s="25"/>
      <c r="I166" s="26">
        <v>372385.12</v>
      </c>
    </row>
    <row r="167" spans="1:9" x14ac:dyDescent="0.25">
      <c r="A167" s="27">
        <v>46100</v>
      </c>
      <c r="B167" s="23" t="s">
        <v>153</v>
      </c>
      <c r="C167" s="24" t="s">
        <v>49</v>
      </c>
      <c r="D167" s="24" t="s">
        <v>148</v>
      </c>
      <c r="E167" s="23" t="s">
        <v>148</v>
      </c>
      <c r="F167" s="28" t="s">
        <v>192</v>
      </c>
      <c r="G167" s="29" t="s">
        <v>378</v>
      </c>
      <c r="H167" s="25"/>
      <c r="I167" s="26">
        <v>15914.04</v>
      </c>
    </row>
    <row r="168" spans="1:9" x14ac:dyDescent="0.25">
      <c r="A168" s="27">
        <v>46100</v>
      </c>
      <c r="B168" s="23" t="s">
        <v>153</v>
      </c>
      <c r="C168" s="24" t="s">
        <v>41</v>
      </c>
      <c r="D168" s="24" t="s">
        <v>148</v>
      </c>
      <c r="E168" s="23" t="s">
        <v>148</v>
      </c>
      <c r="F168" s="28" t="s">
        <v>155</v>
      </c>
      <c r="G168" s="29" t="s">
        <v>379</v>
      </c>
      <c r="H168" s="25"/>
      <c r="I168" s="26">
        <v>800000</v>
      </c>
    </row>
    <row r="169" spans="1:9" x14ac:dyDescent="0.25">
      <c r="A169" s="27">
        <v>46101</v>
      </c>
      <c r="B169" s="23" t="s">
        <v>153</v>
      </c>
      <c r="C169" s="24" t="s">
        <v>67</v>
      </c>
      <c r="D169" s="24" t="s">
        <v>148</v>
      </c>
      <c r="E169" s="23" t="s">
        <v>148</v>
      </c>
      <c r="F169" s="28" t="s">
        <v>235</v>
      </c>
      <c r="G169" s="29" t="s">
        <v>380</v>
      </c>
      <c r="H169" s="25"/>
      <c r="I169" s="26">
        <v>463119.59</v>
      </c>
    </row>
    <row r="170" spans="1:9" x14ac:dyDescent="0.25">
      <c r="A170" s="27">
        <v>46101</v>
      </c>
      <c r="B170" s="23" t="s">
        <v>153</v>
      </c>
      <c r="C170" s="24" t="s">
        <v>68</v>
      </c>
      <c r="D170" s="24" t="s">
        <v>148</v>
      </c>
      <c r="E170" s="23" t="s">
        <v>148</v>
      </c>
      <c r="F170" s="28" t="s">
        <v>235</v>
      </c>
      <c r="G170" s="29" t="s">
        <v>381</v>
      </c>
      <c r="H170" s="25"/>
      <c r="I170" s="26">
        <v>202713.74</v>
      </c>
    </row>
    <row r="171" spans="1:9" x14ac:dyDescent="0.25">
      <c r="A171" s="27">
        <v>46101</v>
      </c>
      <c r="B171" s="23" t="s">
        <v>153</v>
      </c>
      <c r="C171" s="24" t="s">
        <v>146</v>
      </c>
      <c r="D171" s="24" t="s">
        <v>148</v>
      </c>
      <c r="E171" s="23" t="s">
        <v>148</v>
      </c>
      <c r="F171" s="28" t="s">
        <v>235</v>
      </c>
      <c r="G171" s="29" t="s">
        <v>382</v>
      </c>
      <c r="H171" s="25"/>
      <c r="I171" s="26">
        <v>19604</v>
      </c>
    </row>
    <row r="172" spans="1:9" x14ac:dyDescent="0.25">
      <c r="A172" s="27">
        <v>46101</v>
      </c>
      <c r="B172" s="23" t="s">
        <v>153</v>
      </c>
      <c r="C172" s="24" t="s">
        <v>45</v>
      </c>
      <c r="D172" s="24" t="s">
        <v>148</v>
      </c>
      <c r="E172" s="23" t="s">
        <v>148</v>
      </c>
      <c r="F172" s="28" t="s">
        <v>235</v>
      </c>
      <c r="G172" s="29" t="s">
        <v>383</v>
      </c>
      <c r="H172" s="25"/>
      <c r="I172" s="26">
        <v>49949</v>
      </c>
    </row>
    <row r="173" spans="1:9" x14ac:dyDescent="0.25">
      <c r="A173" s="27">
        <v>46101</v>
      </c>
      <c r="B173" s="23" t="s">
        <v>153</v>
      </c>
      <c r="C173" s="24" t="s">
        <v>81</v>
      </c>
      <c r="D173" s="24" t="s">
        <v>148</v>
      </c>
      <c r="E173" s="23" t="s">
        <v>148</v>
      </c>
      <c r="F173" s="28" t="s">
        <v>157</v>
      </c>
      <c r="G173" s="29" t="s">
        <v>384</v>
      </c>
      <c r="H173" s="25"/>
      <c r="I173" s="26">
        <v>304976</v>
      </c>
    </row>
    <row r="174" spans="1:9" x14ac:dyDescent="0.25">
      <c r="A174" s="27">
        <v>46101</v>
      </c>
      <c r="B174" s="23" t="s">
        <v>153</v>
      </c>
      <c r="C174" s="24" t="s">
        <v>84</v>
      </c>
      <c r="D174" s="24" t="s">
        <v>148</v>
      </c>
      <c r="E174" s="23" t="s">
        <v>148</v>
      </c>
      <c r="F174" s="28" t="s">
        <v>157</v>
      </c>
      <c r="G174" s="29" t="s">
        <v>385</v>
      </c>
      <c r="H174" s="25"/>
      <c r="I174" s="26">
        <v>456007.8</v>
      </c>
    </row>
    <row r="175" spans="1:9" x14ac:dyDescent="0.25">
      <c r="A175" s="27">
        <v>46101</v>
      </c>
      <c r="B175" s="23" t="s">
        <v>153</v>
      </c>
      <c r="C175" s="24" t="s">
        <v>63</v>
      </c>
      <c r="D175" s="24" t="s">
        <v>148</v>
      </c>
      <c r="E175" s="23" t="s">
        <v>148</v>
      </c>
      <c r="F175" s="28" t="s">
        <v>157</v>
      </c>
      <c r="G175" s="29" t="s">
        <v>386</v>
      </c>
      <c r="H175" s="25"/>
      <c r="I175" s="26">
        <v>944780</v>
      </c>
    </row>
    <row r="176" spans="1:9" x14ac:dyDescent="0.25">
      <c r="A176" s="27">
        <v>46101</v>
      </c>
      <c r="B176" s="23" t="s">
        <v>153</v>
      </c>
      <c r="C176" s="24" t="s">
        <v>387</v>
      </c>
      <c r="D176" s="24" t="s">
        <v>148</v>
      </c>
      <c r="E176" s="23" t="s">
        <v>148</v>
      </c>
      <c r="F176" s="28" t="s">
        <v>168</v>
      </c>
      <c r="G176" s="29" t="s">
        <v>388</v>
      </c>
      <c r="H176" s="25"/>
      <c r="I176" s="26">
        <v>67500</v>
      </c>
    </row>
    <row r="177" spans="1:9" x14ac:dyDescent="0.25">
      <c r="A177" s="27">
        <v>46101</v>
      </c>
      <c r="B177" s="23" t="s">
        <v>153</v>
      </c>
      <c r="C177" s="24" t="s">
        <v>389</v>
      </c>
      <c r="D177" s="24" t="s">
        <v>148</v>
      </c>
      <c r="E177" s="23" t="s">
        <v>148</v>
      </c>
      <c r="F177" s="28" t="s">
        <v>168</v>
      </c>
      <c r="G177" s="29" t="s">
        <v>390</v>
      </c>
      <c r="H177" s="25"/>
      <c r="I177" s="26">
        <v>53957</v>
      </c>
    </row>
    <row r="178" spans="1:9" x14ac:dyDescent="0.25">
      <c r="A178" s="27">
        <v>46101</v>
      </c>
      <c r="B178" s="23" t="s">
        <v>153</v>
      </c>
      <c r="C178" s="24" t="s">
        <v>237</v>
      </c>
      <c r="D178" s="24" t="s">
        <v>148</v>
      </c>
      <c r="E178" s="23" t="s">
        <v>148</v>
      </c>
      <c r="F178" s="28" t="s">
        <v>159</v>
      </c>
      <c r="G178" s="29" t="s">
        <v>391</v>
      </c>
      <c r="H178" s="25"/>
      <c r="I178" s="26">
        <v>184501.29</v>
      </c>
    </row>
    <row r="179" spans="1:9" x14ac:dyDescent="0.25">
      <c r="A179" s="27">
        <v>46101</v>
      </c>
      <c r="B179" s="23" t="s">
        <v>153</v>
      </c>
      <c r="C179" s="24" t="s">
        <v>392</v>
      </c>
      <c r="D179" s="24" t="s">
        <v>148</v>
      </c>
      <c r="E179" s="23" t="s">
        <v>148</v>
      </c>
      <c r="F179" s="28" t="s">
        <v>159</v>
      </c>
      <c r="G179" s="29" t="s">
        <v>393</v>
      </c>
      <c r="H179" s="25"/>
      <c r="I179" s="26">
        <v>93701.48</v>
      </c>
    </row>
    <row r="180" spans="1:9" x14ac:dyDescent="0.25">
      <c r="A180" s="27">
        <v>46101</v>
      </c>
      <c r="B180" s="23" t="s">
        <v>153</v>
      </c>
      <c r="C180" s="24" t="s">
        <v>394</v>
      </c>
      <c r="D180" s="24" t="s">
        <v>148</v>
      </c>
      <c r="E180" s="23" t="s">
        <v>148</v>
      </c>
      <c r="F180" s="28" t="s">
        <v>159</v>
      </c>
      <c r="G180" s="29" t="s">
        <v>395</v>
      </c>
      <c r="H180" s="25"/>
      <c r="I180" s="26">
        <v>212400</v>
      </c>
    </row>
    <row r="181" spans="1:9" x14ac:dyDescent="0.25">
      <c r="A181" s="27">
        <v>46101</v>
      </c>
      <c r="B181" s="23" t="s">
        <v>153</v>
      </c>
      <c r="C181" s="24" t="s">
        <v>74</v>
      </c>
      <c r="D181" s="24" t="s">
        <v>148</v>
      </c>
      <c r="E181" s="23" t="s">
        <v>148</v>
      </c>
      <c r="F181" s="28" t="s">
        <v>155</v>
      </c>
      <c r="G181" s="29" t="s">
        <v>396</v>
      </c>
      <c r="H181" s="25"/>
      <c r="I181" s="26">
        <v>327215</v>
      </c>
    </row>
    <row r="182" spans="1:9" x14ac:dyDescent="0.25">
      <c r="A182" s="27">
        <v>46101</v>
      </c>
      <c r="B182" s="23" t="s">
        <v>153</v>
      </c>
      <c r="C182" s="24" t="s">
        <v>397</v>
      </c>
      <c r="D182" s="24" t="s">
        <v>148</v>
      </c>
      <c r="E182" s="23" t="s">
        <v>148</v>
      </c>
      <c r="F182" s="28" t="s">
        <v>155</v>
      </c>
      <c r="G182" s="29" t="s">
        <v>398</v>
      </c>
      <c r="H182" s="25"/>
      <c r="I182" s="26">
        <v>325583.32</v>
      </c>
    </row>
    <row r="183" spans="1:9" x14ac:dyDescent="0.25">
      <c r="A183" s="27">
        <v>46101</v>
      </c>
      <c r="B183" s="23" t="s">
        <v>153</v>
      </c>
      <c r="C183" s="24" t="s">
        <v>141</v>
      </c>
      <c r="D183" s="24" t="s">
        <v>148</v>
      </c>
      <c r="E183" s="23" t="s">
        <v>148</v>
      </c>
      <c r="F183" s="28" t="s">
        <v>155</v>
      </c>
      <c r="G183" s="29" t="s">
        <v>399</v>
      </c>
      <c r="H183" s="25"/>
      <c r="I183" s="26">
        <v>364448.05</v>
      </c>
    </row>
    <row r="184" spans="1:9" x14ac:dyDescent="0.25">
      <c r="A184" s="27">
        <v>46101</v>
      </c>
      <c r="B184" s="23" t="s">
        <v>153</v>
      </c>
      <c r="C184" s="24" t="s">
        <v>82</v>
      </c>
      <c r="D184" s="24" t="s">
        <v>148</v>
      </c>
      <c r="E184" s="23" t="s">
        <v>148</v>
      </c>
      <c r="F184" s="28" t="s">
        <v>155</v>
      </c>
      <c r="G184" s="29" t="s">
        <v>400</v>
      </c>
      <c r="H184" s="25"/>
      <c r="I184" s="26">
        <v>200018.29</v>
      </c>
    </row>
    <row r="185" spans="1:9" x14ac:dyDescent="0.25">
      <c r="A185" s="27">
        <v>46101</v>
      </c>
      <c r="B185" s="23" t="s">
        <v>153</v>
      </c>
      <c r="C185" s="24" t="s">
        <v>90</v>
      </c>
      <c r="D185" s="24" t="s">
        <v>148</v>
      </c>
      <c r="E185" s="23" t="s">
        <v>148</v>
      </c>
      <c r="F185" s="28" t="s">
        <v>168</v>
      </c>
      <c r="G185" s="29" t="s">
        <v>401</v>
      </c>
      <c r="H185" s="25"/>
      <c r="I185" s="26">
        <v>500050</v>
      </c>
    </row>
    <row r="186" spans="1:9" x14ac:dyDescent="0.25">
      <c r="A186" s="27">
        <v>46101</v>
      </c>
      <c r="B186" s="23" t="s">
        <v>153</v>
      </c>
      <c r="C186" s="24" t="s">
        <v>101</v>
      </c>
      <c r="D186" s="24" t="s">
        <v>148</v>
      </c>
      <c r="E186" s="23" t="s">
        <v>148</v>
      </c>
      <c r="F186" s="28" t="s">
        <v>205</v>
      </c>
      <c r="G186" s="29" t="s">
        <v>402</v>
      </c>
      <c r="H186" s="25"/>
      <c r="I186" s="26">
        <v>300000</v>
      </c>
    </row>
    <row r="187" spans="1:9" x14ac:dyDescent="0.25">
      <c r="A187" s="27">
        <v>46101</v>
      </c>
      <c r="B187" s="23" t="s">
        <v>153</v>
      </c>
      <c r="C187" s="24" t="s">
        <v>66</v>
      </c>
      <c r="D187" s="24" t="s">
        <v>148</v>
      </c>
      <c r="E187" s="23" t="s">
        <v>148</v>
      </c>
      <c r="F187" s="28" t="s">
        <v>227</v>
      </c>
      <c r="G187" s="29" t="s">
        <v>403</v>
      </c>
      <c r="H187" s="25"/>
      <c r="I187" s="26">
        <v>100000</v>
      </c>
    </row>
    <row r="188" spans="1:9" x14ac:dyDescent="0.25">
      <c r="A188" s="27">
        <v>46101</v>
      </c>
      <c r="B188" s="23" t="s">
        <v>153</v>
      </c>
      <c r="C188" s="24" t="s">
        <v>404</v>
      </c>
      <c r="D188" s="24" t="s">
        <v>148</v>
      </c>
      <c r="E188" s="23" t="s">
        <v>148</v>
      </c>
      <c r="F188" s="28" t="s">
        <v>173</v>
      </c>
      <c r="G188" s="29" t="s">
        <v>405</v>
      </c>
      <c r="H188" s="25"/>
      <c r="I188" s="26">
        <v>62059</v>
      </c>
    </row>
    <row r="189" spans="1:9" x14ac:dyDescent="0.25">
      <c r="A189" s="27">
        <v>46101</v>
      </c>
      <c r="B189" s="23" t="s">
        <v>201</v>
      </c>
      <c r="C189" s="24" t="s">
        <v>56</v>
      </c>
      <c r="D189" s="24" t="s">
        <v>148</v>
      </c>
      <c r="E189" s="23" t="s">
        <v>148</v>
      </c>
      <c r="F189" s="28" t="s">
        <v>214</v>
      </c>
      <c r="G189" s="29" t="s">
        <v>406</v>
      </c>
      <c r="H189" s="26">
        <v>166908.70000000001</v>
      </c>
      <c r="I189" s="25"/>
    </row>
    <row r="190" spans="1:9" x14ac:dyDescent="0.25">
      <c r="A190" s="27">
        <v>46101</v>
      </c>
      <c r="B190" s="23" t="s">
        <v>201</v>
      </c>
      <c r="C190" s="24" t="s">
        <v>56</v>
      </c>
      <c r="D190" s="24" t="s">
        <v>148</v>
      </c>
      <c r="E190" s="23" t="s">
        <v>148</v>
      </c>
      <c r="F190" s="28" t="s">
        <v>214</v>
      </c>
      <c r="G190" s="29" t="s">
        <v>407</v>
      </c>
      <c r="H190" s="26">
        <v>155233</v>
      </c>
      <c r="I190" s="25"/>
    </row>
    <row r="191" spans="1:9" x14ac:dyDescent="0.25">
      <c r="A191" s="24" t="s">
        <v>148</v>
      </c>
      <c r="B191" s="23" t="s">
        <v>148</v>
      </c>
      <c r="C191" s="118">
        <v>17569606.800000001</v>
      </c>
      <c r="D191" s="118"/>
      <c r="E191" s="118"/>
      <c r="F191" s="118"/>
      <c r="G191" s="118"/>
      <c r="H191" s="118"/>
      <c r="I191" s="33">
        <v>164778206.78999999</v>
      </c>
    </row>
    <row r="192" spans="1:9" x14ac:dyDescent="0.25">
      <c r="A192" s="34" t="s">
        <v>148</v>
      </c>
      <c r="B192" s="23" t="s">
        <v>201</v>
      </c>
      <c r="C192" s="35" t="s">
        <v>408</v>
      </c>
      <c r="D192" s="24" t="s">
        <v>148</v>
      </c>
      <c r="E192" s="23" t="s">
        <v>148</v>
      </c>
      <c r="F192" s="119">
        <v>147208599.99000001</v>
      </c>
      <c r="G192" s="119"/>
      <c r="H192" s="119"/>
      <c r="I192" s="36"/>
    </row>
    <row r="193" spans="1:9" x14ac:dyDescent="0.25">
      <c r="A193" s="24" t="s">
        <v>148</v>
      </c>
      <c r="B193" s="24" t="s">
        <v>148</v>
      </c>
      <c r="C193" s="116">
        <v>164778206.78999999</v>
      </c>
      <c r="D193" s="116"/>
      <c r="E193" s="116"/>
      <c r="F193" s="116"/>
      <c r="G193" s="116"/>
      <c r="H193" s="116"/>
      <c r="I193" s="37">
        <v>164778206.78999999</v>
      </c>
    </row>
  </sheetData>
  <mergeCells count="13">
    <mergeCell ref="A60:B60"/>
    <mergeCell ref="B2:C2"/>
    <mergeCell ref="C3:E3"/>
    <mergeCell ref="A50:B50"/>
    <mergeCell ref="A51:B51"/>
    <mergeCell ref="A59:B59"/>
    <mergeCell ref="C193:H193"/>
    <mergeCell ref="A63:B63"/>
    <mergeCell ref="A64:B64"/>
    <mergeCell ref="A108:B108"/>
    <mergeCell ref="A109:B109"/>
    <mergeCell ref="C191:H191"/>
    <mergeCell ref="F192:H1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00"/>
  <sheetViews>
    <sheetView showGridLines="0" topLeftCell="A2" zoomScaleNormal="100" workbookViewId="0">
      <pane xSplit="2" ySplit="2" topLeftCell="C4" activePane="bottomRight" state="frozen"/>
      <selection activeCell="E383" sqref="E383"/>
      <selection pane="topRight" activeCell="E383" sqref="E383"/>
      <selection pane="bottomLeft" activeCell="E383" sqref="E383"/>
      <selection pane="bottomRight"/>
    </sheetView>
  </sheetViews>
  <sheetFormatPr defaultRowHeight="15" customHeight="1" x14ac:dyDescent="0.25"/>
  <cols>
    <col min="1" max="1" width="2.5703125" style="50" customWidth="1"/>
    <col min="2" max="2" width="18" style="50" bestFit="1" customWidth="1"/>
    <col min="3" max="3" width="45.140625" style="50" customWidth="1"/>
    <col min="4" max="4" width="54.7109375" style="50" bestFit="1" customWidth="1"/>
    <col min="5" max="5" width="18.140625" style="51" customWidth="1"/>
    <col min="6" max="6" width="24.85546875" style="50" customWidth="1"/>
    <col min="7" max="7" width="16.7109375" style="50" customWidth="1"/>
    <col min="8" max="8" width="27.42578125" style="50" bestFit="1" customWidth="1"/>
    <col min="9" max="9" width="9.140625" style="50"/>
    <col min="10" max="10" width="21.140625" style="50" customWidth="1"/>
    <col min="11" max="11" width="14.5703125" style="50" customWidth="1"/>
    <col min="12" max="16384" width="9.140625" style="50"/>
  </cols>
  <sheetData>
    <row r="2" spans="1:10" ht="15" customHeight="1" x14ac:dyDescent="0.25">
      <c r="C2" s="52" t="s">
        <v>9</v>
      </c>
      <c r="D2" s="52"/>
      <c r="E2" s="53">
        <f>SUBTOTAL(9,E3:E190)</f>
        <v>75553767.210000008</v>
      </c>
      <c r="G2" s="99"/>
    </row>
    <row r="3" spans="1:10" ht="15" customHeight="1" x14ac:dyDescent="0.25">
      <c r="B3" s="54" t="s">
        <v>21</v>
      </c>
      <c r="C3" s="48" t="s">
        <v>27</v>
      </c>
      <c r="D3" s="54" t="s">
        <v>36</v>
      </c>
      <c r="E3" s="55" t="s">
        <v>23</v>
      </c>
      <c r="F3" s="54" t="s">
        <v>24</v>
      </c>
      <c r="G3" s="54" t="s">
        <v>7</v>
      </c>
      <c r="H3" s="54" t="s">
        <v>26</v>
      </c>
    </row>
    <row r="4" spans="1:10" s="100" customFormat="1" ht="15" customHeight="1" x14ac:dyDescent="0.25">
      <c r="B4" s="98" t="s">
        <v>495</v>
      </c>
      <c r="C4" s="57" t="s">
        <v>464</v>
      </c>
      <c r="D4" s="60" t="s">
        <v>468</v>
      </c>
      <c r="E4" s="58">
        <v>476828.32</v>
      </c>
      <c r="F4" s="59" t="s">
        <v>526</v>
      </c>
      <c r="G4" s="57" t="s">
        <v>6</v>
      </c>
      <c r="H4" s="57" t="s">
        <v>440</v>
      </c>
      <c r="J4" s="106"/>
    </row>
    <row r="5" spans="1:10" s="100" customFormat="1" ht="15" customHeight="1" x14ac:dyDescent="0.25">
      <c r="B5" s="98" t="s">
        <v>496</v>
      </c>
      <c r="C5" s="57" t="s">
        <v>0</v>
      </c>
      <c r="D5" s="60" t="s">
        <v>2</v>
      </c>
      <c r="E5" s="58">
        <v>317164</v>
      </c>
      <c r="F5" s="59" t="s">
        <v>413</v>
      </c>
      <c r="G5" s="57" t="s">
        <v>1</v>
      </c>
      <c r="H5" s="57" t="s">
        <v>1</v>
      </c>
      <c r="J5" s="106"/>
    </row>
    <row r="6" spans="1:10" s="100" customFormat="1" ht="15" customHeight="1" x14ac:dyDescent="0.25">
      <c r="B6" s="98" t="s">
        <v>497</v>
      </c>
      <c r="C6" s="57" t="s">
        <v>498</v>
      </c>
      <c r="D6" s="60" t="s">
        <v>559</v>
      </c>
      <c r="E6" s="58">
        <v>500000</v>
      </c>
      <c r="F6" s="59" t="s">
        <v>527</v>
      </c>
      <c r="G6" s="57" t="s">
        <v>65</v>
      </c>
      <c r="H6" s="57" t="s">
        <v>441</v>
      </c>
      <c r="J6" s="106"/>
    </row>
    <row r="7" spans="1:10" s="100" customFormat="1" ht="15" customHeight="1" x14ac:dyDescent="0.25">
      <c r="B7" s="98" t="s">
        <v>499</v>
      </c>
      <c r="C7" s="57" t="s">
        <v>500</v>
      </c>
      <c r="D7" s="60" t="s">
        <v>48</v>
      </c>
      <c r="E7" s="58">
        <v>346320</v>
      </c>
      <c r="F7" s="59" t="s">
        <v>528</v>
      </c>
      <c r="G7" s="57" t="s">
        <v>3</v>
      </c>
      <c r="H7" s="57" t="s">
        <v>34</v>
      </c>
      <c r="J7" s="106"/>
    </row>
    <row r="8" spans="1:10" s="100" customFormat="1" ht="15" customHeight="1" x14ac:dyDescent="0.25">
      <c r="B8" s="56" t="s">
        <v>501</v>
      </c>
      <c r="C8" s="57" t="s">
        <v>481</v>
      </c>
      <c r="D8" s="60" t="s">
        <v>62</v>
      </c>
      <c r="E8" s="58">
        <v>31000</v>
      </c>
      <c r="F8" s="59" t="s">
        <v>529</v>
      </c>
      <c r="G8" s="57" t="s">
        <v>42</v>
      </c>
      <c r="H8" s="57" t="s">
        <v>5</v>
      </c>
      <c r="J8" s="106"/>
    </row>
    <row r="9" spans="1:10" s="100" customFormat="1" ht="15" customHeight="1" x14ac:dyDescent="0.25">
      <c r="B9" s="56" t="s">
        <v>501</v>
      </c>
      <c r="C9" s="57" t="s">
        <v>481</v>
      </c>
      <c r="D9" s="60" t="s">
        <v>62</v>
      </c>
      <c r="E9" s="58">
        <v>69000</v>
      </c>
      <c r="F9" s="59" t="s">
        <v>529</v>
      </c>
      <c r="G9" s="57" t="s">
        <v>3</v>
      </c>
      <c r="H9" s="57" t="s">
        <v>35</v>
      </c>
      <c r="J9" s="106"/>
    </row>
    <row r="10" spans="1:10" s="100" customFormat="1" ht="15" customHeight="1" x14ac:dyDescent="0.25">
      <c r="B10" s="98" t="s">
        <v>501</v>
      </c>
      <c r="C10" s="57" t="s">
        <v>470</v>
      </c>
      <c r="D10" s="60" t="s">
        <v>471</v>
      </c>
      <c r="E10" s="58">
        <v>118580</v>
      </c>
      <c r="F10" s="59" t="s">
        <v>530</v>
      </c>
      <c r="G10" s="57" t="s">
        <v>65</v>
      </c>
      <c r="H10" s="57" t="s">
        <v>441</v>
      </c>
      <c r="J10" s="106"/>
    </row>
    <row r="11" spans="1:10" s="100" customFormat="1" ht="15" customHeight="1" x14ac:dyDescent="0.25">
      <c r="B11" s="98" t="s">
        <v>502</v>
      </c>
      <c r="C11" s="57" t="s">
        <v>503</v>
      </c>
      <c r="D11" s="60" t="s">
        <v>560</v>
      </c>
      <c r="E11" s="58">
        <v>58000</v>
      </c>
      <c r="F11" s="59" t="s">
        <v>531</v>
      </c>
      <c r="G11" s="57" t="s">
        <v>65</v>
      </c>
      <c r="H11" s="57" t="s">
        <v>441</v>
      </c>
      <c r="J11" s="106"/>
    </row>
    <row r="12" spans="1:10" s="100" customFormat="1" ht="15" customHeight="1" x14ac:dyDescent="0.25">
      <c r="A12" s="50"/>
      <c r="B12" s="56" t="s">
        <v>504</v>
      </c>
      <c r="C12" s="57" t="s">
        <v>451</v>
      </c>
      <c r="D12" s="60" t="s">
        <v>466</v>
      </c>
      <c r="E12" s="58">
        <v>46500</v>
      </c>
      <c r="F12" s="59" t="s">
        <v>533</v>
      </c>
      <c r="G12" s="57" t="s">
        <v>42</v>
      </c>
      <c r="H12" s="57" t="s">
        <v>5</v>
      </c>
      <c r="J12" s="106"/>
    </row>
    <row r="13" spans="1:10" s="100" customFormat="1" ht="15" customHeight="1" x14ac:dyDescent="0.25">
      <c r="A13" s="50"/>
      <c r="B13" s="56" t="s">
        <v>504</v>
      </c>
      <c r="C13" s="57" t="s">
        <v>451</v>
      </c>
      <c r="D13" s="60" t="s">
        <v>466</v>
      </c>
      <c r="E13" s="58">
        <v>33000</v>
      </c>
      <c r="F13" s="59" t="s">
        <v>533</v>
      </c>
      <c r="G13" s="57" t="s">
        <v>6</v>
      </c>
      <c r="H13" s="57" t="s">
        <v>440</v>
      </c>
      <c r="J13" s="106"/>
    </row>
    <row r="14" spans="1:10" s="100" customFormat="1" ht="15" customHeight="1" x14ac:dyDescent="0.25">
      <c r="A14" s="50"/>
      <c r="B14" s="56" t="s">
        <v>504</v>
      </c>
      <c r="C14" s="57" t="s">
        <v>451</v>
      </c>
      <c r="D14" s="60" t="s">
        <v>466</v>
      </c>
      <c r="E14" s="58">
        <v>70500</v>
      </c>
      <c r="F14" s="59" t="s">
        <v>533</v>
      </c>
      <c r="G14" s="57" t="s">
        <v>3</v>
      </c>
      <c r="H14" s="57" t="s">
        <v>34</v>
      </c>
      <c r="J14" s="106"/>
    </row>
    <row r="15" spans="1:10" s="100" customFormat="1" ht="15" customHeight="1" x14ac:dyDescent="0.25">
      <c r="A15" s="50"/>
      <c r="B15" s="56" t="s">
        <v>504</v>
      </c>
      <c r="C15" s="57" t="s">
        <v>451</v>
      </c>
      <c r="D15" s="60" t="s">
        <v>466</v>
      </c>
      <c r="E15" s="58">
        <v>46500</v>
      </c>
      <c r="F15" s="59" t="s">
        <v>532</v>
      </c>
      <c r="G15" s="57" t="s">
        <v>42</v>
      </c>
      <c r="H15" s="57" t="s">
        <v>5</v>
      </c>
      <c r="J15" s="106"/>
    </row>
    <row r="16" spans="1:10" s="100" customFormat="1" ht="15" customHeight="1" x14ac:dyDescent="0.25">
      <c r="A16" s="50"/>
      <c r="B16" s="56" t="s">
        <v>504</v>
      </c>
      <c r="C16" s="57" t="s">
        <v>451</v>
      </c>
      <c r="D16" s="60" t="s">
        <v>466</v>
      </c>
      <c r="E16" s="58">
        <v>33000</v>
      </c>
      <c r="F16" s="59" t="s">
        <v>532</v>
      </c>
      <c r="G16" s="57" t="s">
        <v>6</v>
      </c>
      <c r="H16" s="57" t="s">
        <v>440</v>
      </c>
      <c r="J16" s="106"/>
    </row>
    <row r="17" spans="1:10" s="100" customFormat="1" ht="15" customHeight="1" x14ac:dyDescent="0.25">
      <c r="A17" s="50"/>
      <c r="B17" s="56" t="s">
        <v>504</v>
      </c>
      <c r="C17" s="57" t="s">
        <v>451</v>
      </c>
      <c r="D17" s="60" t="s">
        <v>466</v>
      </c>
      <c r="E17" s="58">
        <v>70500</v>
      </c>
      <c r="F17" s="59" t="s">
        <v>532</v>
      </c>
      <c r="G17" s="57" t="s">
        <v>3</v>
      </c>
      <c r="H17" s="57" t="s">
        <v>34</v>
      </c>
      <c r="J17" s="106"/>
    </row>
    <row r="18" spans="1:10" s="100" customFormat="1" ht="15" customHeight="1" x14ac:dyDescent="0.25">
      <c r="B18" s="98" t="s">
        <v>505</v>
      </c>
      <c r="C18" s="57" t="s">
        <v>461</v>
      </c>
      <c r="D18" s="60" t="s">
        <v>454</v>
      </c>
      <c r="E18" s="58">
        <v>24791</v>
      </c>
      <c r="F18" s="59" t="s">
        <v>534</v>
      </c>
      <c r="G18" s="57" t="s">
        <v>6</v>
      </c>
      <c r="H18" s="57" t="s">
        <v>5</v>
      </c>
      <c r="J18" s="106"/>
    </row>
    <row r="19" spans="1:10" s="100" customFormat="1" ht="15" customHeight="1" x14ac:dyDescent="0.25">
      <c r="B19" s="98" t="s">
        <v>506</v>
      </c>
      <c r="C19" s="57" t="s">
        <v>491</v>
      </c>
      <c r="D19" s="60" t="s">
        <v>493</v>
      </c>
      <c r="E19" s="58">
        <v>10800</v>
      </c>
      <c r="F19" s="59" t="s">
        <v>535</v>
      </c>
      <c r="G19" s="57" t="s">
        <v>1</v>
      </c>
      <c r="H19" s="57" t="s">
        <v>5</v>
      </c>
      <c r="J19" s="106"/>
    </row>
    <row r="20" spans="1:10" s="100" customFormat="1" ht="15" customHeight="1" x14ac:dyDescent="0.25">
      <c r="B20" s="98" t="s">
        <v>506</v>
      </c>
      <c r="C20" s="57" t="s">
        <v>507</v>
      </c>
      <c r="D20" s="60" t="s">
        <v>311</v>
      </c>
      <c r="E20" s="58">
        <v>41500</v>
      </c>
      <c r="F20" s="59" t="s">
        <v>536</v>
      </c>
      <c r="G20" s="57" t="s">
        <v>65</v>
      </c>
      <c r="H20" s="57" t="s">
        <v>5</v>
      </c>
      <c r="J20" s="106"/>
    </row>
    <row r="21" spans="1:10" s="100" customFormat="1" ht="15" customHeight="1" x14ac:dyDescent="0.25">
      <c r="B21" s="98" t="s">
        <v>506</v>
      </c>
      <c r="C21" s="57" t="s">
        <v>463</v>
      </c>
      <c r="D21" s="60" t="s">
        <v>69</v>
      </c>
      <c r="E21" s="58">
        <v>58804</v>
      </c>
      <c r="F21" s="59" t="s">
        <v>537</v>
      </c>
      <c r="G21" s="57" t="s">
        <v>1</v>
      </c>
      <c r="H21" s="57" t="s">
        <v>5</v>
      </c>
      <c r="J21" s="106"/>
    </row>
    <row r="22" spans="1:10" s="100" customFormat="1" ht="15" customHeight="1" x14ac:dyDescent="0.25">
      <c r="B22" s="98" t="s">
        <v>508</v>
      </c>
      <c r="C22" s="57" t="s">
        <v>465</v>
      </c>
      <c r="D22" s="60" t="s">
        <v>467</v>
      </c>
      <c r="E22" s="58">
        <v>367713.45</v>
      </c>
      <c r="F22" s="59" t="s">
        <v>538</v>
      </c>
      <c r="G22" s="57" t="s">
        <v>469</v>
      </c>
      <c r="H22" s="57" t="s">
        <v>441</v>
      </c>
      <c r="J22" s="106"/>
    </row>
    <row r="23" spans="1:10" s="100" customFormat="1" ht="15" customHeight="1" x14ac:dyDescent="0.25">
      <c r="B23" s="98" t="s">
        <v>508</v>
      </c>
      <c r="C23" s="57" t="s">
        <v>509</v>
      </c>
      <c r="D23" s="60" t="s">
        <v>561</v>
      </c>
      <c r="E23" s="58">
        <v>157776.68</v>
      </c>
      <c r="F23" s="59" t="s">
        <v>539</v>
      </c>
      <c r="G23" s="57" t="s">
        <v>469</v>
      </c>
      <c r="H23" s="57" t="s">
        <v>441</v>
      </c>
      <c r="J23" s="106"/>
    </row>
    <row r="24" spans="1:10" s="100" customFormat="1" ht="15" customHeight="1" x14ac:dyDescent="0.25">
      <c r="B24" s="98" t="s">
        <v>510</v>
      </c>
      <c r="C24" s="57" t="s">
        <v>511</v>
      </c>
      <c r="D24" s="60" t="s">
        <v>562</v>
      </c>
      <c r="E24" s="58">
        <v>50112</v>
      </c>
      <c r="F24" s="59" t="s">
        <v>540</v>
      </c>
      <c r="G24" s="57" t="s">
        <v>3</v>
      </c>
      <c r="H24" s="57" t="s">
        <v>34</v>
      </c>
      <c r="J24" s="106"/>
    </row>
    <row r="25" spans="1:10" s="100" customFormat="1" ht="15" customHeight="1" x14ac:dyDescent="0.25">
      <c r="B25" s="98" t="s">
        <v>510</v>
      </c>
      <c r="C25" s="57" t="s">
        <v>512</v>
      </c>
      <c r="D25" s="49" t="s">
        <v>476</v>
      </c>
      <c r="E25" s="58">
        <v>361053</v>
      </c>
      <c r="F25" s="59" t="s">
        <v>541</v>
      </c>
      <c r="G25" s="57" t="s">
        <v>42</v>
      </c>
      <c r="H25" s="57" t="s">
        <v>5</v>
      </c>
      <c r="J25" s="106"/>
    </row>
    <row r="26" spans="1:10" s="100" customFormat="1" ht="15" customHeight="1" x14ac:dyDescent="0.25">
      <c r="B26" s="98" t="s">
        <v>513</v>
      </c>
      <c r="C26" s="57" t="s">
        <v>462</v>
      </c>
      <c r="D26" s="60" t="s">
        <v>460</v>
      </c>
      <c r="E26" s="58">
        <v>51784</v>
      </c>
      <c r="F26" s="59" t="s">
        <v>542</v>
      </c>
      <c r="G26" s="57" t="s">
        <v>54</v>
      </c>
      <c r="H26" s="57" t="s">
        <v>5</v>
      </c>
      <c r="J26" s="106"/>
    </row>
    <row r="27" spans="1:10" s="100" customFormat="1" ht="15" customHeight="1" x14ac:dyDescent="0.25">
      <c r="B27" s="98" t="s">
        <v>514</v>
      </c>
      <c r="C27" s="57" t="s">
        <v>515</v>
      </c>
      <c r="D27" s="60" t="s">
        <v>563</v>
      </c>
      <c r="E27" s="58">
        <v>315927.3</v>
      </c>
      <c r="F27" s="59" t="s">
        <v>543</v>
      </c>
      <c r="G27" s="57" t="s">
        <v>488</v>
      </c>
      <c r="H27" s="57" t="s">
        <v>441</v>
      </c>
      <c r="J27" s="106"/>
    </row>
    <row r="28" spans="1:10" s="100" customFormat="1" ht="15" customHeight="1" x14ac:dyDescent="0.25">
      <c r="B28" s="98" t="s">
        <v>516</v>
      </c>
      <c r="C28" s="57" t="s">
        <v>517</v>
      </c>
      <c r="D28" s="60" t="s">
        <v>486</v>
      </c>
      <c r="E28" s="58">
        <v>40714</v>
      </c>
      <c r="F28" s="59" t="s">
        <v>484</v>
      </c>
      <c r="G28" s="57" t="s">
        <v>1</v>
      </c>
      <c r="H28" s="57" t="s">
        <v>5</v>
      </c>
      <c r="J28" s="106"/>
    </row>
    <row r="29" spans="1:10" s="100" customFormat="1" ht="15" customHeight="1" x14ac:dyDescent="0.25">
      <c r="B29" s="56" t="s">
        <v>518</v>
      </c>
      <c r="C29" s="57" t="s">
        <v>451</v>
      </c>
      <c r="D29" s="60" t="s">
        <v>466</v>
      </c>
      <c r="E29" s="58">
        <v>89955.558052713386</v>
      </c>
      <c r="F29" s="59" t="s">
        <v>544</v>
      </c>
      <c r="G29" s="57" t="s">
        <v>42</v>
      </c>
      <c r="H29" s="57" t="s">
        <v>5</v>
      </c>
      <c r="J29" s="106"/>
    </row>
    <row r="30" spans="1:10" s="100" customFormat="1" ht="15" customHeight="1" x14ac:dyDescent="0.25">
      <c r="B30" s="56" t="s">
        <v>518</v>
      </c>
      <c r="C30" s="57" t="s">
        <v>451</v>
      </c>
      <c r="D30" s="60" t="s">
        <v>466</v>
      </c>
      <c r="E30" s="58">
        <v>65929.405407129001</v>
      </c>
      <c r="F30" s="59" t="s">
        <v>544</v>
      </c>
      <c r="G30" s="57" t="s">
        <v>6</v>
      </c>
      <c r="H30" s="57" t="s">
        <v>440</v>
      </c>
      <c r="J30" s="106"/>
    </row>
    <row r="31" spans="1:10" s="100" customFormat="1" ht="15" customHeight="1" x14ac:dyDescent="0.25">
      <c r="B31" s="56" t="s">
        <v>518</v>
      </c>
      <c r="C31" s="57" t="s">
        <v>451</v>
      </c>
      <c r="D31" s="60" t="s">
        <v>466</v>
      </c>
      <c r="E31" s="58">
        <v>44115.036540157598</v>
      </c>
      <c r="F31" s="59" t="s">
        <v>544</v>
      </c>
      <c r="G31" s="57" t="s">
        <v>3</v>
      </c>
      <c r="H31" s="57" t="s">
        <v>34</v>
      </c>
      <c r="J31" s="106"/>
    </row>
    <row r="32" spans="1:10" s="100" customFormat="1" ht="15" customHeight="1" x14ac:dyDescent="0.25">
      <c r="B32" s="98" t="s">
        <v>519</v>
      </c>
      <c r="C32" s="57" t="s">
        <v>520</v>
      </c>
      <c r="D32" s="60" t="s">
        <v>564</v>
      </c>
      <c r="E32" s="58">
        <v>1305009.32</v>
      </c>
      <c r="F32" s="59" t="s">
        <v>545</v>
      </c>
      <c r="G32" s="57" t="s">
        <v>414</v>
      </c>
      <c r="H32" s="57" t="s">
        <v>414</v>
      </c>
      <c r="J32" s="106"/>
    </row>
    <row r="33" spans="2:8" s="100" customFormat="1" ht="15" customHeight="1" x14ac:dyDescent="0.25">
      <c r="B33" s="98" t="s">
        <v>521</v>
      </c>
      <c r="C33" s="57" t="s">
        <v>482</v>
      </c>
      <c r="D33" s="60" t="s">
        <v>487</v>
      </c>
      <c r="E33" s="58">
        <v>400000</v>
      </c>
      <c r="F33" s="59" t="s">
        <v>546</v>
      </c>
      <c r="G33" s="57" t="s">
        <v>414</v>
      </c>
      <c r="H33" s="57" t="s">
        <v>414</v>
      </c>
    </row>
    <row r="34" spans="2:8" s="100" customFormat="1" ht="15" customHeight="1" x14ac:dyDescent="0.25">
      <c r="B34" s="98" t="s">
        <v>522</v>
      </c>
      <c r="C34" s="57" t="s">
        <v>523</v>
      </c>
      <c r="D34" s="60" t="s">
        <v>472</v>
      </c>
      <c r="E34" s="58">
        <v>150000</v>
      </c>
      <c r="F34" s="59" t="s">
        <v>547</v>
      </c>
      <c r="G34" s="57" t="s">
        <v>65</v>
      </c>
      <c r="H34" s="57" t="s">
        <v>441</v>
      </c>
    </row>
    <row r="35" spans="2:8" s="100" customFormat="1" ht="15" customHeight="1" x14ac:dyDescent="0.25">
      <c r="B35" s="98" t="s">
        <v>524</v>
      </c>
      <c r="C35" s="57" t="s">
        <v>525</v>
      </c>
      <c r="D35" s="60" t="s">
        <v>565</v>
      </c>
      <c r="E35" s="58">
        <v>300000</v>
      </c>
      <c r="F35" s="59" t="s">
        <v>548</v>
      </c>
      <c r="G35" s="57" t="s">
        <v>414</v>
      </c>
      <c r="H35" s="57" t="s">
        <v>414</v>
      </c>
    </row>
    <row r="36" spans="2:8" s="100" customFormat="1" ht="15" customHeight="1" x14ac:dyDescent="0.25">
      <c r="B36" s="56" t="s">
        <v>566</v>
      </c>
      <c r="C36" s="57" t="s">
        <v>567</v>
      </c>
      <c r="D36" s="60" t="s">
        <v>568</v>
      </c>
      <c r="E36" s="58">
        <v>1000000</v>
      </c>
      <c r="F36" s="59" t="s">
        <v>569</v>
      </c>
      <c r="G36" s="57" t="s">
        <v>1</v>
      </c>
      <c r="H36" s="57" t="s">
        <v>414</v>
      </c>
    </row>
    <row r="37" spans="2:8" ht="15" customHeight="1" x14ac:dyDescent="0.25">
      <c r="B37" s="56" t="s">
        <v>570</v>
      </c>
      <c r="C37" s="57" t="s">
        <v>571</v>
      </c>
      <c r="D37" s="60" t="s">
        <v>572</v>
      </c>
      <c r="E37" s="58">
        <v>1500000</v>
      </c>
      <c r="F37" s="59" t="s">
        <v>573</v>
      </c>
      <c r="G37" s="57" t="s">
        <v>1</v>
      </c>
      <c r="H37" s="57" t="s">
        <v>414</v>
      </c>
    </row>
    <row r="38" spans="2:8" ht="15" customHeight="1" x14ac:dyDescent="0.25">
      <c r="B38" s="56" t="s">
        <v>574</v>
      </c>
      <c r="C38" s="57" t="s">
        <v>575</v>
      </c>
      <c r="D38" s="60" t="s">
        <v>612</v>
      </c>
      <c r="E38" s="58">
        <v>410000</v>
      </c>
      <c r="F38" s="59" t="s">
        <v>590</v>
      </c>
      <c r="G38" s="57" t="s">
        <v>414</v>
      </c>
      <c r="H38" s="57" t="s">
        <v>414</v>
      </c>
    </row>
    <row r="39" spans="2:8" ht="15" customHeight="1" x14ac:dyDescent="0.25">
      <c r="B39" s="56" t="s">
        <v>574</v>
      </c>
      <c r="C39" s="57" t="s">
        <v>576</v>
      </c>
      <c r="D39" s="60" t="s">
        <v>613</v>
      </c>
      <c r="E39" s="58">
        <v>90000</v>
      </c>
      <c r="F39" s="59" t="s">
        <v>591</v>
      </c>
      <c r="G39" s="57" t="s">
        <v>414</v>
      </c>
      <c r="H39" s="57" t="s">
        <v>414</v>
      </c>
    </row>
    <row r="40" spans="2:8" ht="15" customHeight="1" x14ac:dyDescent="0.25">
      <c r="B40" s="56" t="s">
        <v>577</v>
      </c>
      <c r="C40" s="57" t="s">
        <v>578</v>
      </c>
      <c r="D40" s="60" t="s">
        <v>614</v>
      </c>
      <c r="E40" s="58">
        <v>103500</v>
      </c>
      <c r="F40" s="59" t="s">
        <v>592</v>
      </c>
      <c r="G40" s="57" t="s">
        <v>414</v>
      </c>
      <c r="H40" s="57" t="s">
        <v>414</v>
      </c>
    </row>
    <row r="41" spans="2:8" ht="15" customHeight="1" x14ac:dyDescent="0.25">
      <c r="B41" s="56" t="s">
        <v>579</v>
      </c>
      <c r="C41" s="57" t="s">
        <v>580</v>
      </c>
      <c r="D41" s="60" t="s">
        <v>357</v>
      </c>
      <c r="E41" s="58">
        <v>124023.01</v>
      </c>
      <c r="F41" s="59" t="s">
        <v>593</v>
      </c>
      <c r="G41" s="57" t="s">
        <v>50</v>
      </c>
      <c r="H41" s="57" t="s">
        <v>5</v>
      </c>
    </row>
    <row r="42" spans="2:8" ht="15" customHeight="1" x14ac:dyDescent="0.25">
      <c r="B42" s="56" t="s">
        <v>579</v>
      </c>
      <c r="C42" s="57" t="s">
        <v>581</v>
      </c>
      <c r="D42" s="60" t="s">
        <v>615</v>
      </c>
      <c r="E42" s="58">
        <v>140422.34</v>
      </c>
      <c r="F42" s="59" t="s">
        <v>594</v>
      </c>
      <c r="G42" s="57" t="s">
        <v>50</v>
      </c>
      <c r="H42" s="57" t="s">
        <v>5</v>
      </c>
    </row>
    <row r="43" spans="2:8" ht="15" customHeight="1" x14ac:dyDescent="0.25">
      <c r="B43" s="56" t="s">
        <v>582</v>
      </c>
      <c r="C43" s="57" t="s">
        <v>583</v>
      </c>
      <c r="D43" s="60" t="s">
        <v>616</v>
      </c>
      <c r="E43" s="58">
        <v>108500</v>
      </c>
      <c r="F43" s="59" t="s">
        <v>595</v>
      </c>
      <c r="G43" s="57" t="s">
        <v>47</v>
      </c>
      <c r="H43" s="57" t="s">
        <v>5</v>
      </c>
    </row>
    <row r="44" spans="2:8" ht="15" customHeight="1" x14ac:dyDescent="0.25">
      <c r="B44" s="56" t="s">
        <v>584</v>
      </c>
      <c r="C44" s="57" t="s">
        <v>585</v>
      </c>
      <c r="D44" s="60" t="s">
        <v>617</v>
      </c>
      <c r="E44" s="58">
        <v>492796.32</v>
      </c>
      <c r="F44" s="59" t="s">
        <v>596</v>
      </c>
      <c r="G44" s="57" t="s">
        <v>47</v>
      </c>
      <c r="H44" s="57" t="s">
        <v>5</v>
      </c>
    </row>
    <row r="45" spans="2:8" ht="15" customHeight="1" x14ac:dyDescent="0.25">
      <c r="B45" s="56" t="s">
        <v>586</v>
      </c>
      <c r="C45" s="57" t="s">
        <v>451</v>
      </c>
      <c r="D45" s="60" t="s">
        <v>466</v>
      </c>
      <c r="E45" s="58">
        <v>179911.11610542677</v>
      </c>
      <c r="F45" s="59" t="s">
        <v>597</v>
      </c>
      <c r="G45" s="57" t="s">
        <v>42</v>
      </c>
      <c r="H45" s="57" t="s">
        <v>5</v>
      </c>
    </row>
    <row r="46" spans="2:8" ht="15" customHeight="1" x14ac:dyDescent="0.25">
      <c r="B46" s="56" t="s">
        <v>586</v>
      </c>
      <c r="C46" s="57" t="s">
        <v>451</v>
      </c>
      <c r="D46" s="60" t="s">
        <v>466</v>
      </c>
      <c r="E46" s="58">
        <v>131858.810814258</v>
      </c>
      <c r="F46" s="59" t="s">
        <v>597</v>
      </c>
      <c r="G46" s="57" t="s">
        <v>6</v>
      </c>
      <c r="H46" s="57" t="s">
        <v>440</v>
      </c>
    </row>
    <row r="47" spans="2:8" ht="15" customHeight="1" x14ac:dyDescent="0.25">
      <c r="B47" s="56" t="s">
        <v>586</v>
      </c>
      <c r="C47" s="57" t="s">
        <v>451</v>
      </c>
      <c r="D47" s="60" t="s">
        <v>466</v>
      </c>
      <c r="E47" s="58">
        <v>88230.073080315196</v>
      </c>
      <c r="F47" s="59" t="s">
        <v>597</v>
      </c>
      <c r="G47" s="57" t="s">
        <v>3</v>
      </c>
      <c r="H47" s="57" t="s">
        <v>34</v>
      </c>
    </row>
    <row r="48" spans="2:8" ht="15" customHeight="1" x14ac:dyDescent="0.25">
      <c r="B48" s="56" t="s">
        <v>587</v>
      </c>
      <c r="C48" s="57" t="s">
        <v>588</v>
      </c>
      <c r="D48" s="60" t="s">
        <v>79</v>
      </c>
      <c r="E48" s="58">
        <v>993853.83</v>
      </c>
      <c r="F48" s="59" t="s">
        <v>598</v>
      </c>
      <c r="G48" s="57" t="s">
        <v>54</v>
      </c>
      <c r="H48" s="57" t="s">
        <v>5</v>
      </c>
    </row>
    <row r="49" spans="2:8" ht="15" customHeight="1" x14ac:dyDescent="0.25">
      <c r="B49" s="56" t="s">
        <v>589</v>
      </c>
      <c r="C49" s="57" t="s">
        <v>588</v>
      </c>
      <c r="D49" s="60" t="s">
        <v>79</v>
      </c>
      <c r="E49" s="58">
        <v>999015.22</v>
      </c>
      <c r="F49" s="59" t="s">
        <v>599</v>
      </c>
      <c r="G49" s="57" t="s">
        <v>54</v>
      </c>
      <c r="H49" s="57" t="s">
        <v>5</v>
      </c>
    </row>
    <row r="50" spans="2:8" ht="15" customHeight="1" x14ac:dyDescent="0.25">
      <c r="B50" s="56" t="s">
        <v>620</v>
      </c>
      <c r="C50" s="57" t="s">
        <v>621</v>
      </c>
      <c r="D50" s="60" t="s">
        <v>684</v>
      </c>
      <c r="E50" s="58">
        <v>4000000</v>
      </c>
      <c r="F50" s="59" t="s">
        <v>659</v>
      </c>
      <c r="G50" s="57" t="s">
        <v>1</v>
      </c>
      <c r="H50" s="57" t="s">
        <v>1</v>
      </c>
    </row>
    <row r="51" spans="2:8" ht="15" customHeight="1" x14ac:dyDescent="0.25">
      <c r="B51" s="56" t="s">
        <v>622</v>
      </c>
      <c r="C51" s="57" t="s">
        <v>623</v>
      </c>
      <c r="D51" s="60" t="s">
        <v>66</v>
      </c>
      <c r="E51" s="58">
        <v>250000</v>
      </c>
      <c r="F51" s="59" t="s">
        <v>660</v>
      </c>
      <c r="G51" s="57" t="s">
        <v>50</v>
      </c>
      <c r="H51" s="57" t="s">
        <v>5</v>
      </c>
    </row>
    <row r="52" spans="2:8" ht="15" customHeight="1" x14ac:dyDescent="0.25">
      <c r="B52" s="56" t="s">
        <v>624</v>
      </c>
      <c r="C52" s="57" t="s">
        <v>625</v>
      </c>
      <c r="D52" s="60" t="s">
        <v>689</v>
      </c>
      <c r="E52" s="58">
        <v>10360</v>
      </c>
      <c r="F52" s="59" t="s">
        <v>661</v>
      </c>
      <c r="G52" s="57" t="s">
        <v>50</v>
      </c>
      <c r="H52" s="57" t="s">
        <v>5</v>
      </c>
    </row>
    <row r="53" spans="2:8" ht="15" customHeight="1" x14ac:dyDescent="0.25">
      <c r="B53" s="56" t="s">
        <v>626</v>
      </c>
      <c r="C53" s="57" t="s">
        <v>627</v>
      </c>
      <c r="D53" s="60" t="s">
        <v>685</v>
      </c>
      <c r="E53" s="58">
        <v>450000</v>
      </c>
      <c r="F53" s="59" t="s">
        <v>662</v>
      </c>
      <c r="G53" s="57" t="s">
        <v>65</v>
      </c>
      <c r="H53" s="57" t="s">
        <v>441</v>
      </c>
    </row>
    <row r="54" spans="2:8" ht="15" customHeight="1" x14ac:dyDescent="0.25">
      <c r="B54" s="56" t="s">
        <v>626</v>
      </c>
      <c r="C54" s="57" t="s">
        <v>628</v>
      </c>
      <c r="D54" s="60" t="s">
        <v>690</v>
      </c>
      <c r="E54" s="58">
        <v>550000</v>
      </c>
      <c r="F54" s="59" t="s">
        <v>663</v>
      </c>
      <c r="G54" s="57" t="s">
        <v>65</v>
      </c>
      <c r="H54" s="57" t="s">
        <v>441</v>
      </c>
    </row>
    <row r="55" spans="2:8" ht="15" customHeight="1" x14ac:dyDescent="0.25">
      <c r="B55" s="56" t="s">
        <v>629</v>
      </c>
      <c r="C55" s="57" t="s">
        <v>630</v>
      </c>
      <c r="D55" s="60" t="s">
        <v>686</v>
      </c>
      <c r="E55" s="58">
        <v>80344</v>
      </c>
      <c r="F55" s="59" t="s">
        <v>664</v>
      </c>
      <c r="G55" s="57" t="s">
        <v>42</v>
      </c>
      <c r="H55" s="57" t="s">
        <v>5</v>
      </c>
    </row>
    <row r="56" spans="2:8" ht="15" customHeight="1" x14ac:dyDescent="0.25">
      <c r="B56" s="56" t="s">
        <v>629</v>
      </c>
      <c r="C56" s="57" t="s">
        <v>631</v>
      </c>
      <c r="D56" s="60" t="s">
        <v>93</v>
      </c>
      <c r="E56" s="58">
        <v>17400</v>
      </c>
      <c r="F56" s="59" t="s">
        <v>665</v>
      </c>
      <c r="G56" s="57" t="s">
        <v>42</v>
      </c>
      <c r="H56" s="57" t="s">
        <v>5</v>
      </c>
    </row>
    <row r="57" spans="2:8" ht="15" customHeight="1" x14ac:dyDescent="0.25">
      <c r="B57" s="56" t="s">
        <v>632</v>
      </c>
      <c r="C57" s="57" t="s">
        <v>633</v>
      </c>
      <c r="D57" s="60" t="s">
        <v>691</v>
      </c>
      <c r="E57" s="58">
        <v>16500</v>
      </c>
      <c r="F57" s="59" t="s">
        <v>666</v>
      </c>
      <c r="G57" s="57" t="s">
        <v>3</v>
      </c>
      <c r="H57" s="57" t="s">
        <v>34</v>
      </c>
    </row>
    <row r="58" spans="2:8" ht="15" customHeight="1" x14ac:dyDescent="0.25">
      <c r="B58" s="56" t="s">
        <v>632</v>
      </c>
      <c r="C58" s="57" t="s">
        <v>634</v>
      </c>
      <c r="D58" s="60" t="s">
        <v>692</v>
      </c>
      <c r="E58" s="58">
        <v>12800</v>
      </c>
      <c r="F58" s="59" t="s">
        <v>667</v>
      </c>
      <c r="G58" s="57" t="s">
        <v>42</v>
      </c>
      <c r="H58" s="57" t="s">
        <v>5</v>
      </c>
    </row>
    <row r="59" spans="2:8" ht="15" customHeight="1" x14ac:dyDescent="0.25">
      <c r="B59" s="56" t="s">
        <v>635</v>
      </c>
      <c r="C59" s="57" t="s">
        <v>636</v>
      </c>
      <c r="D59" s="60" t="s">
        <v>92</v>
      </c>
      <c r="E59" s="58">
        <v>479178</v>
      </c>
      <c r="F59" s="59" t="s">
        <v>668</v>
      </c>
      <c r="G59" s="57" t="s">
        <v>42</v>
      </c>
      <c r="H59" s="57" t="s">
        <v>5</v>
      </c>
    </row>
    <row r="60" spans="2:8" ht="15" customHeight="1" x14ac:dyDescent="0.25">
      <c r="B60" s="56" t="s">
        <v>637</v>
      </c>
      <c r="C60" s="57" t="s">
        <v>638</v>
      </c>
      <c r="D60" s="60" t="s">
        <v>48</v>
      </c>
      <c r="E60" s="58">
        <v>505714</v>
      </c>
      <c r="F60" s="59" t="s">
        <v>669</v>
      </c>
      <c r="G60" s="57" t="s">
        <v>3</v>
      </c>
      <c r="H60" s="57" t="s">
        <v>34</v>
      </c>
    </row>
    <row r="61" spans="2:8" ht="15" customHeight="1" x14ac:dyDescent="0.25">
      <c r="B61" s="56" t="s">
        <v>639</v>
      </c>
      <c r="C61" s="57" t="s">
        <v>640</v>
      </c>
      <c r="D61" s="60" t="s">
        <v>51</v>
      </c>
      <c r="E61" s="58">
        <v>10000</v>
      </c>
      <c r="F61" s="59" t="s">
        <v>670</v>
      </c>
      <c r="G61" s="57" t="s">
        <v>42</v>
      </c>
      <c r="H61" s="57" t="s">
        <v>5</v>
      </c>
    </row>
    <row r="62" spans="2:8" ht="15" customHeight="1" x14ac:dyDescent="0.25">
      <c r="B62" s="56" t="s">
        <v>641</v>
      </c>
      <c r="C62" s="57" t="s">
        <v>642</v>
      </c>
      <c r="D62" s="60" t="s">
        <v>63</v>
      </c>
      <c r="E62" s="58">
        <v>409312.76</v>
      </c>
      <c r="F62" s="59" t="s">
        <v>671</v>
      </c>
      <c r="G62" s="57" t="s">
        <v>54</v>
      </c>
      <c r="H62" s="57" t="s">
        <v>5</v>
      </c>
    </row>
    <row r="63" spans="2:8" ht="15" customHeight="1" x14ac:dyDescent="0.25">
      <c r="B63" s="56" t="s">
        <v>641</v>
      </c>
      <c r="C63" s="57" t="s">
        <v>642</v>
      </c>
      <c r="D63" s="60" t="s">
        <v>63</v>
      </c>
      <c r="E63" s="58">
        <v>331906.21000000002</v>
      </c>
      <c r="F63" s="59" t="s">
        <v>672</v>
      </c>
      <c r="G63" s="57" t="s">
        <v>54</v>
      </c>
      <c r="H63" s="57" t="s">
        <v>5</v>
      </c>
    </row>
    <row r="64" spans="2:8" ht="15" customHeight="1" x14ac:dyDescent="0.25">
      <c r="B64" s="56" t="s">
        <v>641</v>
      </c>
      <c r="C64" s="57" t="s">
        <v>643</v>
      </c>
      <c r="D64" s="60" t="s">
        <v>687</v>
      </c>
      <c r="E64" s="58">
        <v>25000</v>
      </c>
      <c r="F64" s="59" t="s">
        <v>673</v>
      </c>
      <c r="G64" s="57" t="s">
        <v>47</v>
      </c>
      <c r="H64" s="57" t="s">
        <v>5</v>
      </c>
    </row>
    <row r="65" spans="2:8" ht="15" customHeight="1" x14ac:dyDescent="0.25">
      <c r="B65" s="56" t="s">
        <v>644</v>
      </c>
      <c r="C65" s="57" t="s">
        <v>621</v>
      </c>
      <c r="D65" s="60" t="s">
        <v>684</v>
      </c>
      <c r="E65" s="58">
        <v>10000000</v>
      </c>
      <c r="F65" s="59" t="s">
        <v>674</v>
      </c>
      <c r="G65" s="57" t="s">
        <v>1</v>
      </c>
      <c r="H65" s="57" t="s">
        <v>1</v>
      </c>
    </row>
    <row r="66" spans="2:8" ht="15" customHeight="1" x14ac:dyDescent="0.25">
      <c r="B66" s="56" t="s">
        <v>645</v>
      </c>
      <c r="C66" s="57" t="s">
        <v>621</v>
      </c>
      <c r="D66" s="60" t="s">
        <v>684</v>
      </c>
      <c r="E66" s="58">
        <v>7000000</v>
      </c>
      <c r="F66" s="59" t="s">
        <v>675</v>
      </c>
      <c r="G66" s="57" t="s">
        <v>1</v>
      </c>
      <c r="H66" s="57" t="s">
        <v>1</v>
      </c>
    </row>
    <row r="67" spans="2:8" ht="15" customHeight="1" x14ac:dyDescent="0.25">
      <c r="B67" s="56" t="s">
        <v>646</v>
      </c>
      <c r="C67" s="57" t="s">
        <v>580</v>
      </c>
      <c r="D67" s="60" t="s">
        <v>357</v>
      </c>
      <c r="E67" s="58">
        <v>100000</v>
      </c>
      <c r="F67" s="59" t="s">
        <v>676</v>
      </c>
      <c r="G67" s="57" t="s">
        <v>50</v>
      </c>
      <c r="H67" s="57" t="s">
        <v>5</v>
      </c>
    </row>
    <row r="68" spans="2:8" ht="15" customHeight="1" x14ac:dyDescent="0.25">
      <c r="B68" s="56" t="s">
        <v>647</v>
      </c>
      <c r="C68" s="57" t="s">
        <v>648</v>
      </c>
      <c r="D68" s="60" t="s">
        <v>688</v>
      </c>
      <c r="E68" s="58">
        <v>1666666.67</v>
      </c>
      <c r="F68" s="59" t="s">
        <v>413</v>
      </c>
      <c r="G68" s="57" t="s">
        <v>1</v>
      </c>
      <c r="H68" s="57" t="s">
        <v>1</v>
      </c>
    </row>
    <row r="69" spans="2:8" ht="15" customHeight="1" x14ac:dyDescent="0.25">
      <c r="B69" s="56" t="s">
        <v>649</v>
      </c>
      <c r="C69" s="57" t="s">
        <v>650</v>
      </c>
      <c r="D69" s="60" t="s">
        <v>41</v>
      </c>
      <c r="E69" s="58">
        <v>400000</v>
      </c>
      <c r="F69" s="59" t="s">
        <v>677</v>
      </c>
      <c r="G69" s="57" t="s">
        <v>42</v>
      </c>
      <c r="H69" s="57" t="s">
        <v>5</v>
      </c>
    </row>
    <row r="70" spans="2:8" ht="15" customHeight="1" x14ac:dyDescent="0.25">
      <c r="B70" s="56" t="s">
        <v>651</v>
      </c>
      <c r="C70" s="57" t="s">
        <v>652</v>
      </c>
      <c r="D70" s="60" t="s">
        <v>43</v>
      </c>
      <c r="E70" s="58">
        <v>507839.11</v>
      </c>
      <c r="F70" s="59" t="s">
        <v>678</v>
      </c>
      <c r="G70" s="57" t="s">
        <v>6</v>
      </c>
      <c r="H70" s="57" t="s">
        <v>440</v>
      </c>
    </row>
    <row r="71" spans="2:8" ht="15" customHeight="1" x14ac:dyDescent="0.25">
      <c r="B71" s="56" t="s">
        <v>653</v>
      </c>
      <c r="C71" s="57" t="s">
        <v>652</v>
      </c>
      <c r="D71" s="60" t="s">
        <v>43</v>
      </c>
      <c r="E71" s="58">
        <v>453804.67</v>
      </c>
      <c r="F71" s="59" t="s">
        <v>679</v>
      </c>
      <c r="G71" s="57" t="s">
        <v>6</v>
      </c>
      <c r="H71" s="57" t="s">
        <v>440</v>
      </c>
    </row>
    <row r="72" spans="2:8" ht="15" customHeight="1" x14ac:dyDescent="0.25">
      <c r="B72" s="56" t="s">
        <v>654</v>
      </c>
      <c r="C72" s="57" t="s">
        <v>655</v>
      </c>
      <c r="D72" s="60" t="s">
        <v>90</v>
      </c>
      <c r="E72" s="58">
        <v>1000000</v>
      </c>
      <c r="F72" s="59" t="s">
        <v>680</v>
      </c>
      <c r="G72" s="57" t="s">
        <v>50</v>
      </c>
      <c r="H72" s="57" t="s">
        <v>5</v>
      </c>
    </row>
    <row r="73" spans="2:8" ht="15" customHeight="1" x14ac:dyDescent="0.25">
      <c r="B73" s="56" t="s">
        <v>656</v>
      </c>
      <c r="C73" s="57" t="s">
        <v>451</v>
      </c>
      <c r="D73" s="60" t="s">
        <v>466</v>
      </c>
      <c r="E73" s="58">
        <v>157422.22659224842</v>
      </c>
      <c r="F73" s="59" t="s">
        <v>681</v>
      </c>
      <c r="G73" s="57" t="s">
        <v>53</v>
      </c>
      <c r="H73" s="57" t="s">
        <v>5</v>
      </c>
    </row>
    <row r="74" spans="2:8" ht="15" customHeight="1" x14ac:dyDescent="0.25">
      <c r="B74" s="56" t="s">
        <v>656</v>
      </c>
      <c r="C74" s="57" t="s">
        <v>451</v>
      </c>
      <c r="D74" s="60" t="s">
        <v>466</v>
      </c>
      <c r="E74" s="58">
        <v>115376.45946247576</v>
      </c>
      <c r="F74" s="59" t="s">
        <v>681</v>
      </c>
      <c r="G74" s="57" t="s">
        <v>6</v>
      </c>
      <c r="H74" s="57" t="s">
        <v>440</v>
      </c>
    </row>
    <row r="75" spans="2:8" ht="15" customHeight="1" x14ac:dyDescent="0.25">
      <c r="B75" s="56" t="s">
        <v>656</v>
      </c>
      <c r="C75" s="57" t="s">
        <v>451</v>
      </c>
      <c r="D75" s="60" t="s">
        <v>466</v>
      </c>
      <c r="E75" s="58">
        <v>77201.313945275804</v>
      </c>
      <c r="F75" s="59" t="s">
        <v>681</v>
      </c>
      <c r="G75" s="57" t="s">
        <v>3</v>
      </c>
      <c r="H75" s="57" t="s">
        <v>34</v>
      </c>
    </row>
    <row r="76" spans="2:8" ht="15" customHeight="1" x14ac:dyDescent="0.25">
      <c r="B76" s="56" t="s">
        <v>657</v>
      </c>
      <c r="C76" s="57" t="s">
        <v>652</v>
      </c>
      <c r="D76" s="60" t="s">
        <v>43</v>
      </c>
      <c r="E76" s="58">
        <v>493274.37</v>
      </c>
      <c r="F76" s="59" t="s">
        <v>682</v>
      </c>
      <c r="G76" s="57" t="s">
        <v>6</v>
      </c>
      <c r="H76" s="57" t="s">
        <v>440</v>
      </c>
    </row>
    <row r="77" spans="2:8" ht="15" customHeight="1" x14ac:dyDescent="0.25">
      <c r="B77" s="56" t="s">
        <v>658</v>
      </c>
      <c r="C77" s="57" t="s">
        <v>652</v>
      </c>
      <c r="D77" s="60" t="s">
        <v>43</v>
      </c>
      <c r="E77" s="58">
        <v>485587.03</v>
      </c>
      <c r="F77" s="59" t="s">
        <v>683</v>
      </c>
      <c r="G77" s="57" t="s">
        <v>6</v>
      </c>
      <c r="H77" s="57" t="s">
        <v>440</v>
      </c>
    </row>
    <row r="78" spans="2:8" ht="15" customHeight="1" x14ac:dyDescent="0.25">
      <c r="B78" s="56" t="s">
        <v>721</v>
      </c>
      <c r="C78" s="57" t="s">
        <v>722</v>
      </c>
      <c r="D78" s="60" t="s">
        <v>772</v>
      </c>
      <c r="E78" s="58">
        <v>398962</v>
      </c>
      <c r="F78" s="59" t="s">
        <v>744</v>
      </c>
      <c r="G78" s="57" t="s">
        <v>3</v>
      </c>
      <c r="H78" s="57" t="s">
        <v>34</v>
      </c>
    </row>
    <row r="79" spans="2:8" ht="15" customHeight="1" x14ac:dyDescent="0.25">
      <c r="B79" s="56" t="s">
        <v>721</v>
      </c>
      <c r="C79" s="57" t="s">
        <v>722</v>
      </c>
      <c r="D79" s="60" t="s">
        <v>772</v>
      </c>
      <c r="E79" s="58">
        <v>100000</v>
      </c>
      <c r="F79" s="59" t="s">
        <v>744</v>
      </c>
      <c r="G79" s="57" t="s">
        <v>6</v>
      </c>
      <c r="H79" s="57" t="s">
        <v>440</v>
      </c>
    </row>
    <row r="80" spans="2:8" ht="15" customHeight="1" x14ac:dyDescent="0.25">
      <c r="B80" s="56" t="s">
        <v>721</v>
      </c>
      <c r="C80" s="57" t="s">
        <v>722</v>
      </c>
      <c r="D80" s="60" t="s">
        <v>772</v>
      </c>
      <c r="E80" s="58">
        <v>2099549.54</v>
      </c>
      <c r="F80" s="59" t="s">
        <v>744</v>
      </c>
      <c r="G80" s="57" t="s">
        <v>42</v>
      </c>
      <c r="H80" s="57" t="s">
        <v>5</v>
      </c>
    </row>
    <row r="81" spans="2:8" ht="15" customHeight="1" x14ac:dyDescent="0.25">
      <c r="B81" s="56" t="s">
        <v>723</v>
      </c>
      <c r="C81" s="57" t="s">
        <v>724</v>
      </c>
      <c r="D81" s="60" t="s">
        <v>773</v>
      </c>
      <c r="E81" s="58">
        <v>123000</v>
      </c>
      <c r="F81" s="59" t="s">
        <v>745</v>
      </c>
      <c r="G81" s="57" t="s">
        <v>3</v>
      </c>
      <c r="H81" s="57" t="s">
        <v>34</v>
      </c>
    </row>
    <row r="82" spans="2:8" ht="15" customHeight="1" x14ac:dyDescent="0.25">
      <c r="B82" s="56" t="s">
        <v>725</v>
      </c>
      <c r="C82" s="57" t="s">
        <v>726</v>
      </c>
      <c r="D82" s="60" t="s">
        <v>477</v>
      </c>
      <c r="E82" s="58">
        <v>673432.22</v>
      </c>
      <c r="F82" s="59" t="s">
        <v>746</v>
      </c>
      <c r="G82" s="57" t="s">
        <v>50</v>
      </c>
      <c r="H82" s="57" t="s">
        <v>5</v>
      </c>
    </row>
    <row r="83" spans="2:8" ht="15" customHeight="1" x14ac:dyDescent="0.25">
      <c r="B83" s="56" t="s">
        <v>727</v>
      </c>
      <c r="C83" s="57" t="s">
        <v>728</v>
      </c>
      <c r="D83" s="60" t="s">
        <v>422</v>
      </c>
      <c r="E83" s="58">
        <v>1144</v>
      </c>
      <c r="F83" s="59" t="s">
        <v>747</v>
      </c>
      <c r="G83" s="57" t="s">
        <v>3</v>
      </c>
      <c r="H83" s="57" t="s">
        <v>34</v>
      </c>
    </row>
    <row r="84" spans="2:8" ht="15" customHeight="1" x14ac:dyDescent="0.25">
      <c r="B84" s="56" t="s">
        <v>727</v>
      </c>
      <c r="C84" s="57" t="s">
        <v>729</v>
      </c>
      <c r="D84" s="60" t="s">
        <v>422</v>
      </c>
      <c r="E84" s="58">
        <v>37169</v>
      </c>
      <c r="F84" s="59" t="s">
        <v>748</v>
      </c>
      <c r="G84" s="57" t="s">
        <v>6</v>
      </c>
      <c r="H84" s="57" t="s">
        <v>440</v>
      </c>
    </row>
    <row r="85" spans="2:8" ht="15" customHeight="1" x14ac:dyDescent="0.25">
      <c r="B85" s="56" t="s">
        <v>730</v>
      </c>
      <c r="C85" s="57" t="s">
        <v>731</v>
      </c>
      <c r="D85" s="60" t="s">
        <v>422</v>
      </c>
      <c r="E85" s="58">
        <v>207797</v>
      </c>
      <c r="F85" s="59" t="s">
        <v>749</v>
      </c>
      <c r="G85" s="57" t="s">
        <v>1</v>
      </c>
      <c r="H85" s="57" t="s">
        <v>1</v>
      </c>
    </row>
    <row r="86" spans="2:8" ht="15" customHeight="1" x14ac:dyDescent="0.25">
      <c r="B86" s="56" t="s">
        <v>732</v>
      </c>
      <c r="C86" s="57" t="s">
        <v>733</v>
      </c>
      <c r="D86" s="60" t="s">
        <v>422</v>
      </c>
      <c r="E86" s="58">
        <v>584676</v>
      </c>
      <c r="F86" s="59" t="s">
        <v>750</v>
      </c>
      <c r="G86" s="57" t="s">
        <v>1</v>
      </c>
      <c r="H86" s="57" t="s">
        <v>1</v>
      </c>
    </row>
    <row r="87" spans="2:8" ht="15" customHeight="1" x14ac:dyDescent="0.25">
      <c r="B87" s="56" t="s">
        <v>734</v>
      </c>
      <c r="C87" s="57" t="s">
        <v>735</v>
      </c>
      <c r="D87" s="60" t="s">
        <v>422</v>
      </c>
      <c r="E87" s="58">
        <v>1498712</v>
      </c>
      <c r="F87" s="59" t="s">
        <v>751</v>
      </c>
      <c r="G87" s="57" t="s">
        <v>50</v>
      </c>
      <c r="H87" s="57" t="s">
        <v>5</v>
      </c>
    </row>
    <row r="88" spans="2:8" ht="15" customHeight="1" x14ac:dyDescent="0.25">
      <c r="B88" s="56" t="s">
        <v>736</v>
      </c>
      <c r="C88" s="57" t="s">
        <v>737</v>
      </c>
      <c r="D88" s="60" t="s">
        <v>477</v>
      </c>
      <c r="E88" s="58">
        <v>476525.72</v>
      </c>
      <c r="F88" s="59" t="s">
        <v>752</v>
      </c>
      <c r="G88" s="57" t="s">
        <v>50</v>
      </c>
      <c r="H88" s="57" t="s">
        <v>5</v>
      </c>
    </row>
    <row r="89" spans="2:8" ht="15" customHeight="1" x14ac:dyDescent="0.25">
      <c r="B89" s="56" t="s">
        <v>738</v>
      </c>
      <c r="C89" s="57" t="s">
        <v>739</v>
      </c>
      <c r="D89" s="60" t="s">
        <v>692</v>
      </c>
      <c r="E89" s="58">
        <v>12800</v>
      </c>
      <c r="F89" s="59" t="s">
        <v>753</v>
      </c>
      <c r="G89" s="57" t="s">
        <v>42</v>
      </c>
      <c r="H89" s="57" t="s">
        <v>5</v>
      </c>
    </row>
    <row r="90" spans="2:8" ht="15" customHeight="1" x14ac:dyDescent="0.25">
      <c r="B90" s="56" t="s">
        <v>740</v>
      </c>
      <c r="C90" s="57" t="s">
        <v>741</v>
      </c>
      <c r="D90" s="60" t="s">
        <v>453</v>
      </c>
      <c r="E90" s="58">
        <v>327372.82</v>
      </c>
      <c r="F90" s="59" t="s">
        <v>754</v>
      </c>
      <c r="G90" s="57" t="s">
        <v>469</v>
      </c>
      <c r="H90" s="57" t="s">
        <v>441</v>
      </c>
    </row>
    <row r="91" spans="2:8" ht="15" customHeight="1" x14ac:dyDescent="0.25">
      <c r="B91" s="56" t="s">
        <v>742</v>
      </c>
      <c r="C91" s="57" t="s">
        <v>743</v>
      </c>
      <c r="D91" s="60" t="s">
        <v>774</v>
      </c>
      <c r="E91" s="58">
        <v>1091312.9440725225</v>
      </c>
      <c r="F91" s="59" t="s">
        <v>755</v>
      </c>
      <c r="G91" s="57" t="s">
        <v>50</v>
      </c>
      <c r="H91" s="57" t="s">
        <v>5</v>
      </c>
    </row>
    <row r="92" spans="2:8" ht="15" customHeight="1" x14ac:dyDescent="0.25">
      <c r="B92" s="56" t="s">
        <v>742</v>
      </c>
      <c r="C92" s="57" t="s">
        <v>743</v>
      </c>
      <c r="D92" s="60" t="s">
        <v>774</v>
      </c>
      <c r="E92" s="58">
        <v>799835.10828361288</v>
      </c>
      <c r="F92" s="59" t="s">
        <v>755</v>
      </c>
      <c r="G92" s="57" t="s">
        <v>6</v>
      </c>
      <c r="H92" s="57" t="s">
        <v>440</v>
      </c>
    </row>
    <row r="93" spans="2:8" ht="15" customHeight="1" x14ac:dyDescent="0.25">
      <c r="B93" s="56" t="s">
        <v>742</v>
      </c>
      <c r="C93" s="57" t="s">
        <v>743</v>
      </c>
      <c r="D93" s="60" t="s">
        <v>774</v>
      </c>
      <c r="E93" s="58">
        <v>535189.94764386455</v>
      </c>
      <c r="F93" s="59" t="s">
        <v>755</v>
      </c>
      <c r="G93" s="57" t="s">
        <v>3</v>
      </c>
      <c r="H93" s="57" t="s">
        <v>34</v>
      </c>
    </row>
    <row r="94" spans="2:8" ht="15" customHeight="1" x14ac:dyDescent="0.25">
      <c r="B94" s="56" t="s">
        <v>775</v>
      </c>
      <c r="C94" s="57" t="s">
        <v>776</v>
      </c>
      <c r="D94" s="60" t="s">
        <v>472</v>
      </c>
      <c r="E94" s="58">
        <v>150000</v>
      </c>
      <c r="F94" s="59" t="s">
        <v>803</v>
      </c>
      <c r="G94" s="57" t="s">
        <v>65</v>
      </c>
      <c r="H94" s="57" t="s">
        <v>441</v>
      </c>
    </row>
    <row r="95" spans="2:8" ht="15" customHeight="1" x14ac:dyDescent="0.25">
      <c r="B95" s="56" t="s">
        <v>777</v>
      </c>
      <c r="C95" s="57" t="s">
        <v>722</v>
      </c>
      <c r="D95" s="60" t="s">
        <v>859</v>
      </c>
      <c r="E95" s="58">
        <v>44566.21</v>
      </c>
      <c r="F95" s="59" t="s">
        <v>804</v>
      </c>
      <c r="G95" s="57" t="s">
        <v>1</v>
      </c>
      <c r="H95" s="57" t="s">
        <v>5</v>
      </c>
    </row>
    <row r="96" spans="2:8" ht="15" customHeight="1" x14ac:dyDescent="0.25">
      <c r="B96" s="56" t="s">
        <v>778</v>
      </c>
      <c r="C96" s="57" t="s">
        <v>779</v>
      </c>
      <c r="D96" s="60" t="s">
        <v>860</v>
      </c>
      <c r="E96" s="58">
        <v>53100</v>
      </c>
      <c r="F96" s="59" t="s">
        <v>805</v>
      </c>
      <c r="G96" s="57" t="s">
        <v>1</v>
      </c>
      <c r="H96" s="57" t="s">
        <v>5</v>
      </c>
    </row>
    <row r="97" spans="2:8" ht="15" customHeight="1" x14ac:dyDescent="0.25">
      <c r="B97" s="56" t="s">
        <v>780</v>
      </c>
      <c r="C97" s="57" t="s">
        <v>781</v>
      </c>
      <c r="D97" s="60" t="s">
        <v>861</v>
      </c>
      <c r="E97" s="58">
        <v>34618</v>
      </c>
      <c r="F97" s="59" t="s">
        <v>806</v>
      </c>
      <c r="G97" s="57" t="s">
        <v>53</v>
      </c>
      <c r="H97" s="57" t="s">
        <v>5</v>
      </c>
    </row>
    <row r="98" spans="2:8" ht="15" customHeight="1" x14ac:dyDescent="0.25">
      <c r="B98" s="56" t="s">
        <v>782</v>
      </c>
      <c r="C98" s="57" t="s">
        <v>783</v>
      </c>
      <c r="D98" s="60" t="s">
        <v>862</v>
      </c>
      <c r="E98" s="58">
        <v>20000</v>
      </c>
      <c r="F98" s="59" t="s">
        <v>807</v>
      </c>
      <c r="G98" s="57" t="s">
        <v>50</v>
      </c>
      <c r="H98" s="57" t="s">
        <v>5</v>
      </c>
    </row>
    <row r="99" spans="2:8" ht="15" customHeight="1" x14ac:dyDescent="0.25">
      <c r="B99" s="56" t="s">
        <v>784</v>
      </c>
      <c r="C99" s="57" t="s">
        <v>785</v>
      </c>
      <c r="D99" s="60" t="s">
        <v>75</v>
      </c>
      <c r="E99" s="58">
        <v>200000</v>
      </c>
      <c r="F99" s="59" t="s">
        <v>808</v>
      </c>
      <c r="G99" s="57" t="s">
        <v>1</v>
      </c>
      <c r="H99" s="57" t="s">
        <v>5</v>
      </c>
    </row>
    <row r="100" spans="2:8" ht="15" customHeight="1" x14ac:dyDescent="0.25">
      <c r="B100" s="56" t="s">
        <v>786</v>
      </c>
      <c r="C100" s="57" t="s">
        <v>481</v>
      </c>
      <c r="D100" s="60" t="s">
        <v>62</v>
      </c>
      <c r="E100" s="58">
        <v>100000</v>
      </c>
      <c r="F100" s="59" t="s">
        <v>809</v>
      </c>
      <c r="G100" s="57" t="s">
        <v>3</v>
      </c>
      <c r="H100" s="57" t="s">
        <v>34</v>
      </c>
    </row>
    <row r="101" spans="2:8" ht="15" customHeight="1" x14ac:dyDescent="0.25">
      <c r="B101" s="56" t="s">
        <v>786</v>
      </c>
      <c r="C101" s="57" t="s">
        <v>581</v>
      </c>
      <c r="D101" s="60" t="s">
        <v>615</v>
      </c>
      <c r="E101" s="58">
        <v>300000</v>
      </c>
      <c r="F101" s="59" t="s">
        <v>810</v>
      </c>
      <c r="G101" s="57" t="s">
        <v>50</v>
      </c>
      <c r="H101" s="57" t="s">
        <v>5</v>
      </c>
    </row>
    <row r="102" spans="2:8" ht="15" customHeight="1" x14ac:dyDescent="0.25">
      <c r="B102" s="56" t="s">
        <v>787</v>
      </c>
      <c r="C102" s="57" t="s">
        <v>788</v>
      </c>
      <c r="D102" s="60" t="s">
        <v>863</v>
      </c>
      <c r="E102" s="58">
        <v>97630.65</v>
      </c>
      <c r="F102" s="59" t="s">
        <v>811</v>
      </c>
      <c r="G102" s="57" t="s">
        <v>42</v>
      </c>
      <c r="H102" s="57" t="s">
        <v>5</v>
      </c>
    </row>
    <row r="103" spans="2:8" ht="15" customHeight="1" x14ac:dyDescent="0.25">
      <c r="B103" s="56" t="s">
        <v>789</v>
      </c>
      <c r="C103" s="57" t="s">
        <v>790</v>
      </c>
      <c r="D103" s="60" t="s">
        <v>864</v>
      </c>
      <c r="E103" s="58">
        <v>5800</v>
      </c>
      <c r="F103" s="59" t="s">
        <v>812</v>
      </c>
      <c r="G103" s="57" t="s">
        <v>867</v>
      </c>
      <c r="H103" s="57" t="s">
        <v>5</v>
      </c>
    </row>
    <row r="104" spans="2:8" ht="15" customHeight="1" x14ac:dyDescent="0.25">
      <c r="B104" s="56" t="s">
        <v>789</v>
      </c>
      <c r="C104" s="57" t="s">
        <v>791</v>
      </c>
      <c r="D104" s="60" t="s">
        <v>865</v>
      </c>
      <c r="E104" s="58">
        <v>41539.800000000003</v>
      </c>
      <c r="F104" s="59" t="s">
        <v>813</v>
      </c>
      <c r="G104" s="57" t="s">
        <v>867</v>
      </c>
      <c r="H104" s="57" t="s">
        <v>5</v>
      </c>
    </row>
    <row r="105" spans="2:8" ht="15" customHeight="1" x14ac:dyDescent="0.25">
      <c r="B105" s="56" t="s">
        <v>792</v>
      </c>
      <c r="C105" s="57" t="s">
        <v>793</v>
      </c>
      <c r="D105" s="60" t="s">
        <v>866</v>
      </c>
      <c r="E105" s="58">
        <v>23100</v>
      </c>
      <c r="F105" s="59" t="s">
        <v>814</v>
      </c>
      <c r="G105" s="57" t="s">
        <v>42</v>
      </c>
      <c r="H105" s="57" t="s">
        <v>5</v>
      </c>
    </row>
    <row r="106" spans="2:8" ht="15" customHeight="1" x14ac:dyDescent="0.25">
      <c r="B106" s="56" t="s">
        <v>794</v>
      </c>
      <c r="C106" s="57" t="s">
        <v>795</v>
      </c>
      <c r="D106" s="60" t="s">
        <v>283</v>
      </c>
      <c r="E106" s="58">
        <v>692734.68</v>
      </c>
      <c r="F106" s="59" t="s">
        <v>815</v>
      </c>
      <c r="G106" s="57" t="s">
        <v>53</v>
      </c>
      <c r="H106" s="57" t="s">
        <v>5</v>
      </c>
    </row>
    <row r="107" spans="2:8" ht="15" customHeight="1" x14ac:dyDescent="0.25">
      <c r="B107" s="56" t="s">
        <v>796</v>
      </c>
      <c r="C107" s="57" t="s">
        <v>470</v>
      </c>
      <c r="D107" s="60" t="s">
        <v>471</v>
      </c>
      <c r="E107" s="58">
        <v>381150</v>
      </c>
      <c r="F107" s="59" t="s">
        <v>816</v>
      </c>
      <c r="G107" s="57" t="s">
        <v>65</v>
      </c>
      <c r="H107" s="57" t="s">
        <v>441</v>
      </c>
    </row>
    <row r="108" spans="2:8" ht="15" customHeight="1" x14ac:dyDescent="0.25">
      <c r="B108" s="56" t="s">
        <v>796</v>
      </c>
      <c r="C108" s="57" t="s">
        <v>498</v>
      </c>
      <c r="D108" s="60" t="s">
        <v>559</v>
      </c>
      <c r="E108" s="58">
        <v>200000</v>
      </c>
      <c r="F108" s="59" t="s">
        <v>817</v>
      </c>
      <c r="G108" s="57" t="s">
        <v>65</v>
      </c>
      <c r="H108" s="57" t="s">
        <v>441</v>
      </c>
    </row>
    <row r="109" spans="2:8" ht="15" customHeight="1" x14ac:dyDescent="0.25">
      <c r="B109" s="56" t="s">
        <v>797</v>
      </c>
      <c r="C109" s="57" t="s">
        <v>583</v>
      </c>
      <c r="D109" s="60" t="s">
        <v>616</v>
      </c>
      <c r="E109" s="58">
        <v>100000</v>
      </c>
      <c r="F109" s="59" t="s">
        <v>818</v>
      </c>
      <c r="G109" s="57" t="s">
        <v>47</v>
      </c>
      <c r="H109" s="57" t="s">
        <v>5</v>
      </c>
    </row>
    <row r="110" spans="2:8" ht="15" customHeight="1" x14ac:dyDescent="0.25">
      <c r="B110" s="56" t="s">
        <v>798</v>
      </c>
      <c r="C110" s="57" t="s">
        <v>463</v>
      </c>
      <c r="D110" s="60" t="s">
        <v>69</v>
      </c>
      <c r="E110" s="58">
        <v>340200</v>
      </c>
      <c r="F110" s="59" t="s">
        <v>819</v>
      </c>
      <c r="G110" s="57" t="s">
        <v>1</v>
      </c>
      <c r="H110" s="57" t="s">
        <v>5</v>
      </c>
    </row>
    <row r="111" spans="2:8" ht="15" customHeight="1" x14ac:dyDescent="0.25">
      <c r="B111" s="56" t="s">
        <v>799</v>
      </c>
      <c r="C111" s="57" t="s">
        <v>462</v>
      </c>
      <c r="D111" s="60" t="s">
        <v>460</v>
      </c>
      <c r="E111" s="58">
        <v>74216</v>
      </c>
      <c r="F111" s="59" t="s">
        <v>820</v>
      </c>
      <c r="G111" s="57" t="s">
        <v>54</v>
      </c>
      <c r="H111" s="57" t="s">
        <v>5</v>
      </c>
    </row>
    <row r="112" spans="2:8" ht="15" customHeight="1" x14ac:dyDescent="0.25">
      <c r="B112" s="56" t="s">
        <v>800</v>
      </c>
      <c r="C112" s="57" t="s">
        <v>801</v>
      </c>
      <c r="D112" s="60" t="s">
        <v>94</v>
      </c>
      <c r="E112" s="58">
        <v>760670</v>
      </c>
      <c r="F112" s="59" t="s">
        <v>821</v>
      </c>
      <c r="G112" s="57" t="s">
        <v>50</v>
      </c>
      <c r="H112" s="57" t="s">
        <v>5</v>
      </c>
    </row>
    <row r="113" spans="2:8" ht="15" customHeight="1" x14ac:dyDescent="0.25">
      <c r="B113" s="56" t="s">
        <v>800</v>
      </c>
      <c r="C113" s="57" t="s">
        <v>802</v>
      </c>
      <c r="D113" s="60" t="s">
        <v>95</v>
      </c>
      <c r="E113" s="58">
        <v>217307</v>
      </c>
      <c r="F113" s="59" t="s">
        <v>822</v>
      </c>
      <c r="G113" s="57" t="s">
        <v>47</v>
      </c>
      <c r="H113" s="57" t="s">
        <v>5</v>
      </c>
    </row>
    <row r="114" spans="2:8" ht="15" customHeight="1" x14ac:dyDescent="0.25">
      <c r="B114" s="56" t="s">
        <v>873</v>
      </c>
      <c r="C114" s="57" t="s">
        <v>874</v>
      </c>
      <c r="D114" s="60" t="s">
        <v>41</v>
      </c>
      <c r="E114" s="58">
        <v>400000</v>
      </c>
      <c r="F114" s="59" t="s">
        <v>953</v>
      </c>
      <c r="G114" s="57" t="s">
        <v>42</v>
      </c>
      <c r="H114" s="57" t="s">
        <v>5</v>
      </c>
    </row>
    <row r="115" spans="2:8" ht="15" customHeight="1" x14ac:dyDescent="0.25">
      <c r="B115" s="56" t="s">
        <v>875</v>
      </c>
      <c r="C115" s="57" t="s">
        <v>876</v>
      </c>
      <c r="D115" s="60" t="s">
        <v>1027</v>
      </c>
      <c r="E115" s="58">
        <v>1760</v>
      </c>
      <c r="F115" s="59" t="s">
        <v>954</v>
      </c>
      <c r="G115" s="57" t="s">
        <v>47</v>
      </c>
      <c r="H115" s="57" t="s">
        <v>5</v>
      </c>
    </row>
    <row r="116" spans="2:8" ht="15" customHeight="1" x14ac:dyDescent="0.25">
      <c r="B116" s="56" t="s">
        <v>875</v>
      </c>
      <c r="C116" s="57" t="s">
        <v>877</v>
      </c>
      <c r="D116" s="60" t="s">
        <v>1016</v>
      </c>
      <c r="E116" s="58">
        <v>4500</v>
      </c>
      <c r="F116" s="59" t="s">
        <v>955</v>
      </c>
      <c r="G116" s="57" t="s">
        <v>53</v>
      </c>
      <c r="H116" s="57" t="s">
        <v>5</v>
      </c>
    </row>
    <row r="117" spans="2:8" ht="15" customHeight="1" x14ac:dyDescent="0.25">
      <c r="B117" s="56" t="s">
        <v>875</v>
      </c>
      <c r="C117" s="57" t="s">
        <v>878</v>
      </c>
      <c r="D117" s="60" t="s">
        <v>1028</v>
      </c>
      <c r="E117" s="58">
        <v>1479.8</v>
      </c>
      <c r="F117" s="59" t="s">
        <v>956</v>
      </c>
      <c r="G117" s="57" t="s">
        <v>50</v>
      </c>
      <c r="H117" s="57" t="s">
        <v>5</v>
      </c>
    </row>
    <row r="118" spans="2:8" ht="15" customHeight="1" x14ac:dyDescent="0.25">
      <c r="B118" s="56" t="s">
        <v>879</v>
      </c>
      <c r="C118" s="57" t="s">
        <v>880</v>
      </c>
      <c r="D118" s="60" t="s">
        <v>1017</v>
      </c>
      <c r="E118" s="58">
        <v>62906.8</v>
      </c>
      <c r="F118" s="59" t="s">
        <v>957</v>
      </c>
      <c r="G118" s="57" t="s">
        <v>3</v>
      </c>
      <c r="H118" s="57" t="s">
        <v>35</v>
      </c>
    </row>
    <row r="119" spans="2:8" ht="15" customHeight="1" x14ac:dyDescent="0.25">
      <c r="B119" s="56" t="s">
        <v>879</v>
      </c>
      <c r="C119" s="57" t="s">
        <v>881</v>
      </c>
      <c r="D119" s="60" t="s">
        <v>246</v>
      </c>
      <c r="E119" s="58">
        <v>3000</v>
      </c>
      <c r="F119" s="59" t="s">
        <v>958</v>
      </c>
      <c r="G119" s="57" t="s">
        <v>411</v>
      </c>
      <c r="H119" s="57" t="s">
        <v>5</v>
      </c>
    </row>
    <row r="120" spans="2:8" ht="15" customHeight="1" x14ac:dyDescent="0.25">
      <c r="B120" s="56" t="s">
        <v>879</v>
      </c>
      <c r="C120" s="57" t="s">
        <v>882</v>
      </c>
      <c r="D120" s="60" t="s">
        <v>106</v>
      </c>
      <c r="E120" s="58">
        <v>3000</v>
      </c>
      <c r="F120" s="59" t="s">
        <v>959</v>
      </c>
      <c r="G120" s="57" t="s">
        <v>50</v>
      </c>
      <c r="H120" s="57" t="s">
        <v>5</v>
      </c>
    </row>
    <row r="121" spans="2:8" ht="15" customHeight="1" x14ac:dyDescent="0.25">
      <c r="B121" s="56" t="s">
        <v>879</v>
      </c>
      <c r="C121" s="57" t="s">
        <v>883</v>
      </c>
      <c r="D121" s="60" t="s">
        <v>112</v>
      </c>
      <c r="E121" s="58">
        <v>3234</v>
      </c>
      <c r="F121" s="59" t="s">
        <v>960</v>
      </c>
      <c r="G121" s="57" t="s">
        <v>50</v>
      </c>
      <c r="H121" s="57" t="s">
        <v>5</v>
      </c>
    </row>
    <row r="122" spans="2:8" ht="15" customHeight="1" x14ac:dyDescent="0.25">
      <c r="B122" s="56" t="s">
        <v>879</v>
      </c>
      <c r="C122" s="57" t="s">
        <v>884</v>
      </c>
      <c r="D122" s="60" t="s">
        <v>108</v>
      </c>
      <c r="E122" s="58">
        <v>4900</v>
      </c>
      <c r="F122" s="59" t="s">
        <v>961</v>
      </c>
      <c r="G122" s="57" t="s">
        <v>53</v>
      </c>
      <c r="H122" s="57" t="s">
        <v>5</v>
      </c>
    </row>
    <row r="123" spans="2:8" ht="15" customHeight="1" x14ac:dyDescent="0.25">
      <c r="B123" s="56" t="s">
        <v>879</v>
      </c>
      <c r="C123" s="57" t="s">
        <v>885</v>
      </c>
      <c r="D123" s="60" t="s">
        <v>1018</v>
      </c>
      <c r="E123" s="58">
        <v>6000</v>
      </c>
      <c r="F123" s="59" t="s">
        <v>962</v>
      </c>
      <c r="G123" s="57" t="s">
        <v>47</v>
      </c>
      <c r="H123" s="57" t="s">
        <v>5</v>
      </c>
    </row>
    <row r="124" spans="2:8" ht="15" customHeight="1" x14ac:dyDescent="0.25">
      <c r="B124" s="56" t="s">
        <v>879</v>
      </c>
      <c r="C124" s="57" t="s">
        <v>886</v>
      </c>
      <c r="D124" s="68" t="s">
        <v>1029</v>
      </c>
      <c r="E124" s="58">
        <v>6000</v>
      </c>
      <c r="F124" s="59" t="s">
        <v>963</v>
      </c>
      <c r="G124" s="57" t="s">
        <v>867</v>
      </c>
      <c r="H124" s="57" t="s">
        <v>5</v>
      </c>
    </row>
    <row r="125" spans="2:8" ht="15" customHeight="1" x14ac:dyDescent="0.25">
      <c r="B125" s="56" t="s">
        <v>879</v>
      </c>
      <c r="C125" s="57" t="s">
        <v>887</v>
      </c>
      <c r="D125" s="60" t="s">
        <v>109</v>
      </c>
      <c r="E125" s="58">
        <v>6573</v>
      </c>
      <c r="F125" s="59" t="s">
        <v>964</v>
      </c>
      <c r="G125" s="57" t="s">
        <v>50</v>
      </c>
      <c r="H125" s="57" t="s">
        <v>5</v>
      </c>
    </row>
    <row r="126" spans="2:8" ht="15" customHeight="1" x14ac:dyDescent="0.25">
      <c r="B126" s="56" t="s">
        <v>879</v>
      </c>
      <c r="C126" s="57" t="s">
        <v>888</v>
      </c>
      <c r="D126" s="60" t="s">
        <v>1030</v>
      </c>
      <c r="E126" s="58">
        <v>8000</v>
      </c>
      <c r="F126" s="59" t="s">
        <v>965</v>
      </c>
      <c r="G126" s="57" t="s">
        <v>42</v>
      </c>
      <c r="H126" s="57" t="s">
        <v>5</v>
      </c>
    </row>
    <row r="127" spans="2:8" ht="15" customHeight="1" x14ac:dyDescent="0.25">
      <c r="B127" s="56" t="s">
        <v>879</v>
      </c>
      <c r="C127" s="57" t="s">
        <v>889</v>
      </c>
      <c r="D127" s="60" t="s">
        <v>1031</v>
      </c>
      <c r="E127" s="58">
        <v>8850</v>
      </c>
      <c r="F127" s="59" t="s">
        <v>966</v>
      </c>
      <c r="G127" s="57" t="s">
        <v>1050</v>
      </c>
      <c r="H127" s="57" t="s">
        <v>440</v>
      </c>
    </row>
    <row r="128" spans="2:8" ht="15" customHeight="1" x14ac:dyDescent="0.25">
      <c r="B128" s="56" t="s">
        <v>879</v>
      </c>
      <c r="C128" s="57" t="s">
        <v>890</v>
      </c>
      <c r="D128" s="60" t="s">
        <v>1019</v>
      </c>
      <c r="E128" s="58">
        <v>9320</v>
      </c>
      <c r="F128" s="59" t="s">
        <v>967</v>
      </c>
      <c r="G128" s="57" t="s">
        <v>42</v>
      </c>
      <c r="H128" s="57" t="s">
        <v>5</v>
      </c>
    </row>
    <row r="129" spans="2:8" ht="15" customHeight="1" x14ac:dyDescent="0.25">
      <c r="B129" s="56" t="s">
        <v>879</v>
      </c>
      <c r="C129" s="57" t="s">
        <v>891</v>
      </c>
      <c r="D129" s="60" t="s">
        <v>361</v>
      </c>
      <c r="E129" s="58">
        <v>10916</v>
      </c>
      <c r="F129" s="59" t="s">
        <v>968</v>
      </c>
      <c r="G129" s="57" t="s">
        <v>47</v>
      </c>
      <c r="H129" s="57" t="s">
        <v>5</v>
      </c>
    </row>
    <row r="130" spans="2:8" ht="15" customHeight="1" x14ac:dyDescent="0.25">
      <c r="B130" s="56" t="s">
        <v>879</v>
      </c>
      <c r="C130" s="57" t="s">
        <v>892</v>
      </c>
      <c r="D130" s="60" t="s">
        <v>115</v>
      </c>
      <c r="E130" s="58">
        <v>12642</v>
      </c>
      <c r="F130" s="59" t="s">
        <v>969</v>
      </c>
      <c r="G130" s="57" t="s">
        <v>53</v>
      </c>
      <c r="H130" s="57" t="s">
        <v>5</v>
      </c>
    </row>
    <row r="131" spans="2:8" ht="15" customHeight="1" x14ac:dyDescent="0.25">
      <c r="B131" s="56" t="s">
        <v>879</v>
      </c>
      <c r="C131" s="57" t="s">
        <v>893</v>
      </c>
      <c r="D131" s="60" t="s">
        <v>119</v>
      </c>
      <c r="E131" s="58">
        <v>12683</v>
      </c>
      <c r="F131" s="58" t="s">
        <v>970</v>
      </c>
      <c r="G131" s="57" t="s">
        <v>46</v>
      </c>
      <c r="H131" s="57" t="s">
        <v>5</v>
      </c>
    </row>
    <row r="132" spans="2:8" ht="15" customHeight="1" x14ac:dyDescent="0.25">
      <c r="B132" s="56" t="s">
        <v>879</v>
      </c>
      <c r="C132" s="57" t="s">
        <v>894</v>
      </c>
      <c r="D132" s="60" t="s">
        <v>129</v>
      </c>
      <c r="E132" s="58">
        <v>12841.2</v>
      </c>
      <c r="F132" s="58" t="s">
        <v>971</v>
      </c>
      <c r="G132" s="57" t="s">
        <v>50</v>
      </c>
      <c r="H132" s="57" t="s">
        <v>5</v>
      </c>
    </row>
    <row r="133" spans="2:8" ht="15" customHeight="1" x14ac:dyDescent="0.25">
      <c r="B133" s="56" t="s">
        <v>879</v>
      </c>
      <c r="C133" s="57" t="s">
        <v>895</v>
      </c>
      <c r="D133" s="60" t="s">
        <v>1032</v>
      </c>
      <c r="E133" s="58">
        <v>13433.12</v>
      </c>
      <c r="F133" s="58" t="s">
        <v>972</v>
      </c>
      <c r="G133" s="57" t="s">
        <v>1</v>
      </c>
      <c r="H133" s="57" t="s">
        <v>5</v>
      </c>
    </row>
    <row r="134" spans="2:8" ht="15" customHeight="1" x14ac:dyDescent="0.25">
      <c r="B134" s="56" t="s">
        <v>879</v>
      </c>
      <c r="C134" s="57" t="s">
        <v>896</v>
      </c>
      <c r="D134" s="60" t="s">
        <v>1020</v>
      </c>
      <c r="E134" s="58">
        <v>15689.5</v>
      </c>
      <c r="F134" s="58" t="s">
        <v>973</v>
      </c>
      <c r="G134" s="57" t="s">
        <v>42</v>
      </c>
      <c r="H134" s="57" t="s">
        <v>5</v>
      </c>
    </row>
    <row r="135" spans="2:8" ht="15" customHeight="1" x14ac:dyDescent="0.25">
      <c r="B135" s="56" t="s">
        <v>879</v>
      </c>
      <c r="C135" s="57" t="s">
        <v>897</v>
      </c>
      <c r="D135" s="60" t="s">
        <v>345</v>
      </c>
      <c r="E135" s="58">
        <v>17550</v>
      </c>
      <c r="F135" s="58" t="s">
        <v>974</v>
      </c>
      <c r="G135" s="57" t="s">
        <v>42</v>
      </c>
      <c r="H135" s="57" t="s">
        <v>5</v>
      </c>
    </row>
    <row r="136" spans="2:8" ht="15" customHeight="1" x14ac:dyDescent="0.25">
      <c r="B136" s="56" t="s">
        <v>879</v>
      </c>
      <c r="C136" s="57" t="s">
        <v>898</v>
      </c>
      <c r="D136" s="60" t="s">
        <v>1033</v>
      </c>
      <c r="E136" s="58">
        <v>20000</v>
      </c>
      <c r="F136" s="58" t="s">
        <v>975</v>
      </c>
      <c r="G136" s="57" t="s">
        <v>42</v>
      </c>
      <c r="H136" s="57" t="s">
        <v>5</v>
      </c>
    </row>
    <row r="137" spans="2:8" ht="15" customHeight="1" x14ac:dyDescent="0.25">
      <c r="B137" s="56" t="s">
        <v>879</v>
      </c>
      <c r="C137" s="57" t="s">
        <v>899</v>
      </c>
      <c r="D137" s="60" t="s">
        <v>1034</v>
      </c>
      <c r="E137" s="58">
        <v>27225</v>
      </c>
      <c r="F137" s="58" t="s">
        <v>976</v>
      </c>
      <c r="G137" s="57" t="s">
        <v>455</v>
      </c>
      <c r="H137" s="57" t="s">
        <v>5</v>
      </c>
    </row>
    <row r="138" spans="2:8" ht="15" customHeight="1" x14ac:dyDescent="0.25">
      <c r="B138" s="56" t="s">
        <v>879</v>
      </c>
      <c r="C138" s="57" t="s">
        <v>900</v>
      </c>
      <c r="D138" s="60" t="s">
        <v>124</v>
      </c>
      <c r="E138" s="58">
        <v>27769.25</v>
      </c>
      <c r="F138" s="58" t="s">
        <v>977</v>
      </c>
      <c r="G138" s="57" t="s">
        <v>47</v>
      </c>
      <c r="H138" s="57" t="s">
        <v>5</v>
      </c>
    </row>
    <row r="139" spans="2:8" ht="15" customHeight="1" x14ac:dyDescent="0.25">
      <c r="B139" s="56" t="s">
        <v>879</v>
      </c>
      <c r="C139" s="57" t="s">
        <v>901</v>
      </c>
      <c r="D139" s="60" t="s">
        <v>121</v>
      </c>
      <c r="E139" s="58">
        <v>28342.28</v>
      </c>
      <c r="F139" s="58" t="s">
        <v>978</v>
      </c>
      <c r="G139" s="57" t="s">
        <v>53</v>
      </c>
      <c r="H139" s="57" t="s">
        <v>5</v>
      </c>
    </row>
    <row r="140" spans="2:8" ht="15" customHeight="1" x14ac:dyDescent="0.25">
      <c r="B140" s="56" t="s">
        <v>879</v>
      </c>
      <c r="C140" s="57" t="s">
        <v>902</v>
      </c>
      <c r="D140" s="60" t="s">
        <v>111</v>
      </c>
      <c r="E140" s="58">
        <v>29264</v>
      </c>
      <c r="F140" s="58" t="s">
        <v>979</v>
      </c>
      <c r="G140" s="57" t="s">
        <v>3</v>
      </c>
      <c r="H140" s="57" t="s">
        <v>34</v>
      </c>
    </row>
    <row r="141" spans="2:8" ht="15" customHeight="1" x14ac:dyDescent="0.25">
      <c r="B141" s="56" t="s">
        <v>879</v>
      </c>
      <c r="C141" s="57" t="s">
        <v>903</v>
      </c>
      <c r="D141" s="60" t="s">
        <v>1021</v>
      </c>
      <c r="E141" s="58">
        <v>38093.519999999997</v>
      </c>
      <c r="F141" s="58" t="s">
        <v>980</v>
      </c>
      <c r="G141" s="57" t="s">
        <v>53</v>
      </c>
      <c r="H141" s="57" t="s">
        <v>5</v>
      </c>
    </row>
    <row r="142" spans="2:8" ht="15" customHeight="1" x14ac:dyDescent="0.25">
      <c r="B142" s="56" t="s">
        <v>879</v>
      </c>
      <c r="C142" s="57" t="s">
        <v>904</v>
      </c>
      <c r="D142" s="60" t="s">
        <v>1022</v>
      </c>
      <c r="E142" s="58">
        <v>41952.56</v>
      </c>
      <c r="F142" s="58" t="s">
        <v>981</v>
      </c>
      <c r="G142" s="57" t="s">
        <v>455</v>
      </c>
      <c r="H142" s="57" t="s">
        <v>5</v>
      </c>
    </row>
    <row r="143" spans="2:8" ht="15" customHeight="1" x14ac:dyDescent="0.25">
      <c r="B143" s="56" t="s">
        <v>879</v>
      </c>
      <c r="C143" s="57" t="s">
        <v>905</v>
      </c>
      <c r="D143" s="60" t="s">
        <v>1035</v>
      </c>
      <c r="E143" s="58">
        <v>49416</v>
      </c>
      <c r="F143" s="58" t="s">
        <v>982</v>
      </c>
      <c r="G143" s="57" t="s">
        <v>867</v>
      </c>
      <c r="H143" s="57" t="s">
        <v>5</v>
      </c>
    </row>
    <row r="144" spans="2:8" ht="15" customHeight="1" x14ac:dyDescent="0.25">
      <c r="B144" s="56" t="s">
        <v>879</v>
      </c>
      <c r="C144" s="57" t="s">
        <v>906</v>
      </c>
      <c r="D144" s="60" t="s">
        <v>1036</v>
      </c>
      <c r="E144" s="58">
        <v>49700</v>
      </c>
      <c r="F144" s="58" t="s">
        <v>983</v>
      </c>
      <c r="G144" s="57" t="s">
        <v>47</v>
      </c>
      <c r="H144" s="57" t="s">
        <v>5</v>
      </c>
    </row>
    <row r="145" spans="2:8" ht="15" customHeight="1" x14ac:dyDescent="0.25">
      <c r="B145" s="56" t="s">
        <v>879</v>
      </c>
      <c r="C145" s="57" t="s">
        <v>907</v>
      </c>
      <c r="D145" s="60" t="s">
        <v>389</v>
      </c>
      <c r="E145" s="58">
        <v>54524.92</v>
      </c>
      <c r="F145" s="58" t="s">
        <v>984</v>
      </c>
      <c r="G145" s="57" t="s">
        <v>53</v>
      </c>
      <c r="H145" s="57" t="s">
        <v>5</v>
      </c>
    </row>
    <row r="146" spans="2:8" ht="15" customHeight="1" x14ac:dyDescent="0.25">
      <c r="B146" s="56" t="s">
        <v>879</v>
      </c>
      <c r="C146" s="57" t="s">
        <v>908</v>
      </c>
      <c r="D146" s="60" t="s">
        <v>1037</v>
      </c>
      <c r="E146" s="58">
        <v>57240</v>
      </c>
      <c r="F146" s="58" t="s">
        <v>985</v>
      </c>
      <c r="G146" s="57" t="s">
        <v>47</v>
      </c>
      <c r="H146" s="57" t="s">
        <v>5</v>
      </c>
    </row>
    <row r="147" spans="2:8" ht="15" customHeight="1" x14ac:dyDescent="0.25">
      <c r="B147" s="56" t="s">
        <v>879</v>
      </c>
      <c r="C147" s="57" t="s">
        <v>909</v>
      </c>
      <c r="D147" s="60" t="s">
        <v>125</v>
      </c>
      <c r="E147" s="58">
        <v>70279.64</v>
      </c>
      <c r="F147" s="58" t="s">
        <v>986</v>
      </c>
      <c r="G147" s="57" t="s">
        <v>53</v>
      </c>
      <c r="H147" s="57" t="s">
        <v>5</v>
      </c>
    </row>
    <row r="148" spans="2:8" ht="15" customHeight="1" x14ac:dyDescent="0.25">
      <c r="B148" s="56" t="s">
        <v>879</v>
      </c>
      <c r="C148" s="57" t="s">
        <v>910</v>
      </c>
      <c r="D148" s="60" t="s">
        <v>93</v>
      </c>
      <c r="E148" s="58">
        <v>59400</v>
      </c>
      <c r="F148" s="58" t="s">
        <v>987</v>
      </c>
      <c r="G148" s="57" t="s">
        <v>42</v>
      </c>
      <c r="H148" s="57" t="s">
        <v>5</v>
      </c>
    </row>
    <row r="149" spans="2:8" ht="15" customHeight="1" x14ac:dyDescent="0.25">
      <c r="B149" s="56" t="s">
        <v>879</v>
      </c>
      <c r="C149" s="57" t="s">
        <v>911</v>
      </c>
      <c r="D149" s="68" t="s">
        <v>113</v>
      </c>
      <c r="E149" s="58">
        <v>113558</v>
      </c>
      <c r="F149" s="58" t="s">
        <v>988</v>
      </c>
      <c r="G149" s="57" t="s">
        <v>3</v>
      </c>
      <c r="H149" s="57" t="s">
        <v>5</v>
      </c>
    </row>
    <row r="150" spans="2:8" ht="15" customHeight="1" x14ac:dyDescent="0.25">
      <c r="B150" s="56" t="s">
        <v>879</v>
      </c>
      <c r="C150" s="57" t="s">
        <v>912</v>
      </c>
      <c r="D150" s="60" t="s">
        <v>1023</v>
      </c>
      <c r="E150" s="58">
        <v>153200</v>
      </c>
      <c r="F150" s="58" t="s">
        <v>989</v>
      </c>
      <c r="G150" s="57" t="s">
        <v>867</v>
      </c>
      <c r="H150" s="57" t="s">
        <v>5</v>
      </c>
    </row>
    <row r="151" spans="2:8" ht="15" customHeight="1" x14ac:dyDescent="0.25">
      <c r="B151" s="56" t="s">
        <v>879</v>
      </c>
      <c r="C151" s="57" t="s">
        <v>913</v>
      </c>
      <c r="D151" s="60" t="s">
        <v>1038</v>
      </c>
      <c r="E151" s="58">
        <v>20000</v>
      </c>
      <c r="F151" s="58" t="s">
        <v>990</v>
      </c>
      <c r="G151" s="57" t="s">
        <v>42</v>
      </c>
      <c r="H151" s="57" t="s">
        <v>5</v>
      </c>
    </row>
    <row r="152" spans="2:8" ht="15" customHeight="1" x14ac:dyDescent="0.25">
      <c r="B152" s="56" t="s">
        <v>879</v>
      </c>
      <c r="C152" s="57" t="s">
        <v>914</v>
      </c>
      <c r="D152" s="60" t="s">
        <v>1024</v>
      </c>
      <c r="E152" s="58">
        <v>12000</v>
      </c>
      <c r="F152" s="58" t="s">
        <v>991</v>
      </c>
      <c r="G152" s="57" t="s">
        <v>50</v>
      </c>
      <c r="H152" s="57" t="s">
        <v>5</v>
      </c>
    </row>
    <row r="153" spans="2:8" ht="15" customHeight="1" x14ac:dyDescent="0.25">
      <c r="B153" s="56" t="s">
        <v>879</v>
      </c>
      <c r="C153" s="57" t="s">
        <v>915</v>
      </c>
      <c r="D153" s="60" t="s">
        <v>1039</v>
      </c>
      <c r="E153" s="58">
        <v>75000</v>
      </c>
      <c r="F153" s="58" t="s">
        <v>992</v>
      </c>
      <c r="G153" s="57" t="s">
        <v>50</v>
      </c>
      <c r="H153" s="57" t="s">
        <v>5</v>
      </c>
    </row>
    <row r="154" spans="2:8" ht="15" customHeight="1" x14ac:dyDescent="0.25">
      <c r="B154" s="56" t="s">
        <v>916</v>
      </c>
      <c r="C154" s="57" t="s">
        <v>917</v>
      </c>
      <c r="D154" s="60" t="s">
        <v>1025</v>
      </c>
      <c r="E154" s="58">
        <v>43471</v>
      </c>
      <c r="F154" s="58" t="s">
        <v>993</v>
      </c>
      <c r="G154" s="57" t="s">
        <v>47</v>
      </c>
      <c r="H154" s="57" t="s">
        <v>5</v>
      </c>
    </row>
    <row r="155" spans="2:8" ht="15" customHeight="1" x14ac:dyDescent="0.25">
      <c r="B155" s="56" t="s">
        <v>918</v>
      </c>
      <c r="C155" s="57" t="s">
        <v>919</v>
      </c>
      <c r="D155" s="60" t="s">
        <v>141</v>
      </c>
      <c r="E155" s="58">
        <v>294201.51</v>
      </c>
      <c r="F155" s="58" t="s">
        <v>994</v>
      </c>
      <c r="G155" s="57" t="s">
        <v>42</v>
      </c>
      <c r="H155" s="57" t="s">
        <v>5</v>
      </c>
    </row>
    <row r="156" spans="2:8" ht="15" customHeight="1" x14ac:dyDescent="0.25">
      <c r="B156" s="56" t="s">
        <v>920</v>
      </c>
      <c r="C156" s="57" t="s">
        <v>921</v>
      </c>
      <c r="D156" s="68" t="s">
        <v>1040</v>
      </c>
      <c r="E156" s="58">
        <v>350065.8</v>
      </c>
      <c r="F156" s="58" t="s">
        <v>995</v>
      </c>
      <c r="G156" s="57" t="s">
        <v>42</v>
      </c>
      <c r="H156" s="57" t="s">
        <v>5</v>
      </c>
    </row>
    <row r="157" spans="2:8" ht="15" customHeight="1" x14ac:dyDescent="0.25">
      <c r="B157" s="56" t="s">
        <v>922</v>
      </c>
      <c r="C157" s="57" t="s">
        <v>923</v>
      </c>
      <c r="D157" s="60" t="s">
        <v>1041</v>
      </c>
      <c r="E157" s="58">
        <v>531216.84</v>
      </c>
      <c r="F157" s="58" t="s">
        <v>996</v>
      </c>
      <c r="G157" s="57" t="s">
        <v>53</v>
      </c>
      <c r="H157" s="57" t="s">
        <v>5</v>
      </c>
    </row>
    <row r="158" spans="2:8" ht="15" customHeight="1" x14ac:dyDescent="0.25">
      <c r="B158" s="56" t="s">
        <v>922</v>
      </c>
      <c r="C158" s="57" t="s">
        <v>924</v>
      </c>
      <c r="D158" s="60" t="s">
        <v>1026</v>
      </c>
      <c r="E158" s="58">
        <v>639521.4</v>
      </c>
      <c r="F158" s="58" t="s">
        <v>997</v>
      </c>
      <c r="G158" s="57" t="s">
        <v>53</v>
      </c>
      <c r="H158" s="57" t="s">
        <v>5</v>
      </c>
    </row>
    <row r="159" spans="2:8" ht="15" customHeight="1" x14ac:dyDescent="0.25">
      <c r="B159" s="56" t="s">
        <v>925</v>
      </c>
      <c r="C159" s="57" t="s">
        <v>926</v>
      </c>
      <c r="D159" s="60" t="s">
        <v>355</v>
      </c>
      <c r="E159" s="58">
        <v>800000</v>
      </c>
      <c r="F159" s="58" t="s">
        <v>998</v>
      </c>
      <c r="G159" s="57" t="s">
        <v>53</v>
      </c>
      <c r="H159" s="57" t="s">
        <v>5</v>
      </c>
    </row>
    <row r="160" spans="2:8" ht="15" customHeight="1" x14ac:dyDescent="0.25">
      <c r="B160" s="56" t="s">
        <v>925</v>
      </c>
      <c r="C160" s="57" t="s">
        <v>927</v>
      </c>
      <c r="D160" s="60" t="s">
        <v>342</v>
      </c>
      <c r="E160" s="58">
        <v>646700</v>
      </c>
      <c r="F160" s="58" t="s">
        <v>999</v>
      </c>
      <c r="G160" s="57" t="s">
        <v>50</v>
      </c>
      <c r="H160" s="57" t="s">
        <v>5</v>
      </c>
    </row>
    <row r="161" spans="2:8" ht="15" customHeight="1" x14ac:dyDescent="0.25">
      <c r="B161" s="56" t="s">
        <v>928</v>
      </c>
      <c r="C161" s="57" t="s">
        <v>929</v>
      </c>
      <c r="D161" s="60" t="s">
        <v>340</v>
      </c>
      <c r="E161" s="58">
        <v>1241292.5</v>
      </c>
      <c r="F161" s="58" t="s">
        <v>1000</v>
      </c>
      <c r="G161" s="57" t="s">
        <v>50</v>
      </c>
      <c r="H161" s="57" t="s">
        <v>5</v>
      </c>
    </row>
    <row r="162" spans="2:8" ht="15" customHeight="1" x14ac:dyDescent="0.25">
      <c r="B162" s="56" t="s">
        <v>928</v>
      </c>
      <c r="C162" s="57" t="s">
        <v>930</v>
      </c>
      <c r="D162" s="60" t="s">
        <v>1042</v>
      </c>
      <c r="E162" s="58">
        <v>2266178.84</v>
      </c>
      <c r="F162" s="58" t="s">
        <v>1001</v>
      </c>
      <c r="G162" s="57" t="s">
        <v>479</v>
      </c>
      <c r="H162" s="57" t="s">
        <v>441</v>
      </c>
    </row>
    <row r="163" spans="2:8" ht="15" customHeight="1" x14ac:dyDescent="0.25">
      <c r="B163" s="56" t="s">
        <v>931</v>
      </c>
      <c r="C163" s="57" t="s">
        <v>932</v>
      </c>
      <c r="D163" s="60" t="s">
        <v>1043</v>
      </c>
      <c r="E163" s="58">
        <v>787648.32</v>
      </c>
      <c r="F163" s="58" t="s">
        <v>1002</v>
      </c>
      <c r="G163" s="57" t="s">
        <v>42</v>
      </c>
      <c r="H163" s="57" t="s">
        <v>5</v>
      </c>
    </row>
    <row r="164" spans="2:8" ht="15" customHeight="1" x14ac:dyDescent="0.25">
      <c r="B164" s="56" t="s">
        <v>933</v>
      </c>
      <c r="C164" s="57" t="s">
        <v>934</v>
      </c>
      <c r="D164" s="68" t="s">
        <v>1044</v>
      </c>
      <c r="E164" s="58">
        <v>1282127</v>
      </c>
      <c r="F164" s="58" t="s">
        <v>1003</v>
      </c>
      <c r="G164" s="57" t="s">
        <v>53</v>
      </c>
      <c r="H164" s="57" t="s">
        <v>5</v>
      </c>
    </row>
    <row r="165" spans="2:8" ht="15" customHeight="1" x14ac:dyDescent="0.25">
      <c r="B165" s="56" t="s">
        <v>935</v>
      </c>
      <c r="C165" s="57" t="s">
        <v>934</v>
      </c>
      <c r="D165" s="68" t="s">
        <v>1044</v>
      </c>
      <c r="E165" s="58">
        <v>396900</v>
      </c>
      <c r="F165" s="58" t="s">
        <v>1004</v>
      </c>
      <c r="G165" s="57" t="s">
        <v>53</v>
      </c>
      <c r="H165" s="57" t="s">
        <v>5</v>
      </c>
    </row>
    <row r="166" spans="2:8" ht="15" customHeight="1" x14ac:dyDescent="0.25">
      <c r="B166" s="56" t="s">
        <v>935</v>
      </c>
      <c r="C166" s="57" t="s">
        <v>934</v>
      </c>
      <c r="D166" s="68" t="s">
        <v>1044</v>
      </c>
      <c r="E166" s="58">
        <v>27000</v>
      </c>
      <c r="F166" s="58" t="s">
        <v>1005</v>
      </c>
      <c r="G166" s="57" t="s">
        <v>53</v>
      </c>
      <c r="H166" s="57" t="s">
        <v>5</v>
      </c>
    </row>
    <row r="167" spans="2:8" ht="15" customHeight="1" x14ac:dyDescent="0.25">
      <c r="B167" s="56" t="s">
        <v>936</v>
      </c>
      <c r="C167" s="57" t="s">
        <v>937</v>
      </c>
      <c r="D167" s="60" t="s">
        <v>1045</v>
      </c>
      <c r="E167" s="58">
        <v>263773</v>
      </c>
      <c r="F167" s="58" t="s">
        <v>1006</v>
      </c>
      <c r="G167" s="57" t="s">
        <v>42</v>
      </c>
      <c r="H167" s="57" t="s">
        <v>441</v>
      </c>
    </row>
    <row r="168" spans="2:8" ht="15" customHeight="1" x14ac:dyDescent="0.25">
      <c r="B168" s="56" t="s">
        <v>938</v>
      </c>
      <c r="C168" s="57" t="s">
        <v>939</v>
      </c>
      <c r="D168" s="60" t="s">
        <v>43</v>
      </c>
      <c r="E168" s="58">
        <v>1000000</v>
      </c>
      <c r="F168" s="58" t="s">
        <v>1007</v>
      </c>
      <c r="G168" s="57" t="s">
        <v>6</v>
      </c>
      <c r="H168" s="57" t="s">
        <v>440</v>
      </c>
    </row>
    <row r="169" spans="2:8" ht="15" customHeight="1" x14ac:dyDescent="0.25">
      <c r="B169" s="56" t="s">
        <v>940</v>
      </c>
      <c r="C169" s="57" t="s">
        <v>941</v>
      </c>
      <c r="D169" s="60" t="s">
        <v>140</v>
      </c>
      <c r="E169" s="58">
        <v>422074.23</v>
      </c>
      <c r="F169" s="58" t="s">
        <v>1008</v>
      </c>
      <c r="G169" s="57" t="s">
        <v>6</v>
      </c>
      <c r="H169" s="57" t="s">
        <v>440</v>
      </c>
    </row>
    <row r="170" spans="2:8" ht="15" customHeight="1" x14ac:dyDescent="0.25">
      <c r="B170" s="56" t="s">
        <v>942</v>
      </c>
      <c r="C170" s="57" t="s">
        <v>943</v>
      </c>
      <c r="D170" s="60" t="s">
        <v>1046</v>
      </c>
      <c r="E170" s="58">
        <v>218696.37</v>
      </c>
      <c r="F170" s="58" t="s">
        <v>1009</v>
      </c>
      <c r="G170" s="57" t="s">
        <v>6</v>
      </c>
      <c r="H170" s="57" t="s">
        <v>440</v>
      </c>
    </row>
    <row r="171" spans="2:8" ht="15" customHeight="1" x14ac:dyDescent="0.25">
      <c r="B171" s="56" t="s">
        <v>944</v>
      </c>
      <c r="C171" s="57" t="s">
        <v>945</v>
      </c>
      <c r="D171" s="60" t="s">
        <v>1047</v>
      </c>
      <c r="E171" s="58">
        <v>300000</v>
      </c>
      <c r="F171" s="58" t="s">
        <v>1010</v>
      </c>
      <c r="G171" s="57" t="s">
        <v>1050</v>
      </c>
      <c r="H171" s="57" t="s">
        <v>440</v>
      </c>
    </row>
    <row r="172" spans="2:8" ht="15" customHeight="1" x14ac:dyDescent="0.25">
      <c r="B172" s="56" t="s">
        <v>946</v>
      </c>
      <c r="C172" s="57" t="s">
        <v>947</v>
      </c>
      <c r="D172" s="60" t="s">
        <v>572</v>
      </c>
      <c r="E172" s="58">
        <v>1000000</v>
      </c>
      <c r="F172" s="58" t="s">
        <v>1011</v>
      </c>
      <c r="G172" s="57" t="s">
        <v>414</v>
      </c>
      <c r="H172" s="57" t="s">
        <v>414</v>
      </c>
    </row>
    <row r="173" spans="2:8" ht="15" customHeight="1" x14ac:dyDescent="0.25">
      <c r="B173" s="56" t="s">
        <v>948</v>
      </c>
      <c r="C173" s="57" t="s">
        <v>949</v>
      </c>
      <c r="D173" s="60" t="s">
        <v>568</v>
      </c>
      <c r="E173" s="58">
        <v>400000</v>
      </c>
      <c r="F173" s="58" t="s">
        <v>1012</v>
      </c>
      <c r="G173" s="57" t="s">
        <v>414</v>
      </c>
      <c r="H173" s="57" t="s">
        <v>414</v>
      </c>
    </row>
    <row r="174" spans="2:8" ht="15" customHeight="1" x14ac:dyDescent="0.25">
      <c r="B174" s="56" t="s">
        <v>948</v>
      </c>
      <c r="C174" s="57" t="s">
        <v>950</v>
      </c>
      <c r="D174" s="60" t="s">
        <v>1048</v>
      </c>
      <c r="E174" s="58">
        <v>800000</v>
      </c>
      <c r="F174" s="58" t="s">
        <v>1013</v>
      </c>
      <c r="G174" s="57" t="s">
        <v>414</v>
      </c>
      <c r="H174" s="57" t="s">
        <v>414</v>
      </c>
    </row>
    <row r="175" spans="2:8" ht="15" customHeight="1" x14ac:dyDescent="0.25">
      <c r="B175" s="56" t="s">
        <v>948</v>
      </c>
      <c r="C175" s="57" t="s">
        <v>951</v>
      </c>
      <c r="D175" s="60" t="s">
        <v>1049</v>
      </c>
      <c r="E175" s="58">
        <v>53300</v>
      </c>
      <c r="F175" s="58" t="s">
        <v>1014</v>
      </c>
      <c r="G175" s="57" t="s">
        <v>414</v>
      </c>
      <c r="H175" s="57" t="s">
        <v>414</v>
      </c>
    </row>
    <row r="176" spans="2:8" ht="15" customHeight="1" x14ac:dyDescent="0.25">
      <c r="B176" s="56" t="s">
        <v>952</v>
      </c>
      <c r="C176" s="57" t="s">
        <v>525</v>
      </c>
      <c r="D176" s="60" t="s">
        <v>565</v>
      </c>
      <c r="E176" s="58">
        <v>150000</v>
      </c>
      <c r="F176" s="58" t="s">
        <v>1015</v>
      </c>
      <c r="G176" s="57" t="s">
        <v>414</v>
      </c>
      <c r="H176" s="57" t="s">
        <v>414</v>
      </c>
    </row>
    <row r="177" spans="2:8" ht="15" customHeight="1" x14ac:dyDescent="0.25">
      <c r="B177" s="56" t="s">
        <v>1062</v>
      </c>
      <c r="C177" s="57" t="s">
        <v>1063</v>
      </c>
      <c r="D177" s="60" t="s">
        <v>1111</v>
      </c>
      <c r="E177" s="58">
        <v>248025</v>
      </c>
      <c r="F177" s="58" t="s">
        <v>1077</v>
      </c>
      <c r="G177" s="57" t="s">
        <v>34</v>
      </c>
      <c r="H177" s="57" t="s">
        <v>34</v>
      </c>
    </row>
    <row r="178" spans="2:8" ht="15" customHeight="1" x14ac:dyDescent="0.25">
      <c r="B178" s="56" t="s">
        <v>1064</v>
      </c>
      <c r="C178" s="57" t="s">
        <v>1065</v>
      </c>
      <c r="D178" s="60" t="s">
        <v>41</v>
      </c>
      <c r="E178" s="58">
        <v>400000</v>
      </c>
      <c r="F178" s="58" t="s">
        <v>1078</v>
      </c>
      <c r="G178" s="57" t="s">
        <v>42</v>
      </c>
      <c r="H178" s="57" t="s">
        <v>5</v>
      </c>
    </row>
    <row r="179" spans="2:8" ht="15" customHeight="1" x14ac:dyDescent="0.25">
      <c r="B179" s="56" t="s">
        <v>1066</v>
      </c>
      <c r="C179" s="57" t="s">
        <v>1067</v>
      </c>
      <c r="D179" s="60" t="s">
        <v>67</v>
      </c>
      <c r="E179" s="58">
        <v>422678</v>
      </c>
      <c r="F179" s="58" t="s">
        <v>1079</v>
      </c>
      <c r="G179" s="57" t="s">
        <v>46</v>
      </c>
      <c r="H179" s="57" t="s">
        <v>5</v>
      </c>
    </row>
    <row r="180" spans="2:8" ht="15" customHeight="1" x14ac:dyDescent="0.25">
      <c r="B180" s="56" t="s">
        <v>1068</v>
      </c>
      <c r="C180" s="57" t="s">
        <v>1069</v>
      </c>
      <c r="D180" s="60" t="s">
        <v>1113</v>
      </c>
      <c r="E180" s="58">
        <v>711874.56000000006</v>
      </c>
      <c r="F180" s="58" t="s">
        <v>1080</v>
      </c>
      <c r="G180" s="57" t="s">
        <v>53</v>
      </c>
      <c r="H180" s="57" t="s">
        <v>5</v>
      </c>
    </row>
    <row r="181" spans="2:8" ht="15" customHeight="1" x14ac:dyDescent="0.25">
      <c r="B181" s="56" t="s">
        <v>1070</v>
      </c>
      <c r="C181" s="57" t="s">
        <v>1071</v>
      </c>
      <c r="D181" s="60" t="s">
        <v>134</v>
      </c>
      <c r="E181" s="58">
        <v>1100000</v>
      </c>
      <c r="F181" s="58" t="s">
        <v>1081</v>
      </c>
      <c r="G181" s="57" t="s">
        <v>1</v>
      </c>
      <c r="H181" s="57" t="s">
        <v>1</v>
      </c>
    </row>
    <row r="182" spans="2:8" ht="15" customHeight="1" x14ac:dyDescent="0.25">
      <c r="B182" s="56" t="s">
        <v>1072</v>
      </c>
      <c r="C182" s="57" t="s">
        <v>640</v>
      </c>
      <c r="D182" s="60" t="s">
        <v>51</v>
      </c>
      <c r="E182" s="58">
        <v>35931</v>
      </c>
      <c r="F182" s="58" t="s">
        <v>1082</v>
      </c>
      <c r="G182" s="57" t="s">
        <v>42</v>
      </c>
      <c r="H182" s="57" t="s">
        <v>5</v>
      </c>
    </row>
    <row r="183" spans="2:8" ht="15" customHeight="1" x14ac:dyDescent="0.25">
      <c r="B183" s="56" t="s">
        <v>1072</v>
      </c>
      <c r="C183" s="57" t="s">
        <v>1071</v>
      </c>
      <c r="D183" s="60" t="s">
        <v>134</v>
      </c>
      <c r="E183" s="58">
        <v>1200000</v>
      </c>
      <c r="F183" s="58" t="s">
        <v>1083</v>
      </c>
      <c r="G183" s="57" t="s">
        <v>1</v>
      </c>
      <c r="H183" s="57" t="s">
        <v>1</v>
      </c>
    </row>
    <row r="184" spans="2:8" ht="15" customHeight="1" x14ac:dyDescent="0.25">
      <c r="B184" s="56" t="s">
        <v>1073</v>
      </c>
      <c r="C184" s="57" t="s">
        <v>638</v>
      </c>
      <c r="D184" s="60" t="s">
        <v>48</v>
      </c>
      <c r="E184" s="58">
        <v>384041</v>
      </c>
      <c r="F184" s="58" t="s">
        <v>1084</v>
      </c>
      <c r="G184" s="57" t="s">
        <v>34</v>
      </c>
      <c r="H184" s="57" t="s">
        <v>34</v>
      </c>
    </row>
    <row r="185" spans="2:8" ht="15" customHeight="1" x14ac:dyDescent="0.25">
      <c r="B185" s="56" t="s">
        <v>1074</v>
      </c>
      <c r="C185" s="57" t="s">
        <v>1075</v>
      </c>
      <c r="D185" s="68" t="s">
        <v>1112</v>
      </c>
      <c r="E185" s="58">
        <v>464019</v>
      </c>
      <c r="F185" s="58" t="s">
        <v>1085</v>
      </c>
      <c r="G185" s="57" t="s">
        <v>34</v>
      </c>
      <c r="H185" s="57" t="s">
        <v>34</v>
      </c>
    </row>
    <row r="186" spans="2:8" ht="15" customHeight="1" x14ac:dyDescent="0.25">
      <c r="B186" s="56" t="s">
        <v>1076</v>
      </c>
      <c r="C186" s="57" t="s">
        <v>1063</v>
      </c>
      <c r="D186" s="60" t="s">
        <v>1111</v>
      </c>
      <c r="E186" s="58">
        <v>296003</v>
      </c>
      <c r="F186" s="58" t="s">
        <v>1086</v>
      </c>
      <c r="G186" s="57" t="s">
        <v>34</v>
      </c>
      <c r="H186" s="57" t="s">
        <v>34</v>
      </c>
    </row>
    <row r="187" spans="2:8" ht="15" customHeight="1" x14ac:dyDescent="0.25">
      <c r="B187" s="56"/>
      <c r="C187" s="57"/>
      <c r="D187" s="60"/>
      <c r="E187" s="58"/>
      <c r="F187" s="58"/>
      <c r="G187" s="57"/>
      <c r="H187" s="57"/>
    </row>
    <row r="188" spans="2:8" ht="15" customHeight="1" x14ac:dyDescent="0.25">
      <c r="B188" s="56"/>
      <c r="C188" s="57"/>
      <c r="D188" s="60"/>
      <c r="E188" s="58"/>
      <c r="F188" s="58"/>
      <c r="G188" s="57"/>
      <c r="H188" s="57"/>
    </row>
    <row r="189" spans="2:8" ht="15" customHeight="1" x14ac:dyDescent="0.25">
      <c r="B189" s="72" t="s">
        <v>28</v>
      </c>
      <c r="C189" s="72" t="s">
        <v>28</v>
      </c>
      <c r="D189" s="72" t="s">
        <v>28</v>
      </c>
      <c r="E189" s="72" t="s">
        <v>28</v>
      </c>
      <c r="F189" s="72" t="s">
        <v>28</v>
      </c>
      <c r="G189" s="72" t="s">
        <v>28</v>
      </c>
      <c r="H189" s="72" t="s">
        <v>28</v>
      </c>
    </row>
    <row r="193" spans="3:6" ht="15" customHeight="1" x14ac:dyDescent="0.25">
      <c r="C193" s="54" t="s">
        <v>21</v>
      </c>
      <c r="D193" s="54" t="s">
        <v>36</v>
      </c>
      <c r="E193" s="55" t="s">
        <v>23</v>
      </c>
      <c r="F193" s="54" t="s">
        <v>24</v>
      </c>
    </row>
    <row r="194" spans="3:6" ht="15" customHeight="1" x14ac:dyDescent="0.25">
      <c r="C194" s="56" t="s">
        <v>800</v>
      </c>
      <c r="D194" s="60" t="s">
        <v>95</v>
      </c>
      <c r="E194" s="58">
        <v>217307</v>
      </c>
      <c r="F194" s="59" t="s">
        <v>822</v>
      </c>
    </row>
    <row r="195" spans="3:6" ht="15" customHeight="1" x14ac:dyDescent="0.25">
      <c r="C195" s="56" t="s">
        <v>483</v>
      </c>
      <c r="D195" s="60" t="s">
        <v>477</v>
      </c>
      <c r="E195" s="58">
        <v>441154.36</v>
      </c>
      <c r="F195" s="59" t="s">
        <v>485</v>
      </c>
    </row>
    <row r="196" spans="3:6" ht="15" customHeight="1" x14ac:dyDescent="0.25">
      <c r="C196" s="56">
        <v>46253.723611111112</v>
      </c>
      <c r="D196" s="60" t="s">
        <v>453</v>
      </c>
      <c r="E196" s="58">
        <v>157116.96</v>
      </c>
      <c r="F196" s="59" t="s">
        <v>456</v>
      </c>
    </row>
    <row r="197" spans="3:6" ht="15" customHeight="1" x14ac:dyDescent="0.25">
      <c r="C197" s="56">
        <v>46253.723622685182</v>
      </c>
      <c r="D197" s="60" t="s">
        <v>453</v>
      </c>
      <c r="E197" s="58">
        <v>166524.76</v>
      </c>
      <c r="F197" s="59" t="s">
        <v>457</v>
      </c>
    </row>
    <row r="198" spans="3:6" ht="15" customHeight="1" x14ac:dyDescent="0.25">
      <c r="C198" s="56">
        <v>46254.734097222223</v>
      </c>
      <c r="D198" s="60" t="s">
        <v>453</v>
      </c>
      <c r="E198" s="58">
        <v>241443.74</v>
      </c>
      <c r="F198" s="59" t="s">
        <v>458</v>
      </c>
    </row>
    <row r="199" spans="3:6" ht="15" customHeight="1" x14ac:dyDescent="0.25">
      <c r="C199" s="56">
        <v>46254.7341087963</v>
      </c>
      <c r="D199" s="60" t="s">
        <v>453</v>
      </c>
      <c r="E199" s="58">
        <v>239429.42</v>
      </c>
      <c r="F199" s="59" t="s">
        <v>459</v>
      </c>
    </row>
    <row r="200" spans="3:6" ht="15" customHeight="1" x14ac:dyDescent="0.25">
      <c r="C200" s="89"/>
      <c r="D200" s="89"/>
      <c r="E200" s="90">
        <f>SUBTOTAL(9,E194:E199)</f>
        <v>1462976.2399999998</v>
      </c>
      <c r="F200" s="89"/>
    </row>
  </sheetData>
  <autoFilter ref="B3:I176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9"/>
  <sheetViews>
    <sheetView showGridLines="0" topLeftCell="A2" zoomScale="90" zoomScaleNormal="90" workbookViewId="0">
      <pane xSplit="2" ySplit="2" topLeftCell="C4" activePane="bottomRight" state="frozen"/>
      <selection activeCell="E383" sqref="E383"/>
      <selection pane="topRight" activeCell="E383" sqref="E383"/>
      <selection pane="bottomLeft" activeCell="E383" sqref="E383"/>
      <selection pane="bottomRight"/>
    </sheetView>
  </sheetViews>
  <sheetFormatPr defaultRowHeight="15" customHeight="1" x14ac:dyDescent="0.25"/>
  <cols>
    <col min="1" max="1" width="2.85546875" style="10" customWidth="1"/>
    <col min="2" max="2" width="23.7109375" style="38" customWidth="1"/>
    <col min="3" max="3" width="58.140625" style="10" customWidth="1"/>
    <col min="4" max="4" width="45" style="10" customWidth="1"/>
    <col min="5" max="5" width="15.85546875" style="76" bestFit="1" customWidth="1"/>
    <col min="6" max="6" width="16" style="44" bestFit="1" customWidth="1"/>
    <col min="7" max="7" width="26.5703125" style="44" customWidth="1"/>
    <col min="8" max="8" width="52.140625" style="10" hidden="1" customWidth="1"/>
    <col min="9" max="9" width="11.5703125" style="10" bestFit="1" customWidth="1"/>
    <col min="10" max="16384" width="9.140625" style="10"/>
  </cols>
  <sheetData>
    <row r="1" spans="2:8" ht="15" customHeight="1" x14ac:dyDescent="0.25">
      <c r="F1" s="75"/>
    </row>
    <row r="2" spans="2:8" ht="15" customHeight="1" x14ac:dyDescent="0.25">
      <c r="C2" s="11" t="s">
        <v>9</v>
      </c>
      <c r="D2" s="11"/>
      <c r="E2" s="77">
        <f>SUBTOTAL(9,E4:E99)</f>
        <v>74521847.609999985</v>
      </c>
      <c r="F2" s="85"/>
    </row>
    <row r="3" spans="2:8" s="12" customFormat="1" ht="15" customHeight="1" x14ac:dyDescent="0.25">
      <c r="B3" s="61" t="s">
        <v>21</v>
      </c>
      <c r="C3" s="48" t="s">
        <v>27</v>
      </c>
      <c r="D3" s="48" t="s">
        <v>36</v>
      </c>
      <c r="E3" s="78" t="s">
        <v>23</v>
      </c>
      <c r="F3" s="74" t="s">
        <v>25</v>
      </c>
      <c r="G3" s="74" t="s">
        <v>26</v>
      </c>
      <c r="H3" s="62" t="s">
        <v>4</v>
      </c>
    </row>
    <row r="4" spans="2:8" s="69" customFormat="1" ht="15" customHeight="1" x14ac:dyDescent="0.25">
      <c r="B4" s="67" t="s">
        <v>549</v>
      </c>
      <c r="C4" s="68" t="s">
        <v>550</v>
      </c>
      <c r="D4" s="49" t="s">
        <v>480</v>
      </c>
      <c r="E4" s="79">
        <v>267750</v>
      </c>
      <c r="F4" s="57" t="s">
        <v>42</v>
      </c>
      <c r="G4" s="57" t="s">
        <v>5</v>
      </c>
    </row>
    <row r="5" spans="2:8" s="69" customFormat="1" ht="15" customHeight="1" x14ac:dyDescent="0.25">
      <c r="B5" s="67" t="s">
        <v>551</v>
      </c>
      <c r="C5" s="68" t="s">
        <v>474</v>
      </c>
      <c r="D5" s="49" t="s">
        <v>473</v>
      </c>
      <c r="E5" s="79">
        <v>341622.94408760814</v>
      </c>
      <c r="F5" s="57" t="s">
        <v>35</v>
      </c>
      <c r="G5" s="57" t="s">
        <v>35</v>
      </c>
    </row>
    <row r="6" spans="2:8" s="69" customFormat="1" ht="15" customHeight="1" x14ac:dyDescent="0.25">
      <c r="B6" s="67" t="s">
        <v>551</v>
      </c>
      <c r="C6" s="68" t="s">
        <v>474</v>
      </c>
      <c r="D6" s="49" t="s">
        <v>473</v>
      </c>
      <c r="E6" s="79">
        <v>69654.220079798513</v>
      </c>
      <c r="F6" s="57" t="s">
        <v>34</v>
      </c>
      <c r="G6" s="57" t="s">
        <v>34</v>
      </c>
    </row>
    <row r="7" spans="2:8" s="69" customFormat="1" ht="15" customHeight="1" x14ac:dyDescent="0.25">
      <c r="B7" s="67" t="s">
        <v>551</v>
      </c>
      <c r="C7" s="68" t="s">
        <v>474</v>
      </c>
      <c r="D7" s="49" t="s">
        <v>473</v>
      </c>
      <c r="E7" s="79">
        <v>258526.98829653554</v>
      </c>
      <c r="F7" s="57" t="s">
        <v>440</v>
      </c>
      <c r="G7" s="57" t="s">
        <v>440</v>
      </c>
    </row>
    <row r="8" spans="2:8" s="69" customFormat="1" ht="15" customHeight="1" x14ac:dyDescent="0.25">
      <c r="B8" s="67" t="s">
        <v>551</v>
      </c>
      <c r="C8" s="68" t="s">
        <v>474</v>
      </c>
      <c r="D8" s="49" t="s">
        <v>473</v>
      </c>
      <c r="E8" s="79">
        <v>1020248.2243049906</v>
      </c>
      <c r="F8" s="57" t="s">
        <v>5</v>
      </c>
      <c r="G8" s="57" t="s">
        <v>5</v>
      </c>
    </row>
    <row r="9" spans="2:8" s="69" customFormat="1" ht="15" customHeight="1" x14ac:dyDescent="0.25">
      <c r="B9" s="67" t="s">
        <v>551</v>
      </c>
      <c r="C9" s="68" t="s">
        <v>474</v>
      </c>
      <c r="D9" s="49" t="s">
        <v>473</v>
      </c>
      <c r="E9" s="79">
        <v>309947.62323106703</v>
      </c>
      <c r="F9" s="57" t="s">
        <v>441</v>
      </c>
      <c r="G9" s="57" t="s">
        <v>441</v>
      </c>
    </row>
    <row r="10" spans="2:8" s="69" customFormat="1" ht="15" customHeight="1" x14ac:dyDescent="0.25">
      <c r="B10" s="67" t="s">
        <v>552</v>
      </c>
      <c r="C10" s="68" t="s">
        <v>553</v>
      </c>
      <c r="D10" s="49" t="s">
        <v>87</v>
      </c>
      <c r="E10" s="79">
        <v>1365277.53</v>
      </c>
      <c r="F10" s="57" t="s">
        <v>6</v>
      </c>
      <c r="G10" s="57" t="s">
        <v>440</v>
      </c>
    </row>
    <row r="11" spans="2:8" s="69" customFormat="1" ht="15" customHeight="1" x14ac:dyDescent="0.25">
      <c r="B11" s="67" t="s">
        <v>554</v>
      </c>
      <c r="C11" s="68" t="s">
        <v>555</v>
      </c>
      <c r="D11" s="49" t="s">
        <v>558</v>
      </c>
      <c r="E11" s="79">
        <v>948880</v>
      </c>
      <c r="F11" s="95" t="s">
        <v>47</v>
      </c>
      <c r="G11" s="57" t="s">
        <v>5</v>
      </c>
    </row>
    <row r="12" spans="2:8" s="69" customFormat="1" ht="15" customHeight="1" x14ac:dyDescent="0.25">
      <c r="B12" s="67" t="s">
        <v>556</v>
      </c>
      <c r="C12" s="68" t="s">
        <v>557</v>
      </c>
      <c r="D12" s="49" t="s">
        <v>57</v>
      </c>
      <c r="E12" s="79">
        <v>178500</v>
      </c>
      <c r="F12" s="88" t="s">
        <v>479</v>
      </c>
      <c r="G12" s="88" t="s">
        <v>5</v>
      </c>
    </row>
    <row r="13" spans="2:8" s="69" customFormat="1" ht="15" customHeight="1" x14ac:dyDescent="0.25">
      <c r="B13" s="67" t="s">
        <v>600</v>
      </c>
      <c r="C13" s="68" t="s">
        <v>601</v>
      </c>
      <c r="D13" s="49" t="s">
        <v>611</v>
      </c>
      <c r="E13" s="79">
        <v>4612999</v>
      </c>
      <c r="F13" s="88" t="s">
        <v>54</v>
      </c>
      <c r="G13" s="88" t="s">
        <v>5</v>
      </c>
    </row>
    <row r="14" spans="2:8" s="69" customFormat="1" ht="15" customHeight="1" x14ac:dyDescent="0.25">
      <c r="B14" s="67" t="s">
        <v>602</v>
      </c>
      <c r="C14" s="68" t="s">
        <v>603</v>
      </c>
      <c r="D14" s="49"/>
      <c r="E14" s="79">
        <v>125552</v>
      </c>
      <c r="F14" s="88" t="s">
        <v>35</v>
      </c>
      <c r="G14" s="88" t="s">
        <v>35</v>
      </c>
    </row>
    <row r="15" spans="2:8" s="69" customFormat="1" ht="15" customHeight="1" x14ac:dyDescent="0.25">
      <c r="B15" s="67" t="s">
        <v>604</v>
      </c>
      <c r="C15" s="68" t="s">
        <v>474</v>
      </c>
      <c r="D15" s="49" t="s">
        <v>473</v>
      </c>
      <c r="E15" s="79">
        <v>360736.4061863657</v>
      </c>
      <c r="F15" s="88" t="s">
        <v>35</v>
      </c>
      <c r="G15" s="88" t="s">
        <v>35</v>
      </c>
    </row>
    <row r="16" spans="2:8" s="69" customFormat="1" ht="15" customHeight="1" x14ac:dyDescent="0.25">
      <c r="B16" s="67" t="s">
        <v>604</v>
      </c>
      <c r="C16" s="68" t="s">
        <v>474</v>
      </c>
      <c r="D16" s="49" t="s">
        <v>473</v>
      </c>
      <c r="E16" s="79">
        <v>73551.304039043171</v>
      </c>
      <c r="F16" s="88" t="s">
        <v>34</v>
      </c>
      <c r="G16" s="88" t="s">
        <v>34</v>
      </c>
    </row>
    <row r="17" spans="2:7" s="69" customFormat="1" ht="15" customHeight="1" x14ac:dyDescent="0.25">
      <c r="B17" s="67" t="s">
        <v>604</v>
      </c>
      <c r="C17" s="68" t="s">
        <v>474</v>
      </c>
      <c r="D17" s="49" t="s">
        <v>473</v>
      </c>
      <c r="E17" s="79">
        <v>272991.31476473837</v>
      </c>
      <c r="F17" s="88" t="s">
        <v>440</v>
      </c>
      <c r="G17" s="88" t="s">
        <v>440</v>
      </c>
    </row>
    <row r="18" spans="2:7" s="69" customFormat="1" ht="15" customHeight="1" x14ac:dyDescent="0.25">
      <c r="B18" s="67" t="s">
        <v>604</v>
      </c>
      <c r="C18" s="68" t="s">
        <v>474</v>
      </c>
      <c r="D18" s="49" t="s">
        <v>473</v>
      </c>
      <c r="E18" s="79">
        <v>1077330.0922066306</v>
      </c>
      <c r="F18" s="88" t="s">
        <v>5</v>
      </c>
      <c r="G18" s="88" t="s">
        <v>5</v>
      </c>
    </row>
    <row r="19" spans="2:7" s="69" customFormat="1" ht="15" customHeight="1" x14ac:dyDescent="0.25">
      <c r="B19" s="67" t="s">
        <v>604</v>
      </c>
      <c r="C19" s="68" t="s">
        <v>474</v>
      </c>
      <c r="D19" s="49" t="s">
        <v>473</v>
      </c>
      <c r="E19" s="79">
        <v>327288.88280322205</v>
      </c>
      <c r="F19" s="88" t="s">
        <v>441</v>
      </c>
      <c r="G19" s="88" t="s">
        <v>441</v>
      </c>
    </row>
    <row r="20" spans="2:7" s="69" customFormat="1" ht="15" customHeight="1" x14ac:dyDescent="0.25">
      <c r="B20" s="67" t="s">
        <v>605</v>
      </c>
      <c r="C20" s="68" t="s">
        <v>606</v>
      </c>
      <c r="D20" s="49" t="s">
        <v>56</v>
      </c>
      <c r="E20" s="79">
        <v>167840</v>
      </c>
      <c r="F20" s="88" t="s">
        <v>42</v>
      </c>
      <c r="G20" s="88" t="s">
        <v>5</v>
      </c>
    </row>
    <row r="21" spans="2:7" s="69" customFormat="1" ht="15" customHeight="1" x14ac:dyDescent="0.25">
      <c r="B21" s="67" t="s">
        <v>605</v>
      </c>
      <c r="C21" s="68" t="s">
        <v>607</v>
      </c>
      <c r="D21" s="49" t="s">
        <v>56</v>
      </c>
      <c r="E21" s="79">
        <v>151222</v>
      </c>
      <c r="F21" s="88" t="s">
        <v>42</v>
      </c>
      <c r="G21" s="88" t="s">
        <v>5</v>
      </c>
    </row>
    <row r="22" spans="2:7" s="69" customFormat="1" ht="15" customHeight="1" x14ac:dyDescent="0.25">
      <c r="B22" s="67" t="s">
        <v>605</v>
      </c>
      <c r="C22" s="68" t="s">
        <v>608</v>
      </c>
      <c r="D22" s="49" t="s">
        <v>56</v>
      </c>
      <c r="E22" s="79">
        <v>151724</v>
      </c>
      <c r="F22" s="88" t="s">
        <v>42</v>
      </c>
      <c r="G22" s="88" t="s">
        <v>5</v>
      </c>
    </row>
    <row r="23" spans="2:7" s="69" customFormat="1" ht="15" customHeight="1" x14ac:dyDescent="0.25">
      <c r="B23" s="67" t="s">
        <v>609</v>
      </c>
      <c r="C23" s="68" t="s">
        <v>610</v>
      </c>
      <c r="D23" s="49" t="s">
        <v>60</v>
      </c>
      <c r="E23" s="79">
        <v>624456</v>
      </c>
      <c r="F23" s="88" t="s">
        <v>47</v>
      </c>
      <c r="G23" s="88" t="s">
        <v>5</v>
      </c>
    </row>
    <row r="24" spans="2:7" s="69" customFormat="1" ht="15" customHeight="1" x14ac:dyDescent="0.25">
      <c r="B24" s="67" t="s">
        <v>693</v>
      </c>
      <c r="C24" s="68" t="s">
        <v>694</v>
      </c>
      <c r="D24" s="49" t="s">
        <v>718</v>
      </c>
      <c r="E24" s="79">
        <v>1106026</v>
      </c>
      <c r="F24" s="88" t="s">
        <v>65</v>
      </c>
      <c r="G24" s="88" t="s">
        <v>441</v>
      </c>
    </row>
    <row r="25" spans="2:7" s="69" customFormat="1" ht="15" customHeight="1" x14ac:dyDescent="0.25">
      <c r="B25" s="67" t="s">
        <v>695</v>
      </c>
      <c r="C25" s="68" t="s">
        <v>696</v>
      </c>
      <c r="D25" s="60" t="s">
        <v>692</v>
      </c>
      <c r="E25" s="79">
        <v>12800</v>
      </c>
      <c r="F25" s="57" t="s">
        <v>42</v>
      </c>
      <c r="G25" s="57" t="s">
        <v>5</v>
      </c>
    </row>
    <row r="26" spans="2:7" s="69" customFormat="1" ht="15" customHeight="1" x14ac:dyDescent="0.25">
      <c r="B26" s="67" t="s">
        <v>697</v>
      </c>
      <c r="C26" s="68" t="s">
        <v>474</v>
      </c>
      <c r="D26" s="49" t="s">
        <v>473</v>
      </c>
      <c r="E26" s="79">
        <v>427028.68010951014</v>
      </c>
      <c r="F26" s="88" t="s">
        <v>35</v>
      </c>
      <c r="G26" s="88" t="s">
        <v>35</v>
      </c>
    </row>
    <row r="27" spans="2:7" s="69" customFormat="1" ht="15" customHeight="1" x14ac:dyDescent="0.25">
      <c r="B27" s="67" t="s">
        <v>697</v>
      </c>
      <c r="C27" s="68" t="s">
        <v>474</v>
      </c>
      <c r="D27" s="49" t="s">
        <v>473</v>
      </c>
      <c r="E27" s="79">
        <v>87067.775099748149</v>
      </c>
      <c r="F27" s="88" t="s">
        <v>34</v>
      </c>
      <c r="G27" s="88" t="s">
        <v>34</v>
      </c>
    </row>
    <row r="28" spans="2:7" s="69" customFormat="1" ht="15" customHeight="1" x14ac:dyDescent="0.25">
      <c r="B28" s="67" t="s">
        <v>697</v>
      </c>
      <c r="C28" s="68" t="s">
        <v>474</v>
      </c>
      <c r="D28" s="49" t="s">
        <v>473</v>
      </c>
      <c r="E28" s="79">
        <v>323158.7353706694</v>
      </c>
      <c r="F28" s="88" t="s">
        <v>440</v>
      </c>
      <c r="G28" s="88" t="s">
        <v>440</v>
      </c>
    </row>
    <row r="29" spans="2:7" s="69" customFormat="1" ht="15" customHeight="1" x14ac:dyDescent="0.25">
      <c r="B29" s="67" t="s">
        <v>697</v>
      </c>
      <c r="C29" s="68" t="s">
        <v>474</v>
      </c>
      <c r="D29" s="49" t="s">
        <v>473</v>
      </c>
      <c r="E29" s="79">
        <v>1275310.2803812383</v>
      </c>
      <c r="F29" s="88" t="s">
        <v>5</v>
      </c>
      <c r="G29" s="88" t="s">
        <v>5</v>
      </c>
    </row>
    <row r="30" spans="2:7" s="69" customFormat="1" ht="15" customHeight="1" x14ac:dyDescent="0.25">
      <c r="B30" s="67" t="s">
        <v>697</v>
      </c>
      <c r="C30" s="68" t="s">
        <v>474</v>
      </c>
      <c r="D30" s="49" t="s">
        <v>473</v>
      </c>
      <c r="E30" s="79">
        <v>387434.5290388338</v>
      </c>
      <c r="F30" s="88" t="s">
        <v>441</v>
      </c>
      <c r="G30" s="88" t="s">
        <v>441</v>
      </c>
    </row>
    <row r="31" spans="2:7" s="69" customFormat="1" ht="15" customHeight="1" x14ac:dyDescent="0.25">
      <c r="B31" s="67" t="s">
        <v>698</v>
      </c>
      <c r="C31" s="68" t="s">
        <v>699</v>
      </c>
      <c r="D31" s="49" t="s">
        <v>60</v>
      </c>
      <c r="E31" s="79">
        <v>650190</v>
      </c>
      <c r="F31" s="88" t="s">
        <v>47</v>
      </c>
      <c r="G31" s="88" t="s">
        <v>5</v>
      </c>
    </row>
    <row r="32" spans="2:7" s="69" customFormat="1" ht="15" customHeight="1" x14ac:dyDescent="0.25">
      <c r="B32" s="67" t="s">
        <v>700</v>
      </c>
      <c r="C32" s="68" t="s">
        <v>701</v>
      </c>
      <c r="D32" s="49" t="s">
        <v>56</v>
      </c>
      <c r="E32" s="79">
        <v>184624</v>
      </c>
      <c r="F32" s="88" t="s">
        <v>42</v>
      </c>
      <c r="G32" s="88" t="s">
        <v>5</v>
      </c>
    </row>
    <row r="33" spans="2:7" s="69" customFormat="1" ht="15" customHeight="1" x14ac:dyDescent="0.25">
      <c r="B33" s="67" t="s">
        <v>702</v>
      </c>
      <c r="C33" s="68" t="s">
        <v>703</v>
      </c>
      <c r="D33" s="60" t="s">
        <v>684</v>
      </c>
      <c r="E33" s="79">
        <v>10378758.380000001</v>
      </c>
      <c r="F33" s="57" t="s">
        <v>1</v>
      </c>
      <c r="G33" s="57" t="s">
        <v>1</v>
      </c>
    </row>
    <row r="34" spans="2:7" s="69" customFormat="1" ht="15" customHeight="1" x14ac:dyDescent="0.25">
      <c r="B34" s="67" t="s">
        <v>704</v>
      </c>
      <c r="C34" s="68" t="s">
        <v>705</v>
      </c>
      <c r="D34" s="60" t="s">
        <v>684</v>
      </c>
      <c r="E34" s="79">
        <v>11045063.390000001</v>
      </c>
      <c r="F34" s="57" t="s">
        <v>1</v>
      </c>
      <c r="G34" s="57" t="s">
        <v>1</v>
      </c>
    </row>
    <row r="35" spans="2:7" s="69" customFormat="1" ht="15" customHeight="1" x14ac:dyDescent="0.25">
      <c r="B35" s="67" t="s">
        <v>706</v>
      </c>
      <c r="C35" s="68" t="s">
        <v>707</v>
      </c>
      <c r="D35" s="49" t="s">
        <v>719</v>
      </c>
      <c r="E35" s="79">
        <v>3337</v>
      </c>
      <c r="F35" s="88" t="s">
        <v>35</v>
      </c>
      <c r="G35" s="88" t="s">
        <v>35</v>
      </c>
    </row>
    <row r="36" spans="2:7" s="69" customFormat="1" ht="15" customHeight="1" x14ac:dyDescent="0.25">
      <c r="B36" s="67" t="s">
        <v>697</v>
      </c>
      <c r="C36" s="68" t="s">
        <v>474</v>
      </c>
      <c r="D36" s="49" t="s">
        <v>473</v>
      </c>
      <c r="E36" s="79">
        <v>427028.68010951014</v>
      </c>
      <c r="F36" s="88" t="s">
        <v>35</v>
      </c>
      <c r="G36" s="88" t="s">
        <v>35</v>
      </c>
    </row>
    <row r="37" spans="2:7" s="69" customFormat="1" ht="15" customHeight="1" x14ac:dyDescent="0.25">
      <c r="B37" s="67" t="s">
        <v>697</v>
      </c>
      <c r="C37" s="68" t="s">
        <v>474</v>
      </c>
      <c r="D37" s="49" t="s">
        <v>473</v>
      </c>
      <c r="E37" s="79">
        <v>87067.775099748149</v>
      </c>
      <c r="F37" s="88" t="s">
        <v>34</v>
      </c>
      <c r="G37" s="88" t="s">
        <v>34</v>
      </c>
    </row>
    <row r="38" spans="2:7" s="69" customFormat="1" ht="15" customHeight="1" x14ac:dyDescent="0.25">
      <c r="B38" s="67" t="s">
        <v>697</v>
      </c>
      <c r="C38" s="68" t="s">
        <v>474</v>
      </c>
      <c r="D38" s="49" t="s">
        <v>473</v>
      </c>
      <c r="E38" s="79">
        <v>323158.7353706694</v>
      </c>
      <c r="F38" s="88" t="s">
        <v>440</v>
      </c>
      <c r="G38" s="88" t="s">
        <v>440</v>
      </c>
    </row>
    <row r="39" spans="2:7" s="69" customFormat="1" ht="15" customHeight="1" x14ac:dyDescent="0.25">
      <c r="B39" s="67" t="s">
        <v>697</v>
      </c>
      <c r="C39" s="68" t="s">
        <v>474</v>
      </c>
      <c r="D39" s="49" t="s">
        <v>473</v>
      </c>
      <c r="E39" s="79">
        <v>1275310.2803812383</v>
      </c>
      <c r="F39" s="88" t="s">
        <v>5</v>
      </c>
      <c r="G39" s="88" t="s">
        <v>5</v>
      </c>
    </row>
    <row r="40" spans="2:7" s="69" customFormat="1" ht="15" customHeight="1" x14ac:dyDescent="0.25">
      <c r="B40" s="67" t="s">
        <v>697</v>
      </c>
      <c r="C40" s="68" t="s">
        <v>474</v>
      </c>
      <c r="D40" s="49" t="s">
        <v>473</v>
      </c>
      <c r="E40" s="79">
        <v>387434.5290388338</v>
      </c>
      <c r="F40" s="88" t="s">
        <v>441</v>
      </c>
      <c r="G40" s="88" t="s">
        <v>441</v>
      </c>
    </row>
    <row r="41" spans="2:7" s="69" customFormat="1" ht="15" customHeight="1" x14ac:dyDescent="0.25">
      <c r="B41" s="67" t="s">
        <v>708</v>
      </c>
      <c r="C41" s="68" t="s">
        <v>709</v>
      </c>
      <c r="D41" s="49" t="s">
        <v>99</v>
      </c>
      <c r="E41" s="79">
        <v>496125</v>
      </c>
      <c r="F41" s="57" t="s">
        <v>50</v>
      </c>
      <c r="G41" s="57" t="s">
        <v>5</v>
      </c>
    </row>
    <row r="42" spans="2:7" s="69" customFormat="1" ht="15" customHeight="1" x14ac:dyDescent="0.25">
      <c r="B42" s="67" t="s">
        <v>710</v>
      </c>
      <c r="C42" s="68" t="s">
        <v>711</v>
      </c>
      <c r="D42" s="49" t="s">
        <v>720</v>
      </c>
      <c r="E42" s="79">
        <v>100000</v>
      </c>
      <c r="F42" s="88" t="s">
        <v>35</v>
      </c>
      <c r="G42" s="88" t="s">
        <v>35</v>
      </c>
    </row>
    <row r="43" spans="2:7" s="69" customFormat="1" ht="15" customHeight="1" x14ac:dyDescent="0.25">
      <c r="B43" s="67" t="s">
        <v>712</v>
      </c>
      <c r="C43" s="68" t="s">
        <v>713</v>
      </c>
      <c r="D43" s="49" t="s">
        <v>56</v>
      </c>
      <c r="E43" s="79">
        <v>167840</v>
      </c>
      <c r="F43" s="88" t="s">
        <v>42</v>
      </c>
      <c r="G43" s="88" t="s">
        <v>5</v>
      </c>
    </row>
    <row r="44" spans="2:7" s="69" customFormat="1" ht="15" customHeight="1" x14ac:dyDescent="0.25">
      <c r="B44" s="67" t="s">
        <v>714</v>
      </c>
      <c r="C44" s="68" t="s">
        <v>715</v>
      </c>
      <c r="D44" s="49" t="s">
        <v>78</v>
      </c>
      <c r="E44" s="79">
        <v>1090490.22</v>
      </c>
      <c r="F44" s="57" t="s">
        <v>50</v>
      </c>
      <c r="G44" s="57" t="s">
        <v>5</v>
      </c>
    </row>
    <row r="45" spans="2:7" s="69" customFormat="1" ht="15" customHeight="1" x14ac:dyDescent="0.25">
      <c r="B45" s="67" t="s">
        <v>716</v>
      </c>
      <c r="C45" s="68" t="s">
        <v>717</v>
      </c>
      <c r="D45" s="49" t="s">
        <v>719</v>
      </c>
      <c r="E45" s="79">
        <v>3257.69</v>
      </c>
      <c r="F45" s="88" t="s">
        <v>35</v>
      </c>
      <c r="G45" s="88" t="s">
        <v>35</v>
      </c>
    </row>
    <row r="46" spans="2:7" s="69" customFormat="1" ht="15" customHeight="1" x14ac:dyDescent="0.25">
      <c r="B46" s="67" t="s">
        <v>756</v>
      </c>
      <c r="C46" s="68" t="s">
        <v>757</v>
      </c>
      <c r="D46" s="60" t="s">
        <v>477</v>
      </c>
      <c r="E46" s="79">
        <v>673432.22</v>
      </c>
      <c r="F46" s="88" t="s">
        <v>50</v>
      </c>
      <c r="G46" s="88" t="s">
        <v>5</v>
      </c>
    </row>
    <row r="47" spans="2:7" s="69" customFormat="1" ht="15" customHeight="1" x14ac:dyDescent="0.25">
      <c r="B47" s="67" t="s">
        <v>758</v>
      </c>
      <c r="C47" s="68" t="s">
        <v>759</v>
      </c>
      <c r="D47" s="107" t="s">
        <v>771</v>
      </c>
      <c r="E47" s="79">
        <v>732880</v>
      </c>
      <c r="F47" s="88" t="s">
        <v>47</v>
      </c>
      <c r="G47" s="88" t="s">
        <v>5</v>
      </c>
    </row>
    <row r="48" spans="2:7" s="69" customFormat="1" ht="15" customHeight="1" x14ac:dyDescent="0.25">
      <c r="B48" s="67" t="s">
        <v>760</v>
      </c>
      <c r="C48" s="68" t="s">
        <v>761</v>
      </c>
      <c r="D48" s="49" t="s">
        <v>61</v>
      </c>
      <c r="E48" s="79">
        <v>1147904</v>
      </c>
      <c r="F48" s="88" t="s">
        <v>47</v>
      </c>
      <c r="G48" s="88" t="s">
        <v>5</v>
      </c>
    </row>
    <row r="49" spans="2:7" s="69" customFormat="1" ht="15" customHeight="1" x14ac:dyDescent="0.25">
      <c r="B49" s="67" t="s">
        <v>762</v>
      </c>
      <c r="C49" s="68" t="s">
        <v>763</v>
      </c>
      <c r="D49" s="49" t="s">
        <v>56</v>
      </c>
      <c r="E49" s="79">
        <v>755615</v>
      </c>
      <c r="F49" s="88" t="s">
        <v>42</v>
      </c>
      <c r="G49" s="88" t="s">
        <v>5</v>
      </c>
    </row>
    <row r="50" spans="2:7" s="69" customFormat="1" ht="15" customHeight="1" x14ac:dyDescent="0.25">
      <c r="B50" s="67" t="s">
        <v>764</v>
      </c>
      <c r="C50" s="68" t="s">
        <v>765</v>
      </c>
      <c r="D50" s="49" t="s">
        <v>770</v>
      </c>
      <c r="E50" s="79">
        <v>178500</v>
      </c>
      <c r="F50" s="88" t="s">
        <v>54</v>
      </c>
      <c r="G50" s="88" t="s">
        <v>5</v>
      </c>
    </row>
    <row r="51" spans="2:7" s="69" customFormat="1" ht="15" customHeight="1" x14ac:dyDescent="0.25">
      <c r="B51" s="67" t="s">
        <v>766</v>
      </c>
      <c r="C51" s="68" t="s">
        <v>767</v>
      </c>
      <c r="D51" s="49" t="s">
        <v>770</v>
      </c>
      <c r="E51" s="79">
        <v>89250</v>
      </c>
      <c r="F51" s="88" t="s">
        <v>54</v>
      </c>
      <c r="G51" s="88" t="s">
        <v>5</v>
      </c>
    </row>
    <row r="52" spans="2:7" s="69" customFormat="1" ht="15" customHeight="1" x14ac:dyDescent="0.25">
      <c r="B52" s="67" t="s">
        <v>768</v>
      </c>
      <c r="C52" s="68" t="s">
        <v>769</v>
      </c>
      <c r="D52" s="49" t="s">
        <v>770</v>
      </c>
      <c r="E52" s="79">
        <v>178500</v>
      </c>
      <c r="F52" s="88" t="s">
        <v>54</v>
      </c>
      <c r="G52" s="88" t="s">
        <v>5</v>
      </c>
    </row>
    <row r="53" spans="2:7" s="69" customFormat="1" ht="15" customHeight="1" x14ac:dyDescent="0.25">
      <c r="B53" s="67" t="s">
        <v>823</v>
      </c>
      <c r="C53" s="68" t="s">
        <v>824</v>
      </c>
      <c r="D53" s="49" t="s">
        <v>365</v>
      </c>
      <c r="E53" s="79">
        <v>503250</v>
      </c>
      <c r="F53" s="88" t="s">
        <v>54</v>
      </c>
      <c r="G53" s="88" t="s">
        <v>5</v>
      </c>
    </row>
    <row r="54" spans="2:7" s="69" customFormat="1" ht="15" customHeight="1" x14ac:dyDescent="0.25">
      <c r="B54" s="67" t="s">
        <v>825</v>
      </c>
      <c r="C54" s="68" t="s">
        <v>826</v>
      </c>
      <c r="D54" s="49" t="s">
        <v>868</v>
      </c>
      <c r="E54" s="79">
        <v>1196520</v>
      </c>
      <c r="F54" s="88" t="s">
        <v>47</v>
      </c>
      <c r="G54" s="88" t="s">
        <v>441</v>
      </c>
    </row>
    <row r="55" spans="2:7" s="69" customFormat="1" ht="15" customHeight="1" x14ac:dyDescent="0.25">
      <c r="B55" s="67" t="s">
        <v>827</v>
      </c>
      <c r="C55" s="68" t="s">
        <v>828</v>
      </c>
      <c r="D55" s="49" t="s">
        <v>56</v>
      </c>
      <c r="E55" s="79">
        <v>204555</v>
      </c>
      <c r="F55" s="88" t="s">
        <v>42</v>
      </c>
      <c r="G55" s="88" t="s">
        <v>5</v>
      </c>
    </row>
    <row r="56" spans="2:7" s="69" customFormat="1" ht="15" customHeight="1" x14ac:dyDescent="0.25">
      <c r="B56" s="67" t="s">
        <v>829</v>
      </c>
      <c r="C56" s="68" t="s">
        <v>830</v>
      </c>
      <c r="D56" s="49" t="s">
        <v>869</v>
      </c>
      <c r="E56" s="79">
        <v>315000</v>
      </c>
      <c r="F56" s="88" t="s">
        <v>42</v>
      </c>
      <c r="G56" s="88" t="s">
        <v>5</v>
      </c>
    </row>
    <row r="57" spans="2:7" s="69" customFormat="1" ht="15" customHeight="1" x14ac:dyDescent="0.25">
      <c r="B57" s="67" t="s">
        <v>831</v>
      </c>
      <c r="C57" s="68" t="s">
        <v>832</v>
      </c>
      <c r="D57" s="49" t="s">
        <v>870</v>
      </c>
      <c r="E57" s="79">
        <v>4760362</v>
      </c>
      <c r="F57" s="88" t="s">
        <v>54</v>
      </c>
      <c r="G57" s="88" t="s">
        <v>5</v>
      </c>
    </row>
    <row r="58" spans="2:7" s="69" customFormat="1" ht="15" customHeight="1" x14ac:dyDescent="0.25">
      <c r="B58" s="67" t="s">
        <v>833</v>
      </c>
      <c r="C58" s="68" t="s">
        <v>834</v>
      </c>
      <c r="D58" s="49" t="s">
        <v>871</v>
      </c>
      <c r="E58" s="79">
        <v>519255</v>
      </c>
      <c r="F58" s="88" t="s">
        <v>53</v>
      </c>
      <c r="G58" s="88" t="s">
        <v>5</v>
      </c>
    </row>
    <row r="59" spans="2:7" s="69" customFormat="1" ht="15" customHeight="1" x14ac:dyDescent="0.25">
      <c r="B59" s="67" t="s">
        <v>833</v>
      </c>
      <c r="C59" s="68" t="s">
        <v>835</v>
      </c>
      <c r="D59" s="49" t="s">
        <v>871</v>
      </c>
      <c r="E59" s="79">
        <v>519255</v>
      </c>
      <c r="F59" s="88" t="s">
        <v>53</v>
      </c>
      <c r="G59" s="88" t="s">
        <v>5</v>
      </c>
    </row>
    <row r="60" spans="2:7" s="69" customFormat="1" ht="15" customHeight="1" x14ac:dyDescent="0.25">
      <c r="B60" s="67" t="s">
        <v>836</v>
      </c>
      <c r="C60" s="68" t="s">
        <v>837</v>
      </c>
      <c r="D60" s="49" t="s">
        <v>871</v>
      </c>
      <c r="E60" s="79">
        <v>519255</v>
      </c>
      <c r="F60" s="88" t="s">
        <v>53</v>
      </c>
      <c r="G60" s="88" t="s">
        <v>5</v>
      </c>
    </row>
    <row r="61" spans="2:7" s="69" customFormat="1" ht="15" customHeight="1" x14ac:dyDescent="0.25">
      <c r="B61" s="67" t="s">
        <v>836</v>
      </c>
      <c r="C61" s="68" t="s">
        <v>838</v>
      </c>
      <c r="D61" s="49" t="s">
        <v>871</v>
      </c>
      <c r="E61" s="79">
        <v>519255</v>
      </c>
      <c r="F61" s="88" t="s">
        <v>53</v>
      </c>
      <c r="G61" s="88" t="s">
        <v>5</v>
      </c>
    </row>
    <row r="62" spans="2:7" s="69" customFormat="1" ht="15" customHeight="1" x14ac:dyDescent="0.25">
      <c r="B62" s="67" t="s">
        <v>839</v>
      </c>
      <c r="C62" s="68" t="s">
        <v>840</v>
      </c>
      <c r="D62" s="49" t="s">
        <v>871</v>
      </c>
      <c r="E62" s="79">
        <v>503424</v>
      </c>
      <c r="F62" s="88" t="s">
        <v>53</v>
      </c>
      <c r="G62" s="88" t="s">
        <v>5</v>
      </c>
    </row>
    <row r="63" spans="2:7" s="69" customFormat="1" ht="15" customHeight="1" x14ac:dyDescent="0.25">
      <c r="B63" s="67" t="s">
        <v>839</v>
      </c>
      <c r="C63" s="68" t="s">
        <v>841</v>
      </c>
      <c r="D63" s="49" t="s">
        <v>871</v>
      </c>
      <c r="E63" s="79">
        <v>432712</v>
      </c>
      <c r="F63" s="88" t="s">
        <v>53</v>
      </c>
      <c r="G63" s="88" t="s">
        <v>5</v>
      </c>
    </row>
    <row r="64" spans="2:7" s="69" customFormat="1" ht="15" customHeight="1" x14ac:dyDescent="0.25">
      <c r="B64" s="67" t="s">
        <v>842</v>
      </c>
      <c r="C64" s="68" t="s">
        <v>843</v>
      </c>
      <c r="D64" s="49" t="s">
        <v>871</v>
      </c>
      <c r="E64" s="79">
        <v>503758</v>
      </c>
      <c r="F64" s="88" t="s">
        <v>53</v>
      </c>
      <c r="G64" s="88" t="s">
        <v>5</v>
      </c>
    </row>
    <row r="65" spans="2:7" s="69" customFormat="1" ht="15" customHeight="1" x14ac:dyDescent="0.25">
      <c r="B65" s="67" t="s">
        <v>842</v>
      </c>
      <c r="C65" s="68" t="s">
        <v>844</v>
      </c>
      <c r="D65" s="49" t="s">
        <v>871</v>
      </c>
      <c r="E65" s="79">
        <v>432712</v>
      </c>
      <c r="F65" s="88" t="s">
        <v>53</v>
      </c>
      <c r="G65" s="88" t="s">
        <v>5</v>
      </c>
    </row>
    <row r="66" spans="2:7" s="69" customFormat="1" ht="15" customHeight="1" x14ac:dyDescent="0.25">
      <c r="B66" s="67" t="s">
        <v>845</v>
      </c>
      <c r="C66" s="68" t="s">
        <v>846</v>
      </c>
      <c r="D66" s="49" t="s">
        <v>871</v>
      </c>
      <c r="E66" s="79">
        <v>475983.5</v>
      </c>
      <c r="F66" s="88" t="s">
        <v>53</v>
      </c>
      <c r="G66" s="88" t="s">
        <v>5</v>
      </c>
    </row>
    <row r="67" spans="2:7" s="69" customFormat="1" ht="15" customHeight="1" x14ac:dyDescent="0.25">
      <c r="B67" s="67" t="s">
        <v>845</v>
      </c>
      <c r="C67" s="68" t="s">
        <v>847</v>
      </c>
      <c r="D67" s="49" t="s">
        <v>871</v>
      </c>
      <c r="E67" s="79">
        <v>432712</v>
      </c>
      <c r="F67" s="88" t="s">
        <v>53</v>
      </c>
      <c r="G67" s="88" t="s">
        <v>5</v>
      </c>
    </row>
    <row r="68" spans="2:7" s="69" customFormat="1" ht="15" customHeight="1" x14ac:dyDescent="0.25">
      <c r="B68" s="67" t="s">
        <v>848</v>
      </c>
      <c r="C68" s="68" t="s">
        <v>849</v>
      </c>
      <c r="D68" s="49" t="s">
        <v>871</v>
      </c>
      <c r="E68" s="79">
        <v>519255</v>
      </c>
      <c r="F68" s="88" t="s">
        <v>53</v>
      </c>
      <c r="G68" s="88" t="s">
        <v>5</v>
      </c>
    </row>
    <row r="69" spans="2:7" s="69" customFormat="1" ht="15" customHeight="1" x14ac:dyDescent="0.25">
      <c r="B69" s="67" t="s">
        <v>848</v>
      </c>
      <c r="C69" s="68" t="s">
        <v>850</v>
      </c>
      <c r="D69" s="49" t="s">
        <v>871</v>
      </c>
      <c r="E69" s="79">
        <v>432712</v>
      </c>
      <c r="F69" s="88" t="s">
        <v>53</v>
      </c>
      <c r="G69" s="88" t="s">
        <v>5</v>
      </c>
    </row>
    <row r="70" spans="2:7" s="69" customFormat="1" ht="15" customHeight="1" x14ac:dyDescent="0.25">
      <c r="B70" s="67" t="s">
        <v>851</v>
      </c>
      <c r="C70" s="68" t="s">
        <v>852</v>
      </c>
      <c r="D70" s="49" t="s">
        <v>871</v>
      </c>
      <c r="E70" s="79">
        <v>113889.5</v>
      </c>
      <c r="F70" s="88" t="s">
        <v>53</v>
      </c>
      <c r="G70" s="88" t="s">
        <v>5</v>
      </c>
    </row>
    <row r="71" spans="2:7" s="69" customFormat="1" ht="15" customHeight="1" x14ac:dyDescent="0.25">
      <c r="B71" s="67" t="s">
        <v>853</v>
      </c>
      <c r="C71" s="68" t="s">
        <v>854</v>
      </c>
      <c r="D71" s="49" t="s">
        <v>321</v>
      </c>
      <c r="E71" s="79">
        <v>158743</v>
      </c>
      <c r="F71" s="88" t="s">
        <v>42</v>
      </c>
      <c r="G71" s="88" t="s">
        <v>5</v>
      </c>
    </row>
    <row r="72" spans="2:7" s="69" customFormat="1" ht="15" customHeight="1" x14ac:dyDescent="0.25">
      <c r="B72" s="67" t="s">
        <v>855</v>
      </c>
      <c r="C72" s="68" t="s">
        <v>856</v>
      </c>
      <c r="D72" s="49" t="s">
        <v>871</v>
      </c>
      <c r="E72" s="79">
        <v>23527.29</v>
      </c>
      <c r="F72" s="88" t="s">
        <v>53</v>
      </c>
      <c r="G72" s="88" t="s">
        <v>5</v>
      </c>
    </row>
    <row r="73" spans="2:7" s="69" customFormat="1" ht="15" customHeight="1" x14ac:dyDescent="0.25">
      <c r="B73" s="67" t="s">
        <v>857</v>
      </c>
      <c r="C73" s="68" t="s">
        <v>858</v>
      </c>
      <c r="D73" s="49" t="s">
        <v>872</v>
      </c>
      <c r="E73" s="79">
        <v>800000</v>
      </c>
      <c r="F73" s="88" t="s">
        <v>34</v>
      </c>
      <c r="G73" s="88" t="s">
        <v>34</v>
      </c>
    </row>
    <row r="74" spans="2:7" s="69" customFormat="1" ht="15" customHeight="1" x14ac:dyDescent="0.25">
      <c r="B74" s="67" t="s">
        <v>1051</v>
      </c>
      <c r="C74" s="68" t="s">
        <v>1056</v>
      </c>
      <c r="D74" s="49" t="s">
        <v>60</v>
      </c>
      <c r="E74" s="79">
        <v>650190</v>
      </c>
      <c r="F74" s="88" t="s">
        <v>47</v>
      </c>
      <c r="G74" s="88" t="s">
        <v>5</v>
      </c>
    </row>
    <row r="75" spans="2:7" s="69" customFormat="1" ht="15" customHeight="1" x14ac:dyDescent="0.25">
      <c r="B75" s="67" t="s">
        <v>1052</v>
      </c>
      <c r="C75" s="68" t="s">
        <v>1057</v>
      </c>
      <c r="D75" s="49" t="s">
        <v>56</v>
      </c>
      <c r="E75" s="79">
        <v>184624</v>
      </c>
      <c r="F75" s="88" t="s">
        <v>42</v>
      </c>
      <c r="G75" s="88" t="s">
        <v>5</v>
      </c>
    </row>
    <row r="76" spans="2:7" s="69" customFormat="1" ht="15" customHeight="1" x14ac:dyDescent="0.25">
      <c r="B76" s="67" t="s">
        <v>1053</v>
      </c>
      <c r="C76" s="68" t="s">
        <v>1058</v>
      </c>
      <c r="D76" s="49" t="s">
        <v>87</v>
      </c>
      <c r="E76" s="79">
        <v>1427611.66</v>
      </c>
      <c r="F76" s="57" t="s">
        <v>440</v>
      </c>
      <c r="G76" s="57" t="s">
        <v>440</v>
      </c>
    </row>
    <row r="77" spans="2:7" s="69" customFormat="1" ht="15" customHeight="1" x14ac:dyDescent="0.25">
      <c r="B77" s="67" t="s">
        <v>1054</v>
      </c>
      <c r="C77" s="68" t="s">
        <v>1059</v>
      </c>
      <c r="D77" s="49" t="s">
        <v>473</v>
      </c>
      <c r="E77" s="79">
        <v>427028.68010951014</v>
      </c>
      <c r="F77" s="57" t="s">
        <v>35</v>
      </c>
      <c r="G77" s="57" t="s">
        <v>35</v>
      </c>
    </row>
    <row r="78" spans="2:7" s="69" customFormat="1" ht="15" customHeight="1" x14ac:dyDescent="0.25">
      <c r="B78" s="67" t="s">
        <v>1054</v>
      </c>
      <c r="C78" s="68" t="s">
        <v>1059</v>
      </c>
      <c r="D78" s="49" t="s">
        <v>473</v>
      </c>
      <c r="E78" s="79">
        <v>87067.775099748149</v>
      </c>
      <c r="F78" s="57" t="s">
        <v>34</v>
      </c>
      <c r="G78" s="57" t="s">
        <v>34</v>
      </c>
    </row>
    <row r="79" spans="2:7" s="69" customFormat="1" ht="15" customHeight="1" x14ac:dyDescent="0.25">
      <c r="B79" s="67" t="s">
        <v>1054</v>
      </c>
      <c r="C79" s="68" t="s">
        <v>1059</v>
      </c>
      <c r="D79" s="49" t="s">
        <v>473</v>
      </c>
      <c r="E79" s="79">
        <v>323158.7353706694</v>
      </c>
      <c r="F79" s="57" t="s">
        <v>440</v>
      </c>
      <c r="G79" s="57" t="s">
        <v>440</v>
      </c>
    </row>
    <row r="80" spans="2:7" s="69" customFormat="1" ht="15" customHeight="1" x14ac:dyDescent="0.25">
      <c r="B80" s="67" t="s">
        <v>1054</v>
      </c>
      <c r="C80" s="68" t="s">
        <v>1059</v>
      </c>
      <c r="D80" s="49" t="s">
        <v>473</v>
      </c>
      <c r="E80" s="79">
        <v>1275310.2803812383</v>
      </c>
      <c r="F80" s="57" t="s">
        <v>5</v>
      </c>
      <c r="G80" s="57" t="s">
        <v>5</v>
      </c>
    </row>
    <row r="81" spans="2:7" s="69" customFormat="1" ht="15" customHeight="1" x14ac:dyDescent="0.25">
      <c r="B81" s="67" t="s">
        <v>1054</v>
      </c>
      <c r="C81" s="68" t="s">
        <v>1059</v>
      </c>
      <c r="D81" s="49" t="s">
        <v>473</v>
      </c>
      <c r="E81" s="79">
        <v>387434.5290388338</v>
      </c>
      <c r="F81" s="57" t="s">
        <v>441</v>
      </c>
      <c r="G81" s="57" t="s">
        <v>441</v>
      </c>
    </row>
    <row r="82" spans="2:7" s="69" customFormat="1" ht="15" customHeight="1" x14ac:dyDescent="0.25">
      <c r="B82" s="67" t="s">
        <v>1055</v>
      </c>
      <c r="C82" s="68" t="s">
        <v>1060</v>
      </c>
      <c r="D82" s="49" t="s">
        <v>1061</v>
      </c>
      <c r="E82" s="79">
        <v>661500</v>
      </c>
      <c r="F82" s="88" t="s">
        <v>54</v>
      </c>
      <c r="G82" s="88" t="s">
        <v>5</v>
      </c>
    </row>
    <row r="83" spans="2:7" s="69" customFormat="1" ht="15" customHeight="1" x14ac:dyDescent="0.25">
      <c r="B83" s="67" t="s">
        <v>1087</v>
      </c>
      <c r="C83" s="68" t="s">
        <v>1088</v>
      </c>
      <c r="D83" s="49" t="s">
        <v>57</v>
      </c>
      <c r="E83" s="79">
        <v>178500</v>
      </c>
      <c r="F83" s="88" t="s">
        <v>479</v>
      </c>
      <c r="G83" s="88" t="s">
        <v>5</v>
      </c>
    </row>
    <row r="84" spans="2:7" s="69" customFormat="1" ht="15" customHeight="1" x14ac:dyDescent="0.25">
      <c r="B84" s="67" t="s">
        <v>1089</v>
      </c>
      <c r="C84" s="68" t="s">
        <v>761</v>
      </c>
      <c r="D84" s="49" t="s">
        <v>61</v>
      </c>
      <c r="E84" s="79">
        <v>1139974.3999999999</v>
      </c>
      <c r="F84" s="88" t="s">
        <v>47</v>
      </c>
      <c r="G84" s="88" t="s">
        <v>5</v>
      </c>
    </row>
    <row r="85" spans="2:7" s="69" customFormat="1" ht="15" customHeight="1" x14ac:dyDescent="0.25">
      <c r="B85" s="67" t="s">
        <v>1090</v>
      </c>
      <c r="C85" s="68" t="s">
        <v>1091</v>
      </c>
      <c r="D85" s="49" t="s">
        <v>1106</v>
      </c>
      <c r="E85" s="79">
        <v>472500</v>
      </c>
      <c r="F85" s="88" t="s">
        <v>50</v>
      </c>
      <c r="G85" s="88" t="s">
        <v>5</v>
      </c>
    </row>
    <row r="86" spans="2:7" s="69" customFormat="1" ht="15" customHeight="1" x14ac:dyDescent="0.25">
      <c r="B86" s="67" t="s">
        <v>1092</v>
      </c>
      <c r="C86" s="68" t="s">
        <v>1093</v>
      </c>
      <c r="D86" s="49" t="s">
        <v>1107</v>
      </c>
      <c r="E86" s="79">
        <v>335680</v>
      </c>
      <c r="F86" s="57" t="s">
        <v>867</v>
      </c>
      <c r="G86" s="57" t="s">
        <v>5</v>
      </c>
    </row>
    <row r="87" spans="2:7" s="69" customFormat="1" ht="15" customHeight="1" x14ac:dyDescent="0.25">
      <c r="B87" s="67" t="s">
        <v>1094</v>
      </c>
      <c r="C87" s="68" t="s">
        <v>1095</v>
      </c>
      <c r="D87" s="49" t="s">
        <v>1108</v>
      </c>
      <c r="E87" s="79">
        <v>2000000</v>
      </c>
      <c r="F87" s="88" t="s">
        <v>54</v>
      </c>
      <c r="G87" s="88" t="s">
        <v>5</v>
      </c>
    </row>
    <row r="88" spans="2:7" s="69" customFormat="1" ht="15" customHeight="1" x14ac:dyDescent="0.25">
      <c r="B88" s="67" t="s">
        <v>1096</v>
      </c>
      <c r="C88" s="68" t="s">
        <v>1097</v>
      </c>
      <c r="D88" s="49" t="s">
        <v>56</v>
      </c>
      <c r="E88" s="79">
        <v>297972.76</v>
      </c>
      <c r="F88" s="88" t="s">
        <v>42</v>
      </c>
      <c r="G88" s="88" t="s">
        <v>5</v>
      </c>
    </row>
    <row r="89" spans="2:7" s="69" customFormat="1" ht="15" customHeight="1" x14ac:dyDescent="0.25">
      <c r="B89" s="67" t="s">
        <v>1098</v>
      </c>
      <c r="C89" s="68" t="s">
        <v>1099</v>
      </c>
      <c r="D89" s="49" t="s">
        <v>78</v>
      </c>
      <c r="E89" s="79">
        <v>178781.07</v>
      </c>
      <c r="F89" s="57" t="s">
        <v>50</v>
      </c>
      <c r="G89" s="57" t="s">
        <v>5</v>
      </c>
    </row>
    <row r="90" spans="2:7" s="69" customFormat="1" ht="15" customHeight="1" x14ac:dyDescent="0.25">
      <c r="B90" s="67" t="s">
        <v>1100</v>
      </c>
      <c r="C90" s="68" t="s">
        <v>1101</v>
      </c>
      <c r="D90" s="49" t="s">
        <v>1109</v>
      </c>
      <c r="E90" s="79">
        <v>819007</v>
      </c>
      <c r="F90" s="88" t="s">
        <v>53</v>
      </c>
      <c r="G90" s="88" t="s">
        <v>5</v>
      </c>
    </row>
    <row r="91" spans="2:7" s="69" customFormat="1" ht="15" customHeight="1" x14ac:dyDescent="0.25">
      <c r="B91" s="67" t="s">
        <v>1102</v>
      </c>
      <c r="C91" s="68" t="s">
        <v>1103</v>
      </c>
      <c r="D91" s="49" t="s">
        <v>473</v>
      </c>
      <c r="E91" s="79">
        <v>427028.68010951014</v>
      </c>
      <c r="F91" s="88" t="s">
        <v>35</v>
      </c>
      <c r="G91" s="88" t="s">
        <v>35</v>
      </c>
    </row>
    <row r="92" spans="2:7" s="69" customFormat="1" ht="15" customHeight="1" x14ac:dyDescent="0.25">
      <c r="B92" s="67" t="s">
        <v>1102</v>
      </c>
      <c r="C92" s="68" t="s">
        <v>1103</v>
      </c>
      <c r="D92" s="49" t="s">
        <v>473</v>
      </c>
      <c r="E92" s="79">
        <v>87067.775099748149</v>
      </c>
      <c r="F92" s="88" t="s">
        <v>34</v>
      </c>
      <c r="G92" s="88" t="s">
        <v>34</v>
      </c>
    </row>
    <row r="93" spans="2:7" s="69" customFormat="1" ht="15" customHeight="1" x14ac:dyDescent="0.25">
      <c r="B93" s="67" t="s">
        <v>1102</v>
      </c>
      <c r="C93" s="68" t="s">
        <v>1103</v>
      </c>
      <c r="D93" s="49" t="s">
        <v>473</v>
      </c>
      <c r="E93" s="79">
        <v>323158.7353706694</v>
      </c>
      <c r="F93" s="88" t="s">
        <v>440</v>
      </c>
      <c r="G93" s="88" t="s">
        <v>440</v>
      </c>
    </row>
    <row r="94" spans="2:7" s="69" customFormat="1" ht="15" customHeight="1" x14ac:dyDescent="0.25">
      <c r="B94" s="67" t="s">
        <v>1102</v>
      </c>
      <c r="C94" s="68" t="s">
        <v>1103</v>
      </c>
      <c r="D94" s="49" t="s">
        <v>473</v>
      </c>
      <c r="E94" s="79">
        <v>1275310.2803812383</v>
      </c>
      <c r="F94" s="88" t="s">
        <v>5</v>
      </c>
      <c r="G94" s="88" t="s">
        <v>5</v>
      </c>
    </row>
    <row r="95" spans="2:7" s="69" customFormat="1" ht="15" customHeight="1" x14ac:dyDescent="0.25">
      <c r="B95" s="67" t="s">
        <v>1102</v>
      </c>
      <c r="C95" s="68" t="s">
        <v>1103</v>
      </c>
      <c r="D95" s="49" t="s">
        <v>473</v>
      </c>
      <c r="E95" s="79">
        <v>387434.5290388338</v>
      </c>
      <c r="F95" s="88" t="s">
        <v>441</v>
      </c>
      <c r="G95" s="88" t="s">
        <v>441</v>
      </c>
    </row>
    <row r="96" spans="2:7" s="69" customFormat="1" ht="15" customHeight="1" x14ac:dyDescent="0.25">
      <c r="B96" s="67" t="s">
        <v>1104</v>
      </c>
      <c r="C96" s="68" t="s">
        <v>1105</v>
      </c>
      <c r="D96" s="49" t="s">
        <v>1110</v>
      </c>
      <c r="E96" s="79">
        <v>588680</v>
      </c>
      <c r="F96" s="88" t="s">
        <v>54</v>
      </c>
      <c r="G96" s="88" t="s">
        <v>5</v>
      </c>
    </row>
    <row r="97" spans="2:7" s="69" customFormat="1" ht="15" customHeight="1" x14ac:dyDescent="0.25">
      <c r="B97" s="67"/>
      <c r="C97" s="68"/>
      <c r="D97" s="49"/>
      <c r="E97" s="79"/>
      <c r="F97" s="95"/>
      <c r="G97" s="95"/>
    </row>
    <row r="98" spans="2:7" s="69" customFormat="1" ht="15" customHeight="1" x14ac:dyDescent="0.25">
      <c r="B98" s="67"/>
      <c r="C98" s="68"/>
      <c r="D98" s="49"/>
      <c r="E98" s="79"/>
      <c r="F98" s="88"/>
      <c r="G98" s="88"/>
    </row>
    <row r="99" spans="2:7" ht="15" customHeight="1" x14ac:dyDescent="0.25">
      <c r="B99" s="63" t="s">
        <v>28</v>
      </c>
      <c r="C99" s="63" t="s">
        <v>28</v>
      </c>
      <c r="D99" s="63" t="s">
        <v>28</v>
      </c>
      <c r="E99" s="80" t="s">
        <v>28</v>
      </c>
      <c r="F99" s="96" t="s">
        <v>28</v>
      </c>
      <c r="G99" s="96" t="s">
        <v>28</v>
      </c>
    </row>
    <row r="100" spans="2:7" ht="15" customHeight="1" x14ac:dyDescent="0.25">
      <c r="B100" s="64"/>
      <c r="C100" s="65"/>
      <c r="D100" s="65"/>
      <c r="E100" s="81"/>
      <c r="F100" s="66"/>
      <c r="G100" s="66"/>
    </row>
    <row r="101" spans="2:7" ht="15" customHeight="1" x14ac:dyDescent="0.25">
      <c r="B101" s="61" t="s">
        <v>21</v>
      </c>
      <c r="C101" s="48" t="s">
        <v>27</v>
      </c>
      <c r="D101" s="48" t="s">
        <v>36</v>
      </c>
      <c r="E101" s="78" t="s">
        <v>23</v>
      </c>
      <c r="F101" s="66"/>
      <c r="G101" s="66"/>
    </row>
    <row r="102" spans="2:7" ht="15" customHeight="1" x14ac:dyDescent="0.25">
      <c r="B102" s="67" t="s">
        <v>489</v>
      </c>
      <c r="C102" s="68" t="s">
        <v>490</v>
      </c>
      <c r="D102" s="79"/>
      <c r="E102" s="79">
        <v>335680</v>
      </c>
    </row>
    <row r="193" spans="4:8" ht="15" customHeight="1" x14ac:dyDescent="0.25">
      <c r="D193" s="10" t="s">
        <v>492</v>
      </c>
      <c r="G193" s="44" t="s">
        <v>455</v>
      </c>
      <c r="H193" s="10" t="s">
        <v>5</v>
      </c>
    </row>
    <row r="194" spans="4:8" ht="15" customHeight="1" x14ac:dyDescent="0.25">
      <c r="D194" s="10" t="s">
        <v>492</v>
      </c>
      <c r="G194" s="44" t="s">
        <v>455</v>
      </c>
      <c r="H194" s="10" t="s">
        <v>5</v>
      </c>
    </row>
    <row r="195" spans="4:8" ht="15" customHeight="1" x14ac:dyDescent="0.25">
      <c r="D195" s="10" t="s">
        <v>478</v>
      </c>
    </row>
    <row r="196" spans="4:8" ht="15" customHeight="1" x14ac:dyDescent="0.25">
      <c r="D196" s="10" t="s">
        <v>85</v>
      </c>
    </row>
    <row r="198" spans="4:8" ht="15" customHeight="1" x14ac:dyDescent="0.25">
      <c r="D198" s="10" t="s">
        <v>493</v>
      </c>
    </row>
    <row r="199" spans="4:8" ht="15" customHeight="1" x14ac:dyDescent="0.25">
      <c r="D199" s="10" t="s">
        <v>494</v>
      </c>
    </row>
  </sheetData>
  <autoFilter ref="B3:H96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outlineLevelRow="1" x14ac:dyDescent="0.25"/>
  <cols>
    <col min="1" max="1" width="2.28515625" customWidth="1"/>
    <col min="2" max="2" width="27.85546875" bestFit="1" customWidth="1"/>
    <col min="3" max="3" width="13.28515625" customWidth="1"/>
    <col min="4" max="4" width="22.85546875" style="94" bestFit="1" customWidth="1"/>
    <col min="5" max="5" width="17.5703125" bestFit="1" customWidth="1"/>
    <col min="6" max="8" width="15.140625" bestFit="1" customWidth="1"/>
    <col min="9" max="9" width="13.28515625" bestFit="1" customWidth="1"/>
    <col min="10" max="10" width="13.28515625" style="108" bestFit="1" customWidth="1"/>
    <col min="11" max="11" width="10.5703125" style="108" bestFit="1" customWidth="1"/>
    <col min="12" max="12" width="12.140625" bestFit="1" customWidth="1"/>
    <col min="13" max="13" width="14.85546875" style="108" bestFit="1" customWidth="1"/>
  </cols>
  <sheetData>
    <row r="1" spans="1:12" x14ac:dyDescent="0.25">
      <c r="A1" t="s">
        <v>452</v>
      </c>
      <c r="B1" s="121" t="s">
        <v>448</v>
      </c>
      <c r="C1" s="122"/>
      <c r="D1" s="87">
        <v>46296</v>
      </c>
      <c r="E1" s="87">
        <v>46298</v>
      </c>
      <c r="F1" s="87">
        <v>46300</v>
      </c>
      <c r="G1" s="87">
        <v>46301</v>
      </c>
      <c r="H1" s="87">
        <v>46307</v>
      </c>
    </row>
    <row r="2" spans="1:12" outlineLevel="1" x14ac:dyDescent="0.25">
      <c r="B2" s="40" t="s">
        <v>416</v>
      </c>
      <c r="C2" s="40" t="s">
        <v>439</v>
      </c>
      <c r="D2" s="91">
        <v>2000000</v>
      </c>
      <c r="E2" s="91">
        <v>2111898</v>
      </c>
      <c r="F2" s="91">
        <v>2500000</v>
      </c>
      <c r="G2" s="91">
        <v>2500000</v>
      </c>
      <c r="H2" s="91">
        <v>2500000</v>
      </c>
    </row>
    <row r="3" spans="1:12" outlineLevel="1" x14ac:dyDescent="0.25">
      <c r="B3" s="41" t="s">
        <v>35</v>
      </c>
      <c r="C3" s="97">
        <v>0.17081147204380406</v>
      </c>
      <c r="D3" s="92">
        <f t="shared" ref="D3:G3" si="0">D$2*$C3</f>
        <v>341622.94408760814</v>
      </c>
      <c r="E3" s="92">
        <f t="shared" si="0"/>
        <v>360736.4061863657</v>
      </c>
      <c r="F3" s="92">
        <f t="shared" si="0"/>
        <v>427028.68010951014</v>
      </c>
      <c r="G3" s="92">
        <f>G$2*$C3</f>
        <v>427028.68010951014</v>
      </c>
      <c r="H3" s="92">
        <f>H$2*$C3</f>
        <v>427028.68010951014</v>
      </c>
    </row>
    <row r="4" spans="1:12" outlineLevel="1" x14ac:dyDescent="0.25">
      <c r="B4" s="41" t="s">
        <v>34</v>
      </c>
      <c r="C4" s="97">
        <v>3.4827110039899259E-2</v>
      </c>
      <c r="D4" s="92">
        <f t="shared" ref="D4:G7" si="1">D$2*$C4</f>
        <v>69654.220079798513</v>
      </c>
      <c r="E4" s="92">
        <f t="shared" si="1"/>
        <v>73551.304039043171</v>
      </c>
      <c r="F4" s="92">
        <f t="shared" si="1"/>
        <v>87067.775099748149</v>
      </c>
      <c r="G4" s="92">
        <f>G$2*$C4</f>
        <v>87067.775099748149</v>
      </c>
      <c r="H4" s="92">
        <f>H$2*$C4</f>
        <v>87067.775099748149</v>
      </c>
    </row>
    <row r="5" spans="1:12" outlineLevel="1" x14ac:dyDescent="0.25">
      <c r="B5" s="41" t="s">
        <v>440</v>
      </c>
      <c r="C5" s="97">
        <v>0.12926349414826777</v>
      </c>
      <c r="D5" s="92">
        <f t="shared" si="1"/>
        <v>258526.98829653554</v>
      </c>
      <c r="E5" s="92">
        <f t="shared" si="1"/>
        <v>272991.31476473837</v>
      </c>
      <c r="F5" s="92">
        <f t="shared" si="1"/>
        <v>323158.7353706694</v>
      </c>
      <c r="G5" s="92">
        <f>G$2*$C5</f>
        <v>323158.7353706694</v>
      </c>
      <c r="H5" s="92">
        <f>H$2*$C5</f>
        <v>323158.7353706694</v>
      </c>
    </row>
    <row r="6" spans="1:12" outlineLevel="1" x14ac:dyDescent="0.25">
      <c r="B6" s="41" t="s">
        <v>5</v>
      </c>
      <c r="C6" s="97">
        <v>0.51012411215249531</v>
      </c>
      <c r="D6" s="92">
        <f t="shared" si="1"/>
        <v>1020248.2243049906</v>
      </c>
      <c r="E6" s="92">
        <f t="shared" si="1"/>
        <v>1077330.0922066306</v>
      </c>
      <c r="F6" s="92">
        <f t="shared" si="1"/>
        <v>1275310.2803812383</v>
      </c>
      <c r="G6" s="92">
        <f>G$2*$C6</f>
        <v>1275310.2803812383</v>
      </c>
      <c r="H6" s="92">
        <f>H$2*$C6</f>
        <v>1275310.2803812383</v>
      </c>
      <c r="I6" s="108"/>
      <c r="L6" s="108"/>
    </row>
    <row r="7" spans="1:12" outlineLevel="1" x14ac:dyDescent="0.25">
      <c r="B7" s="41" t="s">
        <v>441</v>
      </c>
      <c r="C7" s="97">
        <v>0.15497381161553353</v>
      </c>
      <c r="D7" s="92">
        <f t="shared" si="1"/>
        <v>309947.62323106703</v>
      </c>
      <c r="E7" s="92">
        <f t="shared" si="1"/>
        <v>327288.88280322205</v>
      </c>
      <c r="F7" s="92">
        <f t="shared" si="1"/>
        <v>387434.5290388338</v>
      </c>
      <c r="G7" s="92">
        <f>G$2*$C7</f>
        <v>387434.5290388338</v>
      </c>
      <c r="H7" s="92">
        <f>H$2*$C7</f>
        <v>387434.5290388338</v>
      </c>
    </row>
    <row r="8" spans="1:12" ht="15.75" outlineLevel="1" thickBot="1" x14ac:dyDescent="0.3">
      <c r="B8" s="42" t="s">
        <v>415</v>
      </c>
      <c r="C8" s="43">
        <f t="shared" ref="C8" si="2">SUM(C3:C7)</f>
        <v>1</v>
      </c>
      <c r="D8" s="93">
        <f t="shared" ref="D8:E8" si="3">SUM(D3:D7)</f>
        <v>1999999.9999999998</v>
      </c>
      <c r="E8" s="93">
        <f t="shared" si="3"/>
        <v>2111898</v>
      </c>
      <c r="F8" s="93">
        <f t="shared" ref="F8:G8" si="4">SUM(F3:F7)</f>
        <v>2500000</v>
      </c>
      <c r="G8" s="93">
        <f>SUM(G3:G7)</f>
        <v>2500000</v>
      </c>
      <c r="H8" s="93">
        <f>SUM(H3:H7)</f>
        <v>2500000</v>
      </c>
    </row>
    <row r="9" spans="1:12" ht="15.75" thickTop="1" x14ac:dyDescent="0.25">
      <c r="L9" s="109"/>
    </row>
    <row r="10" spans="1:12" x14ac:dyDescent="0.25">
      <c r="A10" t="s">
        <v>452</v>
      </c>
      <c r="B10" s="121" t="s">
        <v>13</v>
      </c>
      <c r="C10" s="122"/>
      <c r="D10" s="87">
        <v>46298</v>
      </c>
      <c r="E10" s="87">
        <v>46301</v>
      </c>
      <c r="F10" s="87">
        <v>46303</v>
      </c>
      <c r="L10" s="110"/>
    </row>
    <row r="11" spans="1:12" outlineLevel="1" x14ac:dyDescent="0.25">
      <c r="B11" s="40" t="s">
        <v>416</v>
      </c>
      <c r="C11" s="40" t="s">
        <v>439</v>
      </c>
      <c r="D11" s="91">
        <v>200000</v>
      </c>
      <c r="E11" s="91">
        <v>350000</v>
      </c>
      <c r="F11" s="91">
        <v>2426338</v>
      </c>
    </row>
    <row r="12" spans="1:12" outlineLevel="1" x14ac:dyDescent="0.25">
      <c r="B12" s="70" t="s">
        <v>438</v>
      </c>
      <c r="C12" s="71">
        <v>0.44977779026356696</v>
      </c>
      <c r="D12" s="92">
        <f>D$11*$C12</f>
        <v>89955.558052713386</v>
      </c>
      <c r="E12" s="92">
        <f>E$11*$C12</f>
        <v>157422.22659224842</v>
      </c>
      <c r="F12" s="92">
        <f>F$11*$C12</f>
        <v>1091312.9440725225</v>
      </c>
    </row>
    <row r="13" spans="1:12" outlineLevel="1" x14ac:dyDescent="0.25">
      <c r="B13" s="70" t="s">
        <v>6</v>
      </c>
      <c r="C13" s="71">
        <v>0.32964702703564502</v>
      </c>
      <c r="D13" s="92">
        <f t="shared" ref="D13:F14" si="5">D$11*$C13</f>
        <v>65929.405407129001</v>
      </c>
      <c r="E13" s="92">
        <f t="shared" si="5"/>
        <v>115376.45946247576</v>
      </c>
      <c r="F13" s="92">
        <f t="shared" si="5"/>
        <v>799835.10828361288</v>
      </c>
    </row>
    <row r="14" spans="1:12" outlineLevel="1" x14ac:dyDescent="0.25">
      <c r="B14" s="70" t="s">
        <v>3</v>
      </c>
      <c r="C14" s="71">
        <v>0.22057518270078799</v>
      </c>
      <c r="D14" s="92">
        <f t="shared" si="5"/>
        <v>44115.036540157598</v>
      </c>
      <c r="E14" s="92">
        <f t="shared" si="5"/>
        <v>77201.313945275804</v>
      </c>
      <c r="F14" s="92">
        <f t="shared" si="5"/>
        <v>535189.94764386455</v>
      </c>
    </row>
    <row r="15" spans="1:12" ht="15.75" thickBot="1" x14ac:dyDescent="0.3">
      <c r="B15" s="42" t="s">
        <v>449</v>
      </c>
      <c r="C15" s="43">
        <f t="shared" ref="C15" si="6">SUM(C12:C14)</f>
        <v>1</v>
      </c>
      <c r="D15" s="93">
        <f>SUM(D12:D14)</f>
        <v>199999.99999999997</v>
      </c>
      <c r="E15" s="93">
        <f>SUM(E12:E14)</f>
        <v>349999.99999999994</v>
      </c>
      <c r="F15" s="93">
        <f>SUM(F12:F14)</f>
        <v>2426338</v>
      </c>
    </row>
    <row r="16" spans="1:12" ht="15.75" thickTop="1" x14ac:dyDescent="0.25">
      <c r="D16"/>
    </row>
    <row r="17" spans="1:4" x14ac:dyDescent="0.25">
      <c r="A17" t="s">
        <v>452</v>
      </c>
      <c r="B17" s="121" t="s">
        <v>450</v>
      </c>
      <c r="C17" s="122"/>
      <c r="D17"/>
    </row>
    <row r="18" spans="1:4" x14ac:dyDescent="0.25">
      <c r="B18" s="40" t="s">
        <v>416</v>
      </c>
      <c r="C18" s="40" t="s">
        <v>439</v>
      </c>
      <c r="D18"/>
    </row>
    <row r="19" spans="1:4" x14ac:dyDescent="0.25">
      <c r="B19" s="70" t="s">
        <v>438</v>
      </c>
      <c r="C19" s="71">
        <v>0.31</v>
      </c>
      <c r="D19"/>
    </row>
    <row r="20" spans="1:4" x14ac:dyDescent="0.25">
      <c r="B20" s="70" t="s">
        <v>3</v>
      </c>
      <c r="C20" s="71">
        <v>0.69</v>
      </c>
      <c r="D20"/>
    </row>
    <row r="21" spans="1:4" ht="15.75" thickBot="1" x14ac:dyDescent="0.3">
      <c r="B21" s="42" t="s">
        <v>449</v>
      </c>
      <c r="C21" s="43">
        <f>SUM(C19:C20)</f>
        <v>1</v>
      </c>
      <c r="D21"/>
    </row>
    <row r="22" spans="1:4" ht="15.75" thickTop="1" x14ac:dyDescent="0.25">
      <c r="B22" s="101"/>
      <c r="C22" s="102"/>
      <c r="D22"/>
    </row>
    <row r="23" spans="1:4" x14ac:dyDescent="0.25">
      <c r="B23" s="101"/>
      <c r="C23" s="102"/>
      <c r="D23"/>
    </row>
    <row r="24" spans="1:4" x14ac:dyDescent="0.25">
      <c r="B24" s="123" t="s">
        <v>619</v>
      </c>
      <c r="C24" s="123"/>
      <c r="D24" s="40" t="s">
        <v>439</v>
      </c>
    </row>
    <row r="25" spans="1:4" x14ac:dyDescent="0.25">
      <c r="B25" s="103" t="s">
        <v>6</v>
      </c>
      <c r="C25" s="104">
        <v>1724212.0600000005</v>
      </c>
      <c r="D25" s="71">
        <f>C25/$C$28</f>
        <v>0.32964702703564502</v>
      </c>
    </row>
    <row r="26" spans="1:4" x14ac:dyDescent="0.25">
      <c r="B26" s="95" t="s">
        <v>34</v>
      </c>
      <c r="C26" s="95">
        <v>1153714</v>
      </c>
      <c r="D26" s="71">
        <f>C26/$C$28</f>
        <v>0.22057518270078799</v>
      </c>
    </row>
    <row r="27" spans="1:4" x14ac:dyDescent="0.25">
      <c r="B27" s="95" t="s">
        <v>5</v>
      </c>
      <c r="C27" s="95">
        <v>2352553.5699999994</v>
      </c>
      <c r="D27" s="71">
        <f>C27/$C$28</f>
        <v>0.44977779026356696</v>
      </c>
    </row>
    <row r="28" spans="1:4" ht="15.75" thickBot="1" x14ac:dyDescent="0.3">
      <c r="B28" s="42" t="s">
        <v>618</v>
      </c>
      <c r="C28" s="105">
        <f>SUM(C25:C27)</f>
        <v>5230479.63</v>
      </c>
      <c r="D28" s="43">
        <f>SUM(D25:D27)</f>
        <v>1</v>
      </c>
    </row>
    <row r="29" spans="1:4" ht="15.75" thickTop="1" x14ac:dyDescent="0.25">
      <c r="D29"/>
    </row>
    <row r="30" spans="1:4" x14ac:dyDescent="0.25">
      <c r="D30"/>
    </row>
    <row r="31" spans="1:4" x14ac:dyDescent="0.25">
      <c r="B31" t="s">
        <v>475</v>
      </c>
    </row>
    <row r="32" spans="1:4" x14ac:dyDescent="0.25">
      <c r="B32" t="s">
        <v>5</v>
      </c>
      <c r="D32" s="94">
        <v>102000</v>
      </c>
    </row>
    <row r="33" spans="2:4" x14ac:dyDescent="0.25">
      <c r="B33" t="s">
        <v>3</v>
      </c>
      <c r="D33" s="94">
        <v>227000</v>
      </c>
    </row>
    <row r="34" spans="2:4" x14ac:dyDescent="0.25">
      <c r="D34" s="94">
        <f>SUM(D32:D33)</f>
        <v>329000</v>
      </c>
    </row>
  </sheetData>
  <mergeCells count="4">
    <mergeCell ref="B17:C17"/>
    <mergeCell ref="B10:C10"/>
    <mergeCell ref="B1:C1"/>
    <mergeCell ref="B24:C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payment</vt:lpstr>
      <vt:lpstr>Sheet1</vt:lpstr>
      <vt:lpstr>Payments</vt:lpstr>
      <vt:lpstr>Receipts</vt:lpstr>
      <vt:lpstr>Working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Desai</dc:creator>
  <cp:lastModifiedBy>HITANSHI JAIN</cp:lastModifiedBy>
  <cp:lastPrinted>2026-04-30T06:07:17Z</cp:lastPrinted>
  <dcterms:created xsi:type="dcterms:W3CDTF">2025-12-09T09:56:44Z</dcterms:created>
  <dcterms:modified xsi:type="dcterms:W3CDTF">2026-10-13T05:04:59Z</dcterms:modified>
</cp:coreProperties>
</file>